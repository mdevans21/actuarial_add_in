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Distributions" sheetId="1" state="visible" r:id="rId1"/>
    <sheet name="Exposure Curves" sheetId="2" state="visible" r:id="rId2"/>
    <sheet name="Reinsurance" sheetId="3" state="visible" r:id="rId3"/>
    <sheet name="Interpolation" sheetId="4" state="visible" r:id="rId4"/>
    <sheet name="Chain Ladder" sheetId="5" state="visible" r:id="rId5"/>
    <sheet name="Copulas" sheetId="6" state="visible" r:id="rId6"/>
    <sheet name="Return Periods" sheetId="7" state="visible" r:id="rId7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</fonts>
  <fills count="3">
    <fill>
      <patternFill/>
    </fill>
    <fill>
      <patternFill patternType="gray125"/>
    </fill>
    <fill>
      <patternFill patternType="solid">
        <fgColor rgb="004472C4"/>
        <bgColor rgb="004472C4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58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</cols>
  <sheetData>
    <row r="1">
      <c r="A1" s="1" t="inlineStr">
        <is>
          <t>Statistical Distributions</t>
        </is>
      </c>
    </row>
    <row r="3">
      <c r="A3" s="2" t="inlineStr">
        <is>
          <t>PDF = Probability Density/Mass Function, CDF = Cumulative Distribution Function, INV = Inverse CDF (Quantile)</t>
        </is>
      </c>
    </row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ACT_POISSON_PDF(A7, 5)</f>
        <v/>
      </c>
      <c r="C7" s="4">
        <f>ACT_POISSON_CDF(A7, 5)</f>
        <v/>
      </c>
      <c r="D7" s="4" t="inlineStr"/>
    </row>
    <row r="8">
      <c r="A8" s="4" t="n">
        <v>1</v>
      </c>
      <c r="B8" s="4">
        <f>ACT_POISSON_PDF(A8, 5)</f>
        <v/>
      </c>
      <c r="C8" s="4">
        <f>ACT_POISSON_CDF(A8, 5)</f>
        <v/>
      </c>
      <c r="D8" s="4" t="inlineStr"/>
    </row>
    <row r="9">
      <c r="A9" s="4" t="n">
        <v>2</v>
      </c>
      <c r="B9" s="4">
        <f>ACT_POISSON_PDF(A9, 5)</f>
        <v/>
      </c>
      <c r="C9" s="4">
        <f>ACT_POISSON_CDF(A9, 5)</f>
        <v/>
      </c>
      <c r="D9" s="4" t="inlineStr"/>
    </row>
    <row r="10">
      <c r="A10" s="4" t="n">
        <v>3</v>
      </c>
      <c r="B10" s="4">
        <f>ACT_POISSON_PDF(A10, 5)</f>
        <v/>
      </c>
      <c r="C10" s="4">
        <f>ACT_POISSON_CDF(A10, 5)</f>
        <v/>
      </c>
      <c r="D10" s="4" t="inlineStr"/>
    </row>
    <row r="11">
      <c r="A11" s="4" t="n">
        <v>4</v>
      </c>
      <c r="B11" s="4">
        <f>ACT_POISSON_PDF(A11, 5)</f>
        <v/>
      </c>
      <c r="C11" s="4">
        <f>ACT_POISSON_CDF(A11, 5)</f>
        <v/>
      </c>
      <c r="D11" s="4" t="inlineStr"/>
    </row>
    <row r="12">
      <c r="A12" s="4" t="n">
        <v>5</v>
      </c>
      <c r="B12" s="4">
        <f>ACT_POISSON_PDF(A12, 5)</f>
        <v/>
      </c>
      <c r="C12" s="4">
        <f>ACT_POISSON_CDF(A12,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ACT_POISSON_PDF(A13, 5)</f>
        <v/>
      </c>
      <c r="C13" s="4">
        <f>ACT_POISSON_CDF(A13, 5)</f>
        <v/>
      </c>
      <c r="D13" s="4" t="inlineStr"/>
    </row>
    <row r="14">
      <c r="A14" s="4" t="n">
        <v>7</v>
      </c>
      <c r="B14" s="4">
        <f>ACT_POISSON_PDF(A14, 5)</f>
        <v/>
      </c>
      <c r="C14" s="4">
        <f>ACT_POISSON_CDF(A14, 5)</f>
        <v/>
      </c>
      <c r="D14" s="4" t="inlineStr"/>
    </row>
    <row r="15">
      <c r="A15" s="4" t="n">
        <v>8</v>
      </c>
      <c r="B15" s="4">
        <f>ACT_POISSON_PDF(A15, 5)</f>
        <v/>
      </c>
      <c r="C15" s="4">
        <f>ACT_POISSON_CDF(A15, 5)</f>
        <v/>
      </c>
      <c r="D15" s="4" t="inlineStr"/>
    </row>
    <row r="16">
      <c r="A16" s="4" t="n">
        <v>9</v>
      </c>
      <c r="B16" s="4">
        <f>ACT_POISSON_PDF(A16, 5)</f>
        <v/>
      </c>
      <c r="C16" s="4">
        <f>ACT_POISSON_CDF(A16, 5)</f>
        <v/>
      </c>
      <c r="D16" s="4" t="inlineStr"/>
    </row>
    <row r="17">
      <c r="A17" s="4" t="n">
        <v>10</v>
      </c>
      <c r="B17" s="4">
        <f>ACT_POISSON_PDF(A17, 5)</f>
        <v/>
      </c>
      <c r="C17" s="4">
        <f>ACT_POISSON_CDF(A17, 5)</f>
        <v/>
      </c>
      <c r="D17" s="4" t="inlineStr"/>
    </row>
    <row r="18">
      <c r="A18" s="2" t="inlineStr">
        <is>
          <t>Inverse CDF example: =ACT_POISSON_INV(0.5, 5) returns the median</t>
        </is>
      </c>
      <c r="E18">
        <f>ACT_POISSON_INV(0.5, 5)</f>
        <v/>
      </c>
    </row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ACT_NEGBIN_PDF(A22, 5, 0.3)</f>
        <v/>
      </c>
      <c r="C22" s="4">
        <f>ACT_NEGBIN_CDF(A22, 5, 0.3)</f>
        <v/>
      </c>
      <c r="D22" s="4" t="inlineStr"/>
    </row>
    <row r="23">
      <c r="A23" s="4" t="n">
        <v>1</v>
      </c>
      <c r="B23" s="4">
        <f>ACT_NEGBIN_PDF(A23, 5, 0.3)</f>
        <v/>
      </c>
      <c r="C23" s="4">
        <f>ACT_NEGBIN_CDF(A23, 5, 0.3)</f>
        <v/>
      </c>
      <c r="D23" s="4" t="inlineStr"/>
    </row>
    <row r="24">
      <c r="A24" s="4" t="n">
        <v>2</v>
      </c>
      <c r="B24" s="4">
        <f>ACT_NEGBIN_PDF(A24, 5, 0.3)</f>
        <v/>
      </c>
      <c r="C24" s="4">
        <f>ACT_NEGBIN_CDF(A24, 5, 0.3)</f>
        <v/>
      </c>
      <c r="D24" s="4" t="inlineStr"/>
    </row>
    <row r="25">
      <c r="A25" s="4" t="n">
        <v>3</v>
      </c>
      <c r="B25" s="4">
        <f>ACT_NEGBIN_PDF(A25, 5, 0.3)</f>
        <v/>
      </c>
      <c r="C25" s="4">
        <f>ACT_NEGBIN_CDF(A25, 5, 0.3)</f>
        <v/>
      </c>
      <c r="D25" s="4" t="inlineStr"/>
    </row>
    <row r="26">
      <c r="A26" s="4" t="n">
        <v>4</v>
      </c>
      <c r="B26" s="4">
        <f>ACT_NEGBIN_PDF(A26, 5, 0.3)</f>
        <v/>
      </c>
      <c r="C26" s="4">
        <f>ACT_NEGBIN_CDF(A26, 5, 0.3)</f>
        <v/>
      </c>
      <c r="D26" s="4" t="inlineStr"/>
    </row>
    <row r="27">
      <c r="A27" s="4" t="n">
        <v>5</v>
      </c>
      <c r="B27" s="4">
        <f>ACT_NEGBIN_PDF(A27, 5, 0.3)</f>
        <v/>
      </c>
      <c r="C27" s="4">
        <f>ACT_NEGBIN_CDF(A27, 5, 0.3)</f>
        <v/>
      </c>
      <c r="D27" s="4" t="inlineStr"/>
    </row>
    <row r="28">
      <c r="A28" s="4" t="n">
        <v>6</v>
      </c>
      <c r="B28" s="4">
        <f>ACT_NEGBIN_PDF(A28, 5, 0.3)</f>
        <v/>
      </c>
      <c r="C28" s="4">
        <f>ACT_NEGBIN_CDF(A28, 5, 0.3)</f>
        <v/>
      </c>
      <c r="D28" s="4" t="inlineStr"/>
    </row>
    <row r="29">
      <c r="A29" s="4" t="n">
        <v>7</v>
      </c>
      <c r="B29" s="4">
        <f>ACT_NEGBIN_PDF(A29, 5, 0.3)</f>
        <v/>
      </c>
      <c r="C29" s="4">
        <f>ACT_NEGBIN_CDF(A29, 5, 0.3)</f>
        <v/>
      </c>
      <c r="D29" s="4" t="inlineStr"/>
    </row>
    <row r="30">
      <c r="A30" s="4" t="n">
        <v>8</v>
      </c>
      <c r="B30" s="4">
        <f>ACT_NEGBIN_PDF(A30, 5, 0.3)</f>
        <v/>
      </c>
      <c r="C30" s="4">
        <f>ACT_NEGBIN_CDF(A30, 5, 0.3)</f>
        <v/>
      </c>
      <c r="D30" s="4" t="inlineStr"/>
    </row>
    <row r="31">
      <c r="A31" s="4" t="n">
        <v>9</v>
      </c>
      <c r="B31" s="4">
        <f>ACT_NEGBIN_PDF(A31, 5, 0.3)</f>
        <v/>
      </c>
      <c r="C31" s="4">
        <f>ACT_NEGBIN_CDF(A31, 5, 0.3)</f>
        <v/>
      </c>
      <c r="D31" s="4" t="inlineStr"/>
    </row>
    <row r="32">
      <c r="A32" s="4" t="n">
        <v>10</v>
      </c>
      <c r="B32" s="4">
        <f>ACT_NEGBIN_PDF(A32, 5, 0.3)</f>
        <v/>
      </c>
      <c r="C32" s="4">
        <f>ACT_NEGBIN_CDF(A32, 5, 0.3)</f>
        <v/>
      </c>
      <c r="D32" s="4" t="inlineStr"/>
    </row>
    <row r="34">
      <c r="A34" s="2" t="inlineStr">
        <is>
          <t>LOGNORMAL DISTRIBUTION (mu=0, sigma=1)</t>
        </is>
      </c>
    </row>
    <row r="35">
      <c r="A35" s="3" t="inlineStr">
        <is>
          <t>x</t>
        </is>
      </c>
      <c r="B35" s="3" t="inlineStr">
        <is>
          <t>PDF</t>
        </is>
      </c>
      <c r="C35" s="3" t="inlineStr">
        <is>
          <t>CDF</t>
        </is>
      </c>
      <c r="D35" s="3" t="inlineStr">
        <is>
          <t>Notes</t>
        </is>
      </c>
    </row>
    <row r="36">
      <c r="A36" s="4" t="n">
        <v>0.5</v>
      </c>
      <c r="B36" s="4">
        <f>ACT_LOGNORM_PDF(A36, 0, 1)</f>
        <v/>
      </c>
      <c r="C36" s="4">
        <f>ACT_LOGNORM_CDF(A36, 0, 1)</f>
        <v/>
      </c>
      <c r="D36" s="4" t="inlineStr"/>
    </row>
    <row r="37">
      <c r="A37" s="4" t="n">
        <v>1</v>
      </c>
      <c r="B37" s="4">
        <f>ACT_LOGNORM_PDF(A37, 0, 1)</f>
        <v/>
      </c>
      <c r="C37" s="4">
        <f>ACT_LOGNORM_CDF(A37, 0, 1)</f>
        <v/>
      </c>
      <c r="D37" s="4" t="inlineStr">
        <is>
          <t>Median (exp(mu))</t>
        </is>
      </c>
    </row>
    <row r="38">
      <c r="A38" s="4" t="n">
        <v>1.5</v>
      </c>
      <c r="B38" s="4">
        <f>ACT_LOGNORM_PDF(A38, 0, 1)</f>
        <v/>
      </c>
      <c r="C38" s="4">
        <f>ACT_LOGNORM_CDF(A38, 0, 1)</f>
        <v/>
      </c>
      <c r="D38" s="4" t="inlineStr"/>
    </row>
    <row r="39">
      <c r="A39" s="4" t="n">
        <v>2</v>
      </c>
      <c r="B39" s="4">
        <f>ACT_LOGNORM_PDF(A39, 0, 1)</f>
        <v/>
      </c>
      <c r="C39" s="4">
        <f>ACT_LOGNORM_CDF(A39, 0, 1)</f>
        <v/>
      </c>
      <c r="D39" s="4" t="inlineStr"/>
    </row>
    <row r="40">
      <c r="A40" s="4" t="n">
        <v>3</v>
      </c>
      <c r="B40" s="4">
        <f>ACT_LOGNORM_PDF(A40, 0, 1)</f>
        <v/>
      </c>
      <c r="C40" s="4">
        <f>ACT_LOGNORM_CDF(A40, 0, 1)</f>
        <v/>
      </c>
      <c r="D40" s="4" t="inlineStr"/>
    </row>
    <row r="41">
      <c r="A41" s="4" t="n">
        <v>5</v>
      </c>
      <c r="B41" s="4">
        <f>ACT_LOGNORM_PDF(A41, 0, 1)</f>
        <v/>
      </c>
      <c r="C41" s="4">
        <f>ACT_LOGNORM_CDF(A41, 0, 1)</f>
        <v/>
      </c>
      <c r="D41" s="4" t="inlineStr"/>
    </row>
    <row r="43">
      <c r="A43" s="2" t="inlineStr">
        <is>
          <t>GAMMA DISTRIBUTION (alpha=2, beta=1)</t>
        </is>
      </c>
    </row>
    <row r="44">
      <c r="A44" s="3" t="inlineStr">
        <is>
          <t>x</t>
        </is>
      </c>
      <c r="B44" s="3" t="inlineStr">
        <is>
          <t>PDF</t>
        </is>
      </c>
      <c r="C44" s="3" t="inlineStr">
        <is>
          <t>CDF</t>
        </is>
      </c>
      <c r="D44" s="3" t="inlineStr">
        <is>
          <t>Notes</t>
        </is>
      </c>
    </row>
    <row r="45">
      <c r="A45" s="4" t="n">
        <v>0.5</v>
      </c>
      <c r="B45" s="4">
        <f>ACT_GAMMA_PDF(A45, 2, 1)</f>
        <v/>
      </c>
      <c r="C45" s="4">
        <f>ACT_GAMMA_CDF(A45, 2, 1)</f>
        <v/>
      </c>
      <c r="D45" s="4" t="inlineStr"/>
    </row>
    <row r="46">
      <c r="A46" s="4" t="n">
        <v>1</v>
      </c>
      <c r="B46" s="4">
        <f>ACT_GAMMA_PDF(A46, 2, 1)</f>
        <v/>
      </c>
      <c r="C46" s="4">
        <f>ACT_GAMMA_CDF(A46, 2, 1)</f>
        <v/>
      </c>
      <c r="D46" s="4" t="inlineStr"/>
    </row>
    <row r="47">
      <c r="A47" s="4" t="n">
        <v>2</v>
      </c>
      <c r="B47" s="4">
        <f>ACT_GAMMA_PDF(A47, 2, 1)</f>
        <v/>
      </c>
      <c r="C47" s="4">
        <f>ACT_GAMMA_CDF(A47, 2, 1)</f>
        <v/>
      </c>
      <c r="D47" s="4" t="inlineStr">
        <is>
          <t>Mean (alpha/beta)</t>
        </is>
      </c>
    </row>
    <row r="48">
      <c r="A48" s="4" t="n">
        <v>3</v>
      </c>
      <c r="B48" s="4">
        <f>ACT_GAMMA_PDF(A48, 2, 1)</f>
        <v/>
      </c>
      <c r="C48" s="4">
        <f>ACT_GAMMA_CDF(A48, 2, 1)</f>
        <v/>
      </c>
      <c r="D48" s="4" t="inlineStr"/>
    </row>
    <row r="49">
      <c r="A49" s="4" t="n">
        <v>5</v>
      </c>
      <c r="B49" s="4">
        <f>ACT_GAMMA_PDF(A49, 2, 1)</f>
        <v/>
      </c>
      <c r="C49" s="4">
        <f>ACT_GAMMA_CDF(A49, 2, 1)</f>
        <v/>
      </c>
      <c r="D49" s="4" t="inlineStr"/>
    </row>
    <row r="51">
      <c r="A51" s="2" t="inlineStr">
        <is>
          <t>PARETO DISTRIBUTION (alpha=2, xm=1)</t>
        </is>
      </c>
    </row>
    <row r="52">
      <c r="A52" s="3" t="inlineStr">
        <is>
          <t>x</t>
        </is>
      </c>
      <c r="B52" s="3" t="inlineStr">
        <is>
          <t>PDF</t>
        </is>
      </c>
      <c r="C52" s="3" t="inlineStr">
        <is>
          <t>CDF</t>
        </is>
      </c>
      <c r="D52" s="3" t="inlineStr">
        <is>
          <t>Notes</t>
        </is>
      </c>
    </row>
    <row r="53">
      <c r="A53" s="4" t="n">
        <v>1</v>
      </c>
      <c r="B53" s="4">
        <f>ACT_PARETO_PDF(A53, 2, 1)</f>
        <v/>
      </c>
      <c r="C53" s="4">
        <f>ACT_PARETO_CDF(A53, 2, 1)</f>
        <v/>
      </c>
      <c r="D53" s="4" t="inlineStr">
        <is>
          <t>Minimum value (xm)</t>
        </is>
      </c>
    </row>
    <row r="54">
      <c r="A54" s="4" t="n">
        <v>1.5</v>
      </c>
      <c r="B54" s="4">
        <f>ACT_PARETO_PDF(A54, 2, 1)</f>
        <v/>
      </c>
      <c r="C54" s="4">
        <f>ACT_PARETO_CDF(A54, 2, 1)</f>
        <v/>
      </c>
      <c r="D54" s="4" t="inlineStr"/>
    </row>
    <row r="55">
      <c r="A55" s="4" t="n">
        <v>2</v>
      </c>
      <c r="B55" s="4">
        <f>ACT_PARETO_PDF(A55, 2, 1)</f>
        <v/>
      </c>
      <c r="C55" s="4">
        <f>ACT_PARETO_CDF(A55, 2, 1)</f>
        <v/>
      </c>
      <c r="D55" s="4" t="inlineStr"/>
    </row>
    <row r="56">
      <c r="A56" s="4" t="n">
        <v>3</v>
      </c>
      <c r="B56" s="4">
        <f>ACT_PARETO_PDF(A56, 2, 1)</f>
        <v/>
      </c>
      <c r="C56" s="4">
        <f>ACT_PARETO_CDF(A56, 2, 1)</f>
        <v/>
      </c>
      <c r="D56" s="4" t="inlineStr"/>
    </row>
    <row r="57">
      <c r="A57" s="4" t="n">
        <v>5</v>
      </c>
      <c r="B57" s="4">
        <f>ACT_PARETO_PDF(A57, 2, 1)</f>
        <v/>
      </c>
      <c r="C57" s="4">
        <f>ACT_PARETO_CDF(A57, 2, 1)</f>
        <v/>
      </c>
      <c r="D57" s="4" t="inlineStr"/>
    </row>
    <row r="58">
      <c r="A58" s="4" t="n">
        <v>10</v>
      </c>
      <c r="B58" s="4">
        <f>ACT_PARETO_PDF(A58, 2, 1)</f>
        <v/>
      </c>
      <c r="C58" s="4">
        <f>ACT_PARETO_CDF(A58, 2, 1)</f>
        <v/>
      </c>
      <c r="D58" s="4" t="inlineStr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38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ACT_MBBEFD(A7, 2, 3)</f>
        <v/>
      </c>
      <c r="C7" s="4" t="inlineStr"/>
    </row>
    <row r="8">
      <c r="A8" s="4" t="n">
        <v>0.1</v>
      </c>
      <c r="B8" s="4">
        <f>ACT_MBBEFD(A8, 2, 3)</f>
        <v/>
      </c>
      <c r="C8" s="4" t="inlineStr"/>
    </row>
    <row r="9">
      <c r="A9" s="4" t="n">
        <v>0.2</v>
      </c>
      <c r="B9" s="4">
        <f>ACT_MBBEFD(A9, 2, 3)</f>
        <v/>
      </c>
      <c r="C9" s="4" t="inlineStr"/>
    </row>
    <row r="10">
      <c r="A10" s="4" t="n">
        <v>0.3</v>
      </c>
      <c r="B10" s="4">
        <f>ACT_MBBEFD(A10, 2, 3)</f>
        <v/>
      </c>
      <c r="C10" s="4" t="inlineStr"/>
    </row>
    <row r="11">
      <c r="A11" s="4" t="n">
        <v>0.4</v>
      </c>
      <c r="B11" s="4">
        <f>ACT_MBBEFD(A11, 2, 3)</f>
        <v/>
      </c>
      <c r="C11" s="4" t="inlineStr"/>
    </row>
    <row r="12">
      <c r="A12" s="4" t="n">
        <v>0.5</v>
      </c>
      <c r="B12" s="4">
        <f>ACT_MBBEFD(A12, 2, 3)</f>
        <v/>
      </c>
      <c r="C12" s="4" t="inlineStr"/>
    </row>
    <row r="13">
      <c r="A13" s="4" t="n">
        <v>0.6</v>
      </c>
      <c r="B13" s="4">
        <f>ACT_MBBEFD(A13, 2, 3)</f>
        <v/>
      </c>
      <c r="C13" s="4" t="inlineStr"/>
    </row>
    <row r="14">
      <c r="A14" s="4" t="n">
        <v>0.7</v>
      </c>
      <c r="B14" s="4">
        <f>ACT_MBBEFD(A14, 2, 3)</f>
        <v/>
      </c>
      <c r="C14" s="4" t="inlineStr"/>
    </row>
    <row r="15">
      <c r="A15" s="4" t="n">
        <v>0.8</v>
      </c>
      <c r="B15" s="4">
        <f>ACT_MBBEFD(A15, 2, 3)</f>
        <v/>
      </c>
      <c r="C15" s="4" t="inlineStr"/>
    </row>
    <row r="16">
      <c r="A16" s="4" t="n">
        <v>0.9</v>
      </c>
      <c r="B16" s="4">
        <f>ACT_MBBEFD(A16, 2, 3)</f>
        <v/>
      </c>
      <c r="C16" s="4" t="inlineStr"/>
    </row>
    <row r="17">
      <c r="A17" s="4" t="n">
        <v>1</v>
      </c>
      <c r="B17" s="4">
        <f>ACT_MBBEFD(A17, 2, 3)</f>
        <v/>
      </c>
      <c r="C17" s="4" t="inlineStr"/>
    </row>
    <row r="19">
      <c r="A19" s="2" t="inlineStr">
        <is>
          <t>SWISS RE CURVES COMPARISON at d=0.5</t>
        </is>
      </c>
    </row>
    <row r="20">
      <c r="A20" s="3" t="inlineStr">
        <is>
          <t>Curve #</t>
        </is>
      </c>
      <c r="B20" s="3" t="inlineStr">
        <is>
          <t>G(0.5)</t>
        </is>
      </c>
      <c r="C20" s="3" t="inlineStr">
        <is>
          <t>Description</t>
        </is>
      </c>
    </row>
    <row r="21">
      <c r="A21" s="4" t="n">
        <v>1</v>
      </c>
      <c r="B21" s="4">
        <f>ACT_SWISSRE_CURVE(0.5, A21)</f>
        <v/>
      </c>
      <c r="C21" s="4" t="inlineStr">
        <is>
          <t>Light</t>
        </is>
      </c>
    </row>
    <row r="22">
      <c r="A22" s="4" t="n">
        <v>2</v>
      </c>
      <c r="B22" s="4">
        <f>ACT_SWISSRE_CURVE(0.5, A22)</f>
        <v/>
      </c>
      <c r="C22" s="4" t="inlineStr">
        <is>
          <t>Medium-Light</t>
        </is>
      </c>
    </row>
    <row r="23">
      <c r="A23" s="4" t="n">
        <v>3</v>
      </c>
      <c r="B23" s="4">
        <f>ACT_SWISSRE_CURVE(0.5, A23)</f>
        <v/>
      </c>
      <c r="C23" s="4" t="inlineStr">
        <is>
          <t>Medium</t>
        </is>
      </c>
    </row>
    <row r="24">
      <c r="A24" s="4" t="n">
        <v>4</v>
      </c>
      <c r="B24" s="4">
        <f>ACT_SWISSRE_CURVE(0.5, A24)</f>
        <v/>
      </c>
      <c r="C24" s="4" t="inlineStr">
        <is>
          <t>Medium-Heavy</t>
        </is>
      </c>
    </row>
    <row r="25">
      <c r="A25" s="4" t="n">
        <v>5</v>
      </c>
      <c r="B25" s="4">
        <f>ACT_SWISSRE_CURVE(0.5, A25)</f>
        <v/>
      </c>
      <c r="C25" s="4" t="inlineStr">
        <is>
          <t>Heavy</t>
        </is>
      </c>
    </row>
    <row r="27">
      <c r="A27" s="2" t="inlineStr">
        <is>
          <t>LLOYD'S CURVES COMPARISON at d=0.5</t>
        </is>
      </c>
    </row>
    <row r="28">
      <c r="A28" s="3" t="inlineStr">
        <is>
          <t>Curve</t>
        </is>
      </c>
      <c r="B28" s="3" t="inlineStr">
        <is>
          <t>G(0.5)</t>
        </is>
      </c>
      <c r="C28" s="3" t="inlineStr">
        <is>
          <t>Description</t>
        </is>
      </c>
    </row>
    <row r="29">
      <c r="A29" s="4" t="inlineStr">
        <is>
          <t>Y1</t>
        </is>
      </c>
      <c r="B29" s="4">
        <f>ACT_LLOYDS_CURVE(0.5, "Y1")</f>
        <v/>
      </c>
      <c r="C29" s="4" t="inlineStr">
        <is>
          <t>Light industrial/commercial</t>
        </is>
      </c>
    </row>
    <row r="30">
      <c r="A30" s="4" t="inlineStr">
        <is>
          <t>Y2</t>
        </is>
      </c>
      <c r="B30" s="4">
        <f>ACT_LLOYDS_CURVE(0.5, "Y2")</f>
        <v/>
      </c>
      <c r="C30" s="4" t="inlineStr">
        <is>
          <t>Medium industrial</t>
        </is>
      </c>
    </row>
    <row r="31">
      <c r="A31" s="4" t="inlineStr">
        <is>
          <t>Y3</t>
        </is>
      </c>
      <c r="B31" s="4">
        <f>ACT_LLOYDS_CURVE(0.5, "Y3")</f>
        <v/>
      </c>
      <c r="C31" s="4" t="inlineStr">
        <is>
          <t>Heavy industrial</t>
        </is>
      </c>
    </row>
    <row r="32">
      <c r="A32" s="4" t="inlineStr">
        <is>
          <t>Y4</t>
        </is>
      </c>
      <c r="B32" s="4">
        <f>ACT_LLOYDS_CURVE(0.5, "Y4")</f>
        <v/>
      </c>
      <c r="C32" s="4" t="inlineStr">
        <is>
          <t>Petrochemical/refinery</t>
        </is>
      </c>
    </row>
    <row r="34">
      <c r="A34" s="2" t="inlineStr">
        <is>
          <t>OTHER EXPOSURE CURVES at d=0.5</t>
        </is>
      </c>
    </row>
    <row r="35">
      <c r="A35" s="3" t="inlineStr">
        <is>
          <t>Function</t>
        </is>
      </c>
      <c r="B35" s="3" t="inlineStr">
        <is>
          <t>Formula</t>
        </is>
      </c>
      <c r="C35" s="3" t="inlineStr">
        <is>
          <t>Result</t>
        </is>
      </c>
      <c r="D35" s="3" t="inlineStr">
        <is>
          <t>Notes</t>
        </is>
      </c>
    </row>
    <row r="36">
      <c r="A36" s="5" t="inlineStr">
        <is>
          <t>Power (n=2)</t>
        </is>
      </c>
      <c r="B36" s="5" t="inlineStr">
        <is>
          <t>ACT_POWER_CURVE(0.5, 2)</t>
        </is>
      </c>
      <c r="C36" s="5">
        <f>ACT_POWER_CURVE(0.5, 2)</f>
        <v/>
      </c>
      <c r="D36" s="5" t="inlineStr">
        <is>
          <t>G(d) = d^n</t>
        </is>
      </c>
    </row>
    <row r="37">
      <c r="A37" s="5" t="inlineStr">
        <is>
          <t>Inverse Power (n=2)</t>
        </is>
      </c>
      <c r="B37" s="5" t="inlineStr">
        <is>
          <t>ACT_INVERSE_POWER_CURVE(0.5, 2)</t>
        </is>
      </c>
      <c r="C37" s="5">
        <f>ACT_INVERSE_POWER_CURVE(0.5, 2)</f>
        <v/>
      </c>
      <c r="D37" s="5" t="inlineStr">
        <is>
          <t>G(d) = 1 - (1-d)^n</t>
        </is>
      </c>
    </row>
    <row r="38">
      <c r="A38" s="5" t="inlineStr">
        <is>
          <t>Pareto (alpha=2)</t>
        </is>
      </c>
      <c r="B38" s="5" t="inlineStr">
        <is>
          <t>ACT_PARETO_EXPOSURE(0.5, 2)</t>
        </is>
      </c>
      <c r="C38" s="5">
        <f>ACT_PARETO_EXPOSURE(0.5, 2)</f>
        <v/>
      </c>
      <c r="D38" s="5" t="inlineStr">
        <is>
          <t>Based on Pareto severity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loss, quota share, and aggregate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4" t="n">
        <v>500000</v>
      </c>
      <c r="B7" s="4">
        <f>ACT_XOL_LAYER_LOSS(A7, 1000000, 5000000)</f>
        <v/>
      </c>
      <c r="C7" s="4" t="inlineStr">
        <is>
          <t>Below attachment</t>
        </is>
      </c>
    </row>
    <row r="8">
      <c r="A8" s="4" t="n">
        <v>1000000</v>
      </c>
      <c r="B8" s="4">
        <f>ACT_XOL_LAYER_LOSS(A8, 1000000, 5000000)</f>
        <v/>
      </c>
      <c r="C8" s="4" t="inlineStr">
        <is>
          <t>At attachment</t>
        </is>
      </c>
    </row>
    <row r="9">
      <c r="A9" s="4" t="n">
        <v>2000000</v>
      </c>
      <c r="B9" s="4">
        <f>ACT_XOL_LAYER_LOSS(A9, 1000000, 5000000)</f>
        <v/>
      </c>
      <c r="C9" s="4" t="inlineStr">
        <is>
          <t>Partial layer</t>
        </is>
      </c>
    </row>
    <row r="10">
      <c r="A10" s="4" t="n">
        <v>4000000</v>
      </c>
      <c r="B10" s="4">
        <f>ACT_XOL_LAYER_LOSS(A10, 1000000, 5000000)</f>
        <v/>
      </c>
      <c r="C10" s="4" t="inlineStr">
        <is>
          <t>Partial layer</t>
        </is>
      </c>
    </row>
    <row r="11">
      <c r="A11" s="4" t="n">
        <v>6000000</v>
      </c>
      <c r="B11" s="4">
        <f>ACT_XOL_LAYER_LOSS(A11, 1000000, 5000000)</f>
        <v/>
      </c>
      <c r="C11" s="4" t="inlineStr">
        <is>
          <t>Full limit</t>
        </is>
      </c>
    </row>
    <row r="12">
      <c r="A12" s="4" t="n">
        <v>10000000</v>
      </c>
      <c r="B12" s="4">
        <f>ACT_XOL_LAYER_LOSS(A12, 1000000, 5000000)</f>
        <v/>
      </c>
      <c r="C12" s="4" t="inlineStr">
        <is>
          <t>Capped at limit</t>
        </is>
      </c>
    </row>
    <row r="14">
      <c r="A14" s="2" t="inlineStr">
        <is>
          <t>QUOTA SHARE (50% cession)</t>
        </is>
      </c>
    </row>
    <row r="15">
      <c r="A15" s="3" t="inlineStr">
        <is>
          <t>Ground-Up Loss</t>
        </is>
      </c>
      <c r="B15" s="3" t="inlineStr">
        <is>
          <t>Ceded Loss</t>
        </is>
      </c>
      <c r="C15" s="3" t="inlineStr">
        <is>
          <t>Retained</t>
        </is>
      </c>
    </row>
    <row r="16">
      <c r="A16" s="5" t="n">
        <v>1000000</v>
      </c>
      <c r="B16" s="5">
        <f>ACT_QS_CEDED(A16, 0.5)</f>
        <v/>
      </c>
      <c r="C16" s="5">
        <f>A16-B16</f>
        <v/>
      </c>
    </row>
    <row r="18">
      <c r="A18" s="2" t="inlineStr">
        <is>
          <t>AGGREGATE LAYER (Deductible=2,000,000, Limit=10,000,000)</t>
        </is>
      </c>
    </row>
    <row r="19">
      <c r="A19" s="3" t="inlineStr">
        <is>
          <t>Aggregate Loss</t>
        </is>
      </c>
      <c r="B19" s="3" t="inlineStr">
        <is>
          <t>Layer Recovery</t>
        </is>
      </c>
      <c r="C19" s="3" t="inlineStr">
        <is>
          <t>Notes</t>
        </is>
      </c>
    </row>
    <row r="20">
      <c r="A20" s="4" t="n">
        <v>1000000</v>
      </c>
      <c r="B20" s="4">
        <f>ACT_AGGREGATE_LAYER(A20, 2000000, 10000000)</f>
        <v/>
      </c>
      <c r="C20" s="4" t="inlineStr">
        <is>
          <t>Below deductible</t>
        </is>
      </c>
    </row>
    <row r="21">
      <c r="A21" s="4" t="n">
        <v>2000000</v>
      </c>
      <c r="B21" s="4">
        <f>ACT_AGGREGATE_LAYER(A21, 2000000, 10000000)</f>
        <v/>
      </c>
      <c r="C21" s="4" t="inlineStr">
        <is>
          <t>At deductible</t>
        </is>
      </c>
    </row>
    <row r="22">
      <c r="A22" s="4" t="n">
        <v>5000000</v>
      </c>
      <c r="B22" s="4">
        <f>ACT_AGGREGATE_LAYER(A22, 2000000, 10000000)</f>
        <v/>
      </c>
      <c r="C22" s="4" t="inlineStr">
        <is>
          <t>Partial recovery</t>
        </is>
      </c>
    </row>
    <row r="23">
      <c r="A23" s="4" t="n">
        <v>12000000</v>
      </c>
      <c r="B23" s="4">
        <f>ACT_AGGREGATE_LAYER(A23, 2000000, 10000000)</f>
        <v/>
      </c>
      <c r="C23" s="4" t="inlineStr">
        <is>
          <t>Full limit</t>
        </is>
      </c>
    </row>
    <row r="24">
      <c r="A24" s="4" t="n">
        <v>15000000</v>
      </c>
      <c r="B24" s="4">
        <f>ACT_AGGREGATE_LAYER(A24, 2000000, 10000000)</f>
        <v/>
      </c>
      <c r="C24" s="4" t="inlineStr">
        <is>
          <t>Capped at limit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F25"/>
  <sheetViews>
    <sheetView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0" customWidth="1" min="7" max="7"/>
    <col width="15" customWidth="1" min="8" max="8"/>
  </cols>
  <sheetData>
    <row r="1">
      <c r="A1" s="1" t="inlineStr">
        <is>
          <t>Chain Ladder Reserving</t>
        </is>
      </c>
    </row>
    <row r="3">
      <c r="A3" s="2" t="inlineStr">
        <is>
          <t>Development factors, ultimates, IBNR, and Mack standard errors</t>
        </is>
      </c>
    </row>
    <row r="5">
      <c r="A5" s="2" t="inlineStr">
        <is>
          <t>INPUT TRIANGLE (Cumulative Paid Losses)</t>
        </is>
      </c>
    </row>
    <row r="6">
      <c r="A6" s="3" t="inlineStr">
        <is>
          <t>AY \ Dev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</row>
    <row r="7">
      <c r="A7" s="5" t="n">
        <v>1</v>
      </c>
      <c r="B7" s="5" t="n">
        <v>100</v>
      </c>
      <c r="C7" s="5" t="n">
        <v>150</v>
      </c>
      <c r="D7" s="5" t="n">
        <v>170</v>
      </c>
      <c r="E7" s="5" t="n">
        <v>180</v>
      </c>
      <c r="F7" s="5" t="n">
        <v>185</v>
      </c>
    </row>
    <row r="8">
      <c r="A8" s="5" t="n">
        <v>2</v>
      </c>
      <c r="B8" s="5" t="n">
        <v>110</v>
      </c>
      <c r="C8" s="5" t="n">
        <v>165</v>
      </c>
      <c r="D8" s="5" t="n">
        <v>190</v>
      </c>
      <c r="E8" s="5" t="n">
        <v>200</v>
      </c>
      <c r="F8" s="5" t="n"/>
    </row>
    <row r="9">
      <c r="A9" s="5" t="n">
        <v>3</v>
      </c>
      <c r="B9" s="5" t="n">
        <v>120</v>
      </c>
      <c r="C9" s="5" t="n">
        <v>180</v>
      </c>
      <c r="D9" s="5" t="n">
        <v>210</v>
      </c>
      <c r="E9" s="5" t="n"/>
      <c r="F9" s="5" t="n"/>
    </row>
    <row r="10">
      <c r="A10" s="5" t="n">
        <v>4</v>
      </c>
      <c r="B10" s="5" t="n">
        <v>130</v>
      </c>
      <c r="C10" s="5" t="n">
        <v>195</v>
      </c>
      <c r="D10" s="5" t="n"/>
      <c r="E10" s="5" t="n"/>
      <c r="F10" s="5" t="n"/>
    </row>
    <row r="11">
      <c r="A11" s="5" t="n">
        <v>5</v>
      </c>
      <c r="B11" s="5" t="n">
        <v>140</v>
      </c>
      <c r="C11" s="5" t="n"/>
      <c r="D11" s="5" t="n"/>
      <c r="E11" s="5" t="n"/>
      <c r="F11" s="5" t="n"/>
    </row>
    <row r="13">
      <c r="A13" s="2" t="inlineStr">
        <is>
          <t>DEVELOPMENT FACTORS (calculated from triangle)</t>
        </is>
      </c>
    </row>
    <row r="14">
      <c r="A14" s="6" t="inlineStr">
        <is>
          <t>Factors:</t>
        </is>
      </c>
      <c r="B14">
        <f>ACT_CL_FACTORS(B7:F11)</f>
        <v/>
      </c>
    </row>
    <row r="16">
      <c r="A16" s="2" t="inlineStr">
        <is>
          <t>PROJECTED ULTIMATES AND IBNR</t>
        </is>
      </c>
    </row>
    <row r="17">
      <c r="A17" s="3" t="inlineStr">
        <is>
          <t>AY</t>
        </is>
      </c>
      <c r="B17" s="3" t="inlineStr">
        <is>
          <t>Latest</t>
        </is>
      </c>
      <c r="C17" s="3" t="inlineStr">
        <is>
          <t>Ultimate</t>
        </is>
      </c>
      <c r="D17" s="3" t="inlineStr">
        <is>
          <t>IBNR</t>
        </is>
      </c>
    </row>
    <row r="18">
      <c r="A18" s="5" t="n">
        <v>1</v>
      </c>
      <c r="B18" s="5" t="n">
        <v>185</v>
      </c>
      <c r="C18" s="5">
        <f>INDEX(ACT_CL_ULTIMATE(B7:F11), 1)</f>
        <v/>
      </c>
      <c r="D18" s="5">
        <f>INDEX(ACT_CL_IBNR(B7:F11), 1)</f>
        <v/>
      </c>
    </row>
    <row r="19">
      <c r="A19" s="5" t="n">
        <v>2</v>
      </c>
      <c r="B19" s="5" t="n">
        <v>200</v>
      </c>
      <c r="C19" s="5">
        <f>INDEX(ACT_CL_ULTIMATE(B7:F11), 2)</f>
        <v/>
      </c>
      <c r="D19" s="5">
        <f>INDEX(ACT_CL_IBNR(B7:F11), 2)</f>
        <v/>
      </c>
    </row>
    <row r="20">
      <c r="A20" s="5" t="n">
        <v>3</v>
      </c>
      <c r="B20" s="5" t="n">
        <v>210</v>
      </c>
      <c r="C20" s="5">
        <f>INDEX(ACT_CL_ULTIMATE(B7:F11), 3)</f>
        <v/>
      </c>
      <c r="D20" s="5">
        <f>INDEX(ACT_CL_IBNR(B7:F11), 3)</f>
        <v/>
      </c>
    </row>
    <row r="21">
      <c r="A21" s="5" t="n">
        <v>4</v>
      </c>
      <c r="B21" s="5" t="n">
        <v>195</v>
      </c>
      <c r="C21" s="5">
        <f>INDEX(ACT_CL_ULTIMATE(B7:F11), 4)</f>
        <v/>
      </c>
      <c r="D21" s="5">
        <f>INDEX(ACT_CL_IBNR(B7:F11), 4)</f>
        <v/>
      </c>
    </row>
    <row r="22">
      <c r="A22" s="5" t="n">
        <v>5</v>
      </c>
      <c r="B22" s="5" t="n">
        <v>140</v>
      </c>
      <c r="C22" s="5">
        <f>INDEX(ACT_CL_ULTIMATE(B7:F11), 5)</f>
        <v/>
      </c>
      <c r="D22" s="5">
        <f>INDEX(ACT_CL_IBNR(B7:F11), 5)</f>
        <v/>
      </c>
    </row>
    <row r="24">
      <c r="A24" s="2" t="inlineStr">
        <is>
          <t>MACK STANDARD ERRORS (reserve uncertainty)</t>
        </is>
      </c>
    </row>
    <row r="25">
      <c r="A25" s="6" t="inlineStr">
        <is>
          <t>Reserve SE:</t>
        </is>
      </c>
      <c r="B25">
        <f>ACT_MACK_RESERVE_SE(B7:F11)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5"/>
  <sheetViews>
    <sheetView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25" customWidth="1" min="5" max="5"/>
  </cols>
  <sheetData>
    <row r="1">
      <c r="A1" s="1" t="inlineStr">
        <is>
          <t>Student-t Copula</t>
        </is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5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(uniform marginals, correlated via t-copula)</t>
        </is>
      </c>
    </row>
    <row r="17">
      <c r="A17" s="2" t="inlineStr">
        <is>
          <t>Formula: =ACT_STUDENT_T_COPULA(B7:D9, B12, B13, B14)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ACT_STUDENT_T_COPULA(B7:D9, B12, B13, B14)</f>
        <v/>
      </c>
    </row>
    <row r="25">
      <c r="A25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4" t="n">
        <v>10</v>
      </c>
      <c r="B7" s="4" t="n">
        <v>100000</v>
      </c>
    </row>
    <row r="8">
      <c r="A8" s="4" t="n">
        <v>25</v>
      </c>
      <c r="B8" s="4" t="n">
        <v>250000</v>
      </c>
    </row>
    <row r="9">
      <c r="A9" s="4" t="n">
        <v>50</v>
      </c>
      <c r="B9" s="4" t="n">
        <v>500000</v>
      </c>
    </row>
    <row r="10">
      <c r="A10" s="4" t="n">
        <v>100</v>
      </c>
      <c r="B10" s="4" t="n">
        <v>1000000</v>
      </c>
    </row>
    <row r="11">
      <c r="A11" s="4" t="n">
        <v>250</v>
      </c>
      <c r="B11" s="4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5">
        <f>ACT_RETURN_PERIOD_LOSS(A7:A11, B7:B11, A15, "LOG")</f>
        <v/>
      </c>
      <c r="C15" s="5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5">
        <f>ACT_RETURN_PERIOD_LOSS(A7:A11, B7:B11, A16, "LOG")</f>
        <v/>
      </c>
      <c r="C16" s="5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5">
        <f>ACT_RETURN_PERIOD_LOSS(A7:A11, B7:B11, A17, "LOG")</f>
        <v/>
      </c>
      <c r="C17" s="5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5">
        <f>ACT_RETURN_PERIOD_LOSS(A7:A11, B7:B11, A18, "LOG")</f>
        <v/>
      </c>
      <c r="C18" s="5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>
        <f>ACT_AAL_FROM_OEP(A7:A11, B7:B11)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2026-01-17T21:32:45Z</dcterms:modified>
  <cp:lastModifiedBy>Matthew Evans</cp:lastModifiedBy>
</cp:coreProperties>
</file>