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Distributions" sheetId="1" state="visible" r:id="rId1"/>
    <sheet name="Exposure Curves" sheetId="2" state="visible" r:id="rId2"/>
    <sheet name="Reinsurance" sheetId="3" state="visible" r:id="rId3"/>
    <sheet name="Interpolation" sheetId="4" state="visible" r:id="rId4"/>
    <sheet name="Chain Ladder" sheetId="5" state="visible" r:id="rId5"/>
    <sheet name="Copulas" sheetId="6" state="visible" r:id="rId6"/>
    <sheet name="Return Periods" sheetId="7" state="visible" r:id="rId7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</fonts>
  <fills count="3">
    <fill>
      <patternFill/>
    </fill>
    <fill>
      <patternFill patternType="gray125"/>
    </fill>
    <fill>
      <patternFill patternType="solid">
        <fgColor rgb="004472C4"/>
        <bgColor rgb="004472C4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1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lineChart>
        <grouping val="standard"/>
        <ser>
          <idx val="0"/>
          <order val="0"/>
          <tx>
            <strRef>
              <f>'Distributions'!B6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'Distributions'!$A$7:$A$17</f>
            </numRef>
          </cat>
          <val>
            <numRef>
              <f>'Distributions'!$B$7:$B$17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lineChart>
        <grouping val="standard"/>
        <ser>
          <idx val="0"/>
          <order val="0"/>
          <tx>
            <strRef>
              <f>'Distributions'!B21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'Distributions'!$A$22:$A$32</f>
            </numRef>
          </cat>
          <val>
            <numRef>
              <f>'Distributions'!$B$22:$B$32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lineChart>
        <grouping val="standard"/>
        <ser>
          <idx val="0"/>
          <order val="0"/>
          <tx>
            <strRef>
              <f>'Distributions'!B35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'Distributions'!$A$36:$A$41</f>
            </numRef>
          </cat>
          <val>
            <numRef>
              <f>'Distributions'!$B$36:$B$41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lineChart>
        <grouping val="standard"/>
        <ser>
          <idx val="0"/>
          <order val="0"/>
          <tx>
            <strRef>
              <f>'Distributions'!B52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'Distributions'!$A$53:$A$58</f>
            </numRef>
          </cat>
          <val>
            <numRef>
              <f>'Distributions'!$B$53:$B$58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lineChart>
        <grouping val="standard"/>
        <ser>
          <idx val="0"/>
          <order val="0"/>
          <tx>
            <strRef>
              <f>'Exposure Curves'!B6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Curves'!$A$7:$A$17</f>
            </numRef>
          </cat>
          <val>
            <numRef>
              <f>'Exposure Curves'!$B$7:$B$17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Swiss Re Curves Comparison</a:t>
            </a:r>
          </a:p>
        </rich>
      </tx>
    </title>
    <plotArea>
      <lineChart>
        <grouping val="standard"/>
        <ser>
          <idx val="0"/>
          <order val="0"/>
          <tx>
            <strRef>
              <f>'Exposure Curves'!B20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Curves'!$A$21:$A$31</f>
            </numRef>
          </cat>
          <val>
            <numRef>
              <f>'Exposure Curves'!$B$21:$B$31</f>
            </numRef>
          </val>
        </ser>
        <ser>
          <idx val="1"/>
          <order val="1"/>
          <tx>
            <strRef>
              <f>'Exposure Curves'!C20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Curves'!$A$21:$A$31</f>
            </numRef>
          </cat>
          <val>
            <numRef>
              <f>'Exposure Curves'!$C$21:$C$31</f>
            </numRef>
          </val>
        </ser>
        <ser>
          <idx val="2"/>
          <order val="2"/>
          <tx>
            <strRef>
              <f>'Exposure Curves'!D20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Curves'!$A$21:$A$31</f>
            </numRef>
          </cat>
          <val>
            <numRef>
              <f>'Exposure Curves'!$D$21:$D$31</f>
            </numRef>
          </val>
        </ser>
        <ser>
          <idx val="3"/>
          <order val="3"/>
          <tx>
            <strRef>
              <f>'Exposure Curves'!E20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Curves'!$A$21:$A$31</f>
            </numRef>
          </cat>
          <val>
            <numRef>
              <f>'Exposure Curves'!$E$21:$E$31</f>
            </numRef>
          </val>
        </ser>
        <ser>
          <idx val="4"/>
          <order val="4"/>
          <tx>
            <strRef>
              <f>'Exposure Curves'!F20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Curves'!$A$21:$A$31</f>
            </numRef>
          </cat>
          <val>
            <numRef>
              <f>'Exposure Curves'!$F$21:$F$31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Lloyd's Curves Comparison</a:t>
            </a:r>
          </a:p>
        </rich>
      </tx>
    </title>
    <plotArea>
      <lineChart>
        <grouping val="standard"/>
        <ser>
          <idx val="0"/>
          <order val="0"/>
          <tx>
            <strRef>
              <f>'Exposure Curves'!B34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Curves'!$A$35:$A$45</f>
            </numRef>
          </cat>
          <val>
            <numRef>
              <f>'Exposure Curves'!$B$35:$B$45</f>
            </numRef>
          </val>
        </ser>
        <ser>
          <idx val="1"/>
          <order val="1"/>
          <tx>
            <strRef>
              <f>'Exposure Curves'!C34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Curves'!$A$35:$A$45</f>
            </numRef>
          </cat>
          <val>
            <numRef>
              <f>'Exposure Curves'!$C$35:$C$45</f>
            </numRef>
          </val>
        </ser>
        <ser>
          <idx val="2"/>
          <order val="2"/>
          <tx>
            <strRef>
              <f>'Exposure Curves'!D34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Curves'!$A$35:$A$45</f>
            </numRef>
          </cat>
          <val>
            <numRef>
              <f>'Exposure Curves'!$D$35:$D$45</f>
            </numRef>
          </val>
        </ser>
        <ser>
          <idx val="3"/>
          <order val="3"/>
          <tx>
            <strRef>
              <f>'Exposure Curves'!E34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'Exposure Curves'!$A$35:$A$45</f>
            </numRef>
          </cat>
          <val>
            <numRef>
              <f>'Exposure Curves'!$E$35:$E$45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noFill/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noFill/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noFill/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Ladder'!$A$26:$A$35</f>
            </numRef>
          </cat>
          <val>
            <numRef>
              <f>'Chain Ladder'!$D$26:$D$35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Development Pattern - Latest Diagonal to Ultimate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Ladder'!$A$26:$A$35</f>
            </numRef>
          </cat>
          <val>
            <numRef>
              <f>'Chain Ladder'!$C$26:$C$35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Ladder'!$A$40:$A$49</f>
            </numRef>
          </cat>
          <val>
            <numRef>
              <f>'Chain Ladder'!$B$40:$B$49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'Copulas'!$A$19:$A$118</f>
            </numRef>
          </xVal>
          <yVal>
            <numRef>
              <f>'Copulas'!$B$19:$B$118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lineChart>
        <grouping val="standard"/>
        <ser>
          <idx val="0"/>
          <order val="0"/>
          <tx>
            <strRef>
              <f>'Return Periods'!B6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'Return Periods'!$A$7:$A$11</f>
            </numRef>
          </cat>
          <val>
            <numRef>
              <f>'Return Periods'!$B$7:$B$11</f>
            </numRef>
          </val>
        </ser>
        <axId val="10"/>
        <axId val="100"/>
      </lineChart>
      <catAx>
        <axId val="10"/>
        <scaling>
          <logBase val="10"/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 /><Relationship Type="http://schemas.openxmlformats.org/officeDocument/2006/relationships/chart" Target="/xl/charts/chart6.xml" Id="rId2" /><Relationship Type="http://schemas.openxmlformats.org/officeDocument/2006/relationships/chart" Target="/xl/charts/chart7.xml" Id="rId3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9.xml" Id="rId1" /><Relationship Type="http://schemas.openxmlformats.org/officeDocument/2006/relationships/chart" Target="/xl/charts/chart10.xml" Id="rId2" /><Relationship Type="http://schemas.openxmlformats.org/officeDocument/2006/relationships/chart" Target="/xl/charts/chart11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31</row>
      <rowOff>0</rowOff>
    </from>
    <ext cx="360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45</row>
      <rowOff>0</rowOff>
    </from>
    <ext cx="360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58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3">
      <c r="A3" s="2" t="inlineStr">
        <is>
          <t>PDF = Probability Density/Mass Function, CDF = Cumulative Distribution Function, INV = Inverse CDF (Quantile)</t>
        </is>
      </c>
    </row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ACT_POISSON_PDF(A7, 5)</f>
        <v/>
      </c>
      <c r="C7" s="4">
        <f>ACT_POISSON_CDF(A7, 5)</f>
        <v/>
      </c>
      <c r="D7" s="4" t="inlineStr"/>
    </row>
    <row r="8">
      <c r="A8" s="4" t="n">
        <v>1</v>
      </c>
      <c r="B8" s="4">
        <f>ACT_POISSON_PDF(A8, 5)</f>
        <v/>
      </c>
      <c r="C8" s="4">
        <f>ACT_POISSON_CDF(A8, 5)</f>
        <v/>
      </c>
      <c r="D8" s="4" t="inlineStr"/>
    </row>
    <row r="9">
      <c r="A9" s="4" t="n">
        <v>2</v>
      </c>
      <c r="B9" s="4">
        <f>ACT_POISSON_PDF(A9, 5)</f>
        <v/>
      </c>
      <c r="C9" s="4">
        <f>ACT_POISSON_CDF(A9, 5)</f>
        <v/>
      </c>
      <c r="D9" s="4" t="inlineStr"/>
    </row>
    <row r="10">
      <c r="A10" s="4" t="n">
        <v>3</v>
      </c>
      <c r="B10" s="4">
        <f>ACT_POISSON_PDF(A10, 5)</f>
        <v/>
      </c>
      <c r="C10" s="4">
        <f>ACT_POISSON_CDF(A10, 5)</f>
        <v/>
      </c>
      <c r="D10" s="4" t="inlineStr"/>
    </row>
    <row r="11">
      <c r="A11" s="4" t="n">
        <v>4</v>
      </c>
      <c r="B11" s="4">
        <f>ACT_POISSON_PDF(A11, 5)</f>
        <v/>
      </c>
      <c r="C11" s="4">
        <f>ACT_POISSON_CDF(A11, 5)</f>
        <v/>
      </c>
      <c r="D11" s="4" t="inlineStr"/>
    </row>
    <row r="12">
      <c r="A12" s="4" t="n">
        <v>5</v>
      </c>
      <c r="B12" s="4">
        <f>ACT_POISSON_PDF(A12, 5)</f>
        <v/>
      </c>
      <c r="C12" s="4">
        <f>ACT_POISSON_CDF(A12,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ACT_POISSON_PDF(A13, 5)</f>
        <v/>
      </c>
      <c r="C13" s="4">
        <f>ACT_POISSON_CDF(A13, 5)</f>
        <v/>
      </c>
      <c r="D13" s="4" t="inlineStr"/>
    </row>
    <row r="14">
      <c r="A14" s="4" t="n">
        <v>7</v>
      </c>
      <c r="B14" s="4">
        <f>ACT_POISSON_PDF(A14, 5)</f>
        <v/>
      </c>
      <c r="C14" s="4">
        <f>ACT_POISSON_CDF(A14, 5)</f>
        <v/>
      </c>
      <c r="D14" s="4" t="inlineStr"/>
    </row>
    <row r="15">
      <c r="A15" s="4" t="n">
        <v>8</v>
      </c>
      <c r="B15" s="4">
        <f>ACT_POISSON_PDF(A15, 5)</f>
        <v/>
      </c>
      <c r="C15" s="4">
        <f>ACT_POISSON_CDF(A15, 5)</f>
        <v/>
      </c>
      <c r="D15" s="4" t="inlineStr"/>
    </row>
    <row r="16">
      <c r="A16" s="4" t="n">
        <v>9</v>
      </c>
      <c r="B16" s="4">
        <f>ACT_POISSON_PDF(A16, 5)</f>
        <v/>
      </c>
      <c r="C16" s="4">
        <f>ACT_POISSON_CDF(A16, 5)</f>
        <v/>
      </c>
      <c r="D16" s="4" t="inlineStr"/>
    </row>
    <row r="17">
      <c r="A17" s="4" t="n">
        <v>10</v>
      </c>
      <c r="B17" s="4">
        <f>ACT_POISSON_PDF(A17, 5)</f>
        <v/>
      </c>
      <c r="C17" s="4">
        <f>ACT_POISSON_CDF(A17, 5)</f>
        <v/>
      </c>
      <c r="D17" s="4" t="inlineStr"/>
    </row>
    <row r="18">
      <c r="A18" s="2" t="inlineStr">
        <is>
          <t>Inverse CDF example: =ACT_POISSON_INV(0.5, 5) returns the median</t>
        </is>
      </c>
      <c r="E18">
        <f>ACT_POISSON_INV(0.5, 5)</f>
        <v/>
      </c>
    </row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ACT_NEGBIN_PDF(A22, 5, 0.3)</f>
        <v/>
      </c>
      <c r="C22" s="4">
        <f>ACT_NEGBIN_CDF(A22, 5, 0.3)</f>
        <v/>
      </c>
      <c r="D22" s="4" t="inlineStr"/>
    </row>
    <row r="23">
      <c r="A23" s="4" t="n">
        <v>1</v>
      </c>
      <c r="B23" s="4">
        <f>ACT_NEGBIN_PDF(A23, 5, 0.3)</f>
        <v/>
      </c>
      <c r="C23" s="4">
        <f>ACT_NEGBIN_CDF(A23, 5, 0.3)</f>
        <v/>
      </c>
      <c r="D23" s="4" t="inlineStr"/>
    </row>
    <row r="24">
      <c r="A24" s="4" t="n">
        <v>2</v>
      </c>
      <c r="B24" s="4">
        <f>ACT_NEGBIN_PDF(A24, 5, 0.3)</f>
        <v/>
      </c>
      <c r="C24" s="4">
        <f>ACT_NEGBIN_CDF(A24, 5, 0.3)</f>
        <v/>
      </c>
      <c r="D24" s="4" t="inlineStr"/>
    </row>
    <row r="25">
      <c r="A25" s="4" t="n">
        <v>3</v>
      </c>
      <c r="B25" s="4">
        <f>ACT_NEGBIN_PDF(A25, 5, 0.3)</f>
        <v/>
      </c>
      <c r="C25" s="4">
        <f>ACT_NEGBIN_CDF(A25, 5, 0.3)</f>
        <v/>
      </c>
      <c r="D25" s="4" t="inlineStr"/>
    </row>
    <row r="26">
      <c r="A26" s="4" t="n">
        <v>4</v>
      </c>
      <c r="B26" s="4">
        <f>ACT_NEGBIN_PDF(A26, 5, 0.3)</f>
        <v/>
      </c>
      <c r="C26" s="4">
        <f>ACT_NEGBIN_CDF(A26, 5, 0.3)</f>
        <v/>
      </c>
      <c r="D26" s="4" t="inlineStr"/>
    </row>
    <row r="27">
      <c r="A27" s="4" t="n">
        <v>5</v>
      </c>
      <c r="B27" s="4">
        <f>ACT_NEGBIN_PDF(A27, 5, 0.3)</f>
        <v/>
      </c>
      <c r="C27" s="4">
        <f>ACT_NEGBIN_CDF(A27, 5, 0.3)</f>
        <v/>
      </c>
      <c r="D27" s="4" t="inlineStr"/>
    </row>
    <row r="28">
      <c r="A28" s="4" t="n">
        <v>6</v>
      </c>
      <c r="B28" s="4">
        <f>ACT_NEGBIN_PDF(A28, 5, 0.3)</f>
        <v/>
      </c>
      <c r="C28" s="4">
        <f>ACT_NEGBIN_CDF(A28, 5, 0.3)</f>
        <v/>
      </c>
      <c r="D28" s="4" t="inlineStr"/>
    </row>
    <row r="29">
      <c r="A29" s="4" t="n">
        <v>7</v>
      </c>
      <c r="B29" s="4">
        <f>ACT_NEGBIN_PDF(A29, 5, 0.3)</f>
        <v/>
      </c>
      <c r="C29" s="4">
        <f>ACT_NEGBIN_CDF(A29, 5, 0.3)</f>
        <v/>
      </c>
      <c r="D29" s="4" t="inlineStr"/>
    </row>
    <row r="30">
      <c r="A30" s="4" t="n">
        <v>8</v>
      </c>
      <c r="B30" s="4">
        <f>ACT_NEGBIN_PDF(A30, 5, 0.3)</f>
        <v/>
      </c>
      <c r="C30" s="4">
        <f>ACT_NEGBIN_CDF(A30, 5, 0.3)</f>
        <v/>
      </c>
      <c r="D30" s="4" t="inlineStr"/>
    </row>
    <row r="31">
      <c r="A31" s="4" t="n">
        <v>9</v>
      </c>
      <c r="B31" s="4">
        <f>ACT_NEGBIN_PDF(A31, 5, 0.3)</f>
        <v/>
      </c>
      <c r="C31" s="4">
        <f>ACT_NEGBIN_CDF(A31, 5, 0.3)</f>
        <v/>
      </c>
      <c r="D31" s="4" t="inlineStr"/>
    </row>
    <row r="32">
      <c r="A32" s="4" t="n">
        <v>10</v>
      </c>
      <c r="B32" s="4">
        <f>ACT_NEGBIN_PDF(A32, 5, 0.3)</f>
        <v/>
      </c>
      <c r="C32" s="4">
        <f>ACT_NEGBIN_CDF(A32, 5, 0.3)</f>
        <v/>
      </c>
      <c r="D32" s="4" t="inlineStr"/>
    </row>
    <row r="34">
      <c r="A34" s="2" t="inlineStr">
        <is>
          <t>LOGNORMAL DISTRIBUTION (mu=0, sigma=1)</t>
        </is>
      </c>
    </row>
    <row r="35">
      <c r="A35" s="3" t="inlineStr">
        <is>
          <t>x</t>
        </is>
      </c>
      <c r="B35" s="3" t="inlineStr">
        <is>
          <t>PDF</t>
        </is>
      </c>
      <c r="C35" s="3" t="inlineStr">
        <is>
          <t>CDF</t>
        </is>
      </c>
      <c r="D35" s="3" t="inlineStr">
        <is>
          <t>Notes</t>
        </is>
      </c>
    </row>
    <row r="36">
      <c r="A36" s="4" t="n">
        <v>0.5</v>
      </c>
      <c r="B36" s="4">
        <f>ACT_LOGNORM_PDF(A36, 0, 1)</f>
        <v/>
      </c>
      <c r="C36" s="4">
        <f>ACT_LOGNORM_CDF(A36, 0, 1)</f>
        <v/>
      </c>
      <c r="D36" s="4" t="inlineStr"/>
    </row>
    <row r="37">
      <c r="A37" s="4" t="n">
        <v>1</v>
      </c>
      <c r="B37" s="4">
        <f>ACT_LOGNORM_PDF(A37, 0, 1)</f>
        <v/>
      </c>
      <c r="C37" s="4">
        <f>ACT_LOGNORM_CDF(A37, 0, 1)</f>
        <v/>
      </c>
      <c r="D37" s="4" t="inlineStr">
        <is>
          <t>Median (exp(mu))</t>
        </is>
      </c>
    </row>
    <row r="38">
      <c r="A38" s="4" t="n">
        <v>1.5</v>
      </c>
      <c r="B38" s="4">
        <f>ACT_LOGNORM_PDF(A38, 0, 1)</f>
        <v/>
      </c>
      <c r="C38" s="4">
        <f>ACT_LOGNORM_CDF(A38, 0, 1)</f>
        <v/>
      </c>
      <c r="D38" s="4" t="inlineStr"/>
    </row>
    <row r="39">
      <c r="A39" s="4" t="n">
        <v>2</v>
      </c>
      <c r="B39" s="4">
        <f>ACT_LOGNORM_PDF(A39, 0, 1)</f>
        <v/>
      </c>
      <c r="C39" s="4">
        <f>ACT_LOGNORM_CDF(A39, 0, 1)</f>
        <v/>
      </c>
      <c r="D39" s="4" t="inlineStr"/>
    </row>
    <row r="40">
      <c r="A40" s="4" t="n">
        <v>3</v>
      </c>
      <c r="B40" s="4">
        <f>ACT_LOGNORM_PDF(A40, 0, 1)</f>
        <v/>
      </c>
      <c r="C40" s="4">
        <f>ACT_LOGNORM_CDF(A40, 0, 1)</f>
        <v/>
      </c>
      <c r="D40" s="4" t="inlineStr"/>
    </row>
    <row r="41">
      <c r="A41" s="4" t="n">
        <v>5</v>
      </c>
      <c r="B41" s="4">
        <f>ACT_LOGNORM_PDF(A41, 0, 1)</f>
        <v/>
      </c>
      <c r="C41" s="4">
        <f>ACT_LOGNORM_CDF(A41, 0, 1)</f>
        <v/>
      </c>
      <c r="D41" s="4" t="inlineStr"/>
    </row>
    <row r="43">
      <c r="A43" s="2" t="inlineStr">
        <is>
          <t>GAMMA DISTRIBUTION (alpha=2, beta=1)</t>
        </is>
      </c>
    </row>
    <row r="44">
      <c r="A44" s="3" t="inlineStr">
        <is>
          <t>x</t>
        </is>
      </c>
      <c r="B44" s="3" t="inlineStr">
        <is>
          <t>PDF</t>
        </is>
      </c>
      <c r="C44" s="3" t="inlineStr">
        <is>
          <t>CDF</t>
        </is>
      </c>
      <c r="D44" s="3" t="inlineStr">
        <is>
          <t>Notes</t>
        </is>
      </c>
    </row>
    <row r="45">
      <c r="A45" s="4" t="n">
        <v>0.5</v>
      </c>
      <c r="B45" s="4">
        <f>ACT_GAMMA_PDF(A45, 2, 1)</f>
        <v/>
      </c>
      <c r="C45" s="4">
        <f>ACT_GAMMA_CDF(A45, 2, 1)</f>
        <v/>
      </c>
      <c r="D45" s="4" t="inlineStr"/>
    </row>
    <row r="46">
      <c r="A46" s="4" t="n">
        <v>1</v>
      </c>
      <c r="B46" s="4">
        <f>ACT_GAMMA_PDF(A46, 2, 1)</f>
        <v/>
      </c>
      <c r="C46" s="4">
        <f>ACT_GAMMA_CDF(A46, 2, 1)</f>
        <v/>
      </c>
      <c r="D46" s="4" t="inlineStr"/>
    </row>
    <row r="47">
      <c r="A47" s="4" t="n">
        <v>2</v>
      </c>
      <c r="B47" s="4">
        <f>ACT_GAMMA_PDF(A47, 2, 1)</f>
        <v/>
      </c>
      <c r="C47" s="4">
        <f>ACT_GAMMA_CDF(A47, 2, 1)</f>
        <v/>
      </c>
      <c r="D47" s="4" t="inlineStr">
        <is>
          <t>Mean (alpha/beta)</t>
        </is>
      </c>
    </row>
    <row r="48">
      <c r="A48" s="4" t="n">
        <v>3</v>
      </c>
      <c r="B48" s="4">
        <f>ACT_GAMMA_PDF(A48, 2, 1)</f>
        <v/>
      </c>
      <c r="C48" s="4">
        <f>ACT_GAMMA_CDF(A48, 2, 1)</f>
        <v/>
      </c>
      <c r="D48" s="4" t="inlineStr"/>
    </row>
    <row r="49">
      <c r="A49" s="4" t="n">
        <v>5</v>
      </c>
      <c r="B49" s="4">
        <f>ACT_GAMMA_PDF(A49, 2, 1)</f>
        <v/>
      </c>
      <c r="C49" s="4">
        <f>ACT_GAMMA_CDF(A49, 2, 1)</f>
        <v/>
      </c>
      <c r="D49" s="4" t="inlineStr"/>
    </row>
    <row r="51">
      <c r="A51" s="2" t="inlineStr">
        <is>
          <t>PARETO DISTRIBUTION (alpha=2, xm=1)</t>
        </is>
      </c>
    </row>
    <row r="52">
      <c r="A52" s="3" t="inlineStr">
        <is>
          <t>x</t>
        </is>
      </c>
      <c r="B52" s="3" t="inlineStr">
        <is>
          <t>PDF</t>
        </is>
      </c>
      <c r="C52" s="3" t="inlineStr">
        <is>
          <t>CDF</t>
        </is>
      </c>
      <c r="D52" s="3" t="inlineStr">
        <is>
          <t>Notes</t>
        </is>
      </c>
    </row>
    <row r="53">
      <c r="A53" s="4" t="n">
        <v>1</v>
      </c>
      <c r="B53" s="4">
        <f>ACT_PARETO_PDF(A53, 2, 1)</f>
        <v/>
      </c>
      <c r="C53" s="4">
        <f>ACT_PARETO_CDF(A53, 2, 1)</f>
        <v/>
      </c>
      <c r="D53" s="4" t="inlineStr">
        <is>
          <t>Minimum value (xm)</t>
        </is>
      </c>
    </row>
    <row r="54">
      <c r="A54" s="4" t="n">
        <v>1.5</v>
      </c>
      <c r="B54" s="4">
        <f>ACT_PARETO_PDF(A54, 2, 1)</f>
        <v/>
      </c>
      <c r="C54" s="4">
        <f>ACT_PARETO_CDF(A54, 2, 1)</f>
        <v/>
      </c>
      <c r="D54" s="4" t="inlineStr"/>
    </row>
    <row r="55">
      <c r="A55" s="4" t="n">
        <v>2</v>
      </c>
      <c r="B55" s="4">
        <f>ACT_PARETO_PDF(A55, 2, 1)</f>
        <v/>
      </c>
      <c r="C55" s="4">
        <f>ACT_PARETO_CDF(A55, 2, 1)</f>
        <v/>
      </c>
      <c r="D55" s="4" t="inlineStr"/>
    </row>
    <row r="56">
      <c r="A56" s="4" t="n">
        <v>3</v>
      </c>
      <c r="B56" s="4">
        <f>ACT_PARETO_PDF(A56, 2, 1)</f>
        <v/>
      </c>
      <c r="C56" s="4">
        <f>ACT_PARETO_CDF(A56, 2, 1)</f>
        <v/>
      </c>
      <c r="D56" s="4" t="inlineStr"/>
    </row>
    <row r="57">
      <c r="A57" s="4" t="n">
        <v>5</v>
      </c>
      <c r="B57" s="4">
        <f>ACT_PARETO_PDF(A57, 2, 1)</f>
        <v/>
      </c>
      <c r="C57" s="4">
        <f>ACT_PARETO_CDF(A57, 2, 1)</f>
        <v/>
      </c>
      <c r="D57" s="4" t="inlineStr"/>
    </row>
    <row r="58">
      <c r="A58" s="4" t="n">
        <v>10</v>
      </c>
      <c r="B58" s="4">
        <f>ACT_PARETO_PDF(A58, 2, 1)</f>
        <v/>
      </c>
      <c r="C58" s="4">
        <f>ACT_PARETO_CDF(A58, 2, 1)</f>
        <v/>
      </c>
      <c r="D58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5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ACT_MBBEFD(A7, 2, 3)</f>
        <v/>
      </c>
      <c r="C7" s="4" t="inlineStr"/>
    </row>
    <row r="8">
      <c r="A8" s="4" t="n">
        <v>0.1</v>
      </c>
      <c r="B8" s="4">
        <f>ACT_MBBEFD(A8, 2, 3)</f>
        <v/>
      </c>
      <c r="C8" s="4" t="inlineStr"/>
    </row>
    <row r="9">
      <c r="A9" s="4" t="n">
        <v>0.2</v>
      </c>
      <c r="B9" s="4">
        <f>ACT_MBBEFD(A9, 2, 3)</f>
        <v/>
      </c>
      <c r="C9" s="4" t="inlineStr"/>
    </row>
    <row r="10">
      <c r="A10" s="4" t="n">
        <v>0.3</v>
      </c>
      <c r="B10" s="4">
        <f>ACT_MBBEFD(A10, 2, 3)</f>
        <v/>
      </c>
      <c r="C10" s="4" t="inlineStr"/>
    </row>
    <row r="11">
      <c r="A11" s="4" t="n">
        <v>0.4</v>
      </c>
      <c r="B11" s="4">
        <f>ACT_MBBEFD(A11, 2, 3)</f>
        <v/>
      </c>
      <c r="C11" s="4" t="inlineStr"/>
    </row>
    <row r="12">
      <c r="A12" s="4" t="n">
        <v>0.5</v>
      </c>
      <c r="B12" s="4">
        <f>ACT_MBBEFD(A12, 2, 3)</f>
        <v/>
      </c>
      <c r="C12" s="4" t="inlineStr"/>
    </row>
    <row r="13">
      <c r="A13" s="4" t="n">
        <v>0.6</v>
      </c>
      <c r="B13" s="4">
        <f>ACT_MBBEFD(A13, 2, 3)</f>
        <v/>
      </c>
      <c r="C13" s="4" t="inlineStr"/>
    </row>
    <row r="14">
      <c r="A14" s="4" t="n">
        <v>0.7</v>
      </c>
      <c r="B14" s="4">
        <f>ACT_MBBEFD(A14, 2, 3)</f>
        <v/>
      </c>
      <c r="C14" s="4" t="inlineStr"/>
    </row>
    <row r="15">
      <c r="A15" s="4" t="n">
        <v>0.8</v>
      </c>
      <c r="B15" s="4">
        <f>ACT_MBBEFD(A15, 2, 3)</f>
        <v/>
      </c>
      <c r="C15" s="4" t="inlineStr"/>
    </row>
    <row r="16">
      <c r="A16" s="4" t="n">
        <v>0.9</v>
      </c>
      <c r="B16" s="4">
        <f>ACT_MBBEFD(A16, 2, 3)</f>
        <v/>
      </c>
      <c r="C16" s="4" t="inlineStr"/>
    </row>
    <row r="17">
      <c r="A17" s="4" t="n">
        <v>1</v>
      </c>
      <c r="B17" s="4">
        <f>ACT_MBBEFD(A17,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ACT_SWISSRE_CURVE(A21, 1)</f>
        <v/>
      </c>
      <c r="C21" s="5">
        <f>ACT_SWISSRE_CURVE(A21, 2)</f>
        <v/>
      </c>
      <c r="D21" s="5">
        <f>ACT_SWISSRE_CURVE(A21, 3)</f>
        <v/>
      </c>
      <c r="E21" s="5">
        <f>ACT_SWISSRE_CURVE(A21, 4)</f>
        <v/>
      </c>
      <c r="F21" s="5">
        <f>ACT_SWISSRE_CURVE(A21, 5)</f>
        <v/>
      </c>
    </row>
    <row r="22">
      <c r="A22" s="5" t="n">
        <v>0.1</v>
      </c>
      <c r="B22" s="5">
        <f>ACT_SWISSRE_CURVE(A22, 1)</f>
        <v/>
      </c>
      <c r="C22" s="5">
        <f>ACT_SWISSRE_CURVE(A22, 2)</f>
        <v/>
      </c>
      <c r="D22" s="5">
        <f>ACT_SWISSRE_CURVE(A22, 3)</f>
        <v/>
      </c>
      <c r="E22" s="5">
        <f>ACT_SWISSRE_CURVE(A22, 4)</f>
        <v/>
      </c>
      <c r="F22" s="5">
        <f>ACT_SWISSRE_CURVE(A22, 5)</f>
        <v/>
      </c>
    </row>
    <row r="23">
      <c r="A23" s="5" t="n">
        <v>0.2</v>
      </c>
      <c r="B23" s="5">
        <f>ACT_SWISSRE_CURVE(A23, 1)</f>
        <v/>
      </c>
      <c r="C23" s="5">
        <f>ACT_SWISSRE_CURVE(A23, 2)</f>
        <v/>
      </c>
      <c r="D23" s="5">
        <f>ACT_SWISSRE_CURVE(A23, 3)</f>
        <v/>
      </c>
      <c r="E23" s="5">
        <f>ACT_SWISSRE_CURVE(A23, 4)</f>
        <v/>
      </c>
      <c r="F23" s="5">
        <f>ACT_SWISSRE_CURVE(A23, 5)</f>
        <v/>
      </c>
    </row>
    <row r="24">
      <c r="A24" s="5" t="n">
        <v>0.3</v>
      </c>
      <c r="B24" s="5">
        <f>ACT_SWISSRE_CURVE(A24, 1)</f>
        <v/>
      </c>
      <c r="C24" s="5">
        <f>ACT_SWISSRE_CURVE(A24, 2)</f>
        <v/>
      </c>
      <c r="D24" s="5">
        <f>ACT_SWISSRE_CURVE(A24, 3)</f>
        <v/>
      </c>
      <c r="E24" s="5">
        <f>ACT_SWISSRE_CURVE(A24, 4)</f>
        <v/>
      </c>
      <c r="F24" s="5">
        <f>ACT_SWISSRE_CURVE(A24, 5)</f>
        <v/>
      </c>
    </row>
    <row r="25">
      <c r="A25" s="5" t="n">
        <v>0.4</v>
      </c>
      <c r="B25" s="5">
        <f>ACT_SWISSRE_CURVE(A25, 1)</f>
        <v/>
      </c>
      <c r="C25" s="5">
        <f>ACT_SWISSRE_CURVE(A25, 2)</f>
        <v/>
      </c>
      <c r="D25" s="5">
        <f>ACT_SWISSRE_CURVE(A25, 3)</f>
        <v/>
      </c>
      <c r="E25" s="5">
        <f>ACT_SWISSRE_CURVE(A25, 4)</f>
        <v/>
      </c>
      <c r="F25" s="5">
        <f>ACT_SWISSRE_CURVE(A25, 5)</f>
        <v/>
      </c>
    </row>
    <row r="26">
      <c r="A26" s="5" t="n">
        <v>0.5</v>
      </c>
      <c r="B26" s="5">
        <f>ACT_SWISSRE_CURVE(A26, 1)</f>
        <v/>
      </c>
      <c r="C26" s="5">
        <f>ACT_SWISSRE_CURVE(A26, 2)</f>
        <v/>
      </c>
      <c r="D26" s="5">
        <f>ACT_SWISSRE_CURVE(A26, 3)</f>
        <v/>
      </c>
      <c r="E26" s="5">
        <f>ACT_SWISSRE_CURVE(A26, 4)</f>
        <v/>
      </c>
      <c r="F26" s="5">
        <f>ACT_SWISSRE_CURVE(A26, 5)</f>
        <v/>
      </c>
    </row>
    <row r="27">
      <c r="A27" s="5" t="n">
        <v>0.6</v>
      </c>
      <c r="B27" s="5">
        <f>ACT_SWISSRE_CURVE(A27, 1)</f>
        <v/>
      </c>
      <c r="C27" s="5">
        <f>ACT_SWISSRE_CURVE(A27, 2)</f>
        <v/>
      </c>
      <c r="D27" s="5">
        <f>ACT_SWISSRE_CURVE(A27, 3)</f>
        <v/>
      </c>
      <c r="E27" s="5">
        <f>ACT_SWISSRE_CURVE(A27, 4)</f>
        <v/>
      </c>
      <c r="F27" s="5">
        <f>ACT_SWISSRE_CURVE(A27, 5)</f>
        <v/>
      </c>
    </row>
    <row r="28">
      <c r="A28" s="5" t="n">
        <v>0.7</v>
      </c>
      <c r="B28" s="5">
        <f>ACT_SWISSRE_CURVE(A28, 1)</f>
        <v/>
      </c>
      <c r="C28" s="5">
        <f>ACT_SWISSRE_CURVE(A28, 2)</f>
        <v/>
      </c>
      <c r="D28" s="5">
        <f>ACT_SWISSRE_CURVE(A28, 3)</f>
        <v/>
      </c>
      <c r="E28" s="5">
        <f>ACT_SWISSRE_CURVE(A28, 4)</f>
        <v/>
      </c>
      <c r="F28" s="5">
        <f>ACT_SWISSRE_CURVE(A28, 5)</f>
        <v/>
      </c>
    </row>
    <row r="29">
      <c r="A29" s="5" t="n">
        <v>0.8</v>
      </c>
      <c r="B29" s="5">
        <f>ACT_SWISSRE_CURVE(A29, 1)</f>
        <v/>
      </c>
      <c r="C29" s="5">
        <f>ACT_SWISSRE_CURVE(A29, 2)</f>
        <v/>
      </c>
      <c r="D29" s="5">
        <f>ACT_SWISSRE_CURVE(A29, 3)</f>
        <v/>
      </c>
      <c r="E29" s="5">
        <f>ACT_SWISSRE_CURVE(A29, 4)</f>
        <v/>
      </c>
      <c r="F29" s="5">
        <f>ACT_SWISSRE_CURVE(A29, 5)</f>
        <v/>
      </c>
    </row>
    <row r="30">
      <c r="A30" s="5" t="n">
        <v>0.9</v>
      </c>
      <c r="B30" s="5">
        <f>ACT_SWISSRE_CURVE(A30, 1)</f>
        <v/>
      </c>
      <c r="C30" s="5">
        <f>ACT_SWISSRE_CURVE(A30, 2)</f>
        <v/>
      </c>
      <c r="D30" s="5">
        <f>ACT_SWISSRE_CURVE(A30, 3)</f>
        <v/>
      </c>
      <c r="E30" s="5">
        <f>ACT_SWISSRE_CURVE(A30, 4)</f>
        <v/>
      </c>
      <c r="F30" s="5">
        <f>ACT_SWISSRE_CURVE(A30, 5)</f>
        <v/>
      </c>
    </row>
    <row r="31">
      <c r="A31" s="5" t="n">
        <v>1</v>
      </c>
      <c r="B31" s="5">
        <f>ACT_SWISSRE_CURVE(A31, 1)</f>
        <v/>
      </c>
      <c r="C31" s="5">
        <f>ACT_SWISSRE_CURVE(A31, 2)</f>
        <v/>
      </c>
      <c r="D31" s="5">
        <f>ACT_SWISSRE_CURVE(A31, 3)</f>
        <v/>
      </c>
      <c r="E31" s="5">
        <f>ACT_SWISSRE_CURVE(A31, 4)</f>
        <v/>
      </c>
      <c r="F31" s="5">
        <f>ACT_SWISSRE_CURVE(A31,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ACT_LLOYDS_CURVE(A35, "Y1")</f>
        <v/>
      </c>
      <c r="C35" s="5">
        <f>ACT_LLOYDS_CURVE(A35, "Y2")</f>
        <v/>
      </c>
      <c r="D35" s="5">
        <f>ACT_LLOYDS_CURVE(A35, "Y3")</f>
        <v/>
      </c>
      <c r="E35" s="5">
        <f>ACT_LLOYDS_CURVE(A35, "Y4")</f>
        <v/>
      </c>
    </row>
    <row r="36">
      <c r="A36" s="5" t="n">
        <v>0.1</v>
      </c>
      <c r="B36" s="5">
        <f>ACT_LLOYDS_CURVE(A36, "Y1")</f>
        <v/>
      </c>
      <c r="C36" s="5">
        <f>ACT_LLOYDS_CURVE(A36, "Y2")</f>
        <v/>
      </c>
      <c r="D36" s="5">
        <f>ACT_LLOYDS_CURVE(A36, "Y3")</f>
        <v/>
      </c>
      <c r="E36" s="5">
        <f>ACT_LLOYDS_CURVE(A36, "Y4")</f>
        <v/>
      </c>
    </row>
    <row r="37">
      <c r="A37" s="5" t="n">
        <v>0.2</v>
      </c>
      <c r="B37" s="5">
        <f>ACT_LLOYDS_CURVE(A37, "Y1")</f>
        <v/>
      </c>
      <c r="C37" s="5">
        <f>ACT_LLOYDS_CURVE(A37, "Y2")</f>
        <v/>
      </c>
      <c r="D37" s="5">
        <f>ACT_LLOYDS_CURVE(A37, "Y3")</f>
        <v/>
      </c>
      <c r="E37" s="5">
        <f>ACT_LLOYDS_CURVE(A37, "Y4")</f>
        <v/>
      </c>
    </row>
    <row r="38">
      <c r="A38" s="5" t="n">
        <v>0.3</v>
      </c>
      <c r="B38" s="5">
        <f>ACT_LLOYDS_CURVE(A38, "Y1")</f>
        <v/>
      </c>
      <c r="C38" s="5">
        <f>ACT_LLOYDS_CURVE(A38, "Y2")</f>
        <v/>
      </c>
      <c r="D38" s="5">
        <f>ACT_LLOYDS_CURVE(A38, "Y3")</f>
        <v/>
      </c>
      <c r="E38" s="5">
        <f>ACT_LLOYDS_CURVE(A38, "Y4")</f>
        <v/>
      </c>
    </row>
    <row r="39">
      <c r="A39" s="5" t="n">
        <v>0.4</v>
      </c>
      <c r="B39" s="5">
        <f>ACT_LLOYDS_CURVE(A39, "Y1")</f>
        <v/>
      </c>
      <c r="C39" s="5">
        <f>ACT_LLOYDS_CURVE(A39, "Y2")</f>
        <v/>
      </c>
      <c r="D39" s="5">
        <f>ACT_LLOYDS_CURVE(A39, "Y3")</f>
        <v/>
      </c>
      <c r="E39" s="5">
        <f>ACT_LLOYDS_CURVE(A39, "Y4")</f>
        <v/>
      </c>
    </row>
    <row r="40">
      <c r="A40" s="5" t="n">
        <v>0.5</v>
      </c>
      <c r="B40" s="5">
        <f>ACT_LLOYDS_CURVE(A40, "Y1")</f>
        <v/>
      </c>
      <c r="C40" s="5">
        <f>ACT_LLOYDS_CURVE(A40, "Y2")</f>
        <v/>
      </c>
      <c r="D40" s="5">
        <f>ACT_LLOYDS_CURVE(A40, "Y3")</f>
        <v/>
      </c>
      <c r="E40" s="5">
        <f>ACT_LLOYDS_CURVE(A40, "Y4")</f>
        <v/>
      </c>
    </row>
    <row r="41">
      <c r="A41" s="5" t="n">
        <v>0.6</v>
      </c>
      <c r="B41" s="5">
        <f>ACT_LLOYDS_CURVE(A41, "Y1")</f>
        <v/>
      </c>
      <c r="C41" s="5">
        <f>ACT_LLOYDS_CURVE(A41, "Y2")</f>
        <v/>
      </c>
      <c r="D41" s="5">
        <f>ACT_LLOYDS_CURVE(A41, "Y3")</f>
        <v/>
      </c>
      <c r="E41" s="5">
        <f>ACT_LLOYDS_CURVE(A41, "Y4")</f>
        <v/>
      </c>
    </row>
    <row r="42">
      <c r="A42" s="5" t="n">
        <v>0.7</v>
      </c>
      <c r="B42" s="5">
        <f>ACT_LLOYDS_CURVE(A42, "Y1")</f>
        <v/>
      </c>
      <c r="C42" s="5">
        <f>ACT_LLOYDS_CURVE(A42, "Y2")</f>
        <v/>
      </c>
      <c r="D42" s="5">
        <f>ACT_LLOYDS_CURVE(A42, "Y3")</f>
        <v/>
      </c>
      <c r="E42" s="5">
        <f>ACT_LLOYDS_CURVE(A42, "Y4")</f>
        <v/>
      </c>
    </row>
    <row r="43">
      <c r="A43" s="5" t="n">
        <v>0.8</v>
      </c>
      <c r="B43" s="5">
        <f>ACT_LLOYDS_CURVE(A43, "Y1")</f>
        <v/>
      </c>
      <c r="C43" s="5">
        <f>ACT_LLOYDS_CURVE(A43, "Y2")</f>
        <v/>
      </c>
      <c r="D43" s="5">
        <f>ACT_LLOYDS_CURVE(A43, "Y3")</f>
        <v/>
      </c>
      <c r="E43" s="5">
        <f>ACT_LLOYDS_CURVE(A43, "Y4")</f>
        <v/>
      </c>
    </row>
    <row r="44">
      <c r="A44" s="5" t="n">
        <v>0.9</v>
      </c>
      <c r="B44" s="5">
        <f>ACT_LLOYDS_CURVE(A44, "Y1")</f>
        <v/>
      </c>
      <c r="C44" s="5">
        <f>ACT_LLOYDS_CURVE(A44, "Y2")</f>
        <v/>
      </c>
      <c r="D44" s="5">
        <f>ACT_LLOYDS_CURVE(A44, "Y3")</f>
        <v/>
      </c>
      <c r="E44" s="5">
        <f>ACT_LLOYDS_CURVE(A44, "Y4")</f>
        <v/>
      </c>
    </row>
    <row r="45">
      <c r="A45" s="5" t="n">
        <v>1</v>
      </c>
      <c r="B45" s="5">
        <f>ACT_LLOYDS_CURVE(A45, "Y1")</f>
        <v/>
      </c>
      <c r="C45" s="5">
        <f>ACT_LLOYDS_CURVE(A45, "Y2")</f>
        <v/>
      </c>
      <c r="D45" s="5">
        <f>ACT_LLOYDS_CURVE(A45, "Y3")</f>
        <v/>
      </c>
      <c r="E45" s="5">
        <f>ACT_LLOYDS_CURVE(A45,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ACT_POWER_CURVE(0.5, 2)</t>
        </is>
      </c>
      <c r="C49" s="5">
        <f>ACT_POWER_CURVE(0.5,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ACT_INVERSE_POWER_CURVE(0.5, 2)</t>
        </is>
      </c>
      <c r="C50" s="5">
        <f>ACT_INVERSE_POWER_CURVE(0.5,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ACT_PARETO_EXPOSURE(0.5, 2)</t>
        </is>
      </c>
      <c r="C51" s="5">
        <f>ACT_PARETO_EXPOSURE(0.5, 2)</f>
        <v/>
      </c>
      <c r="D51" s="5" t="inlineStr">
        <is>
          <t>Based on Pareto severity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loss, quota share, and aggregate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  <row r="14">
      <c r="A14" s="2" t="inlineStr">
        <is>
          <t>QUOTA SHARE (50% cession)</t>
        </is>
      </c>
    </row>
    <row r="15">
      <c r="A15" s="3" t="inlineStr">
        <is>
          <t>Ground-Up Loss</t>
        </is>
      </c>
      <c r="B15" s="3" t="inlineStr">
        <is>
          <t>Ceded Loss</t>
        </is>
      </c>
      <c r="C15" s="3" t="inlineStr">
        <is>
          <t>Retained</t>
        </is>
      </c>
    </row>
    <row r="16">
      <c r="A16" s="8" t="n">
        <v>1000000</v>
      </c>
      <c r="B16" s="8">
        <f>ACT_QS_CEDED(A16, 0.5)</f>
        <v/>
      </c>
      <c r="C16" s="8">
        <f>A16-B16</f>
        <v/>
      </c>
    </row>
    <row r="18">
      <c r="A18" s="2" t="inlineStr">
        <is>
          <t>AGGREGATE LAYER (Deductible=2,000,000, Limit=10,000,000)</t>
        </is>
      </c>
    </row>
    <row r="19">
      <c r="A19" s="3" t="inlineStr">
        <is>
          <t>Aggregate Loss</t>
        </is>
      </c>
      <c r="B19" s="3" t="inlineStr">
        <is>
          <t>Layer Recovery</t>
        </is>
      </c>
      <c r="C19" s="3" t="inlineStr">
        <is>
          <t>Notes</t>
        </is>
      </c>
    </row>
    <row r="20">
      <c r="A20" s="8" t="n">
        <v>1000000</v>
      </c>
      <c r="B20" s="8">
        <f>ACT_AGGREGATE_LAYER(A20, 2000000, 10000000)</f>
        <v/>
      </c>
      <c r="C20" s="5" t="inlineStr">
        <is>
          <t>Below deductible</t>
        </is>
      </c>
    </row>
    <row r="21">
      <c r="A21" s="8" t="n">
        <v>2000000</v>
      </c>
      <c r="B21" s="8">
        <f>ACT_AGGREGATE_LAYER(A21, 2000000, 10000000)</f>
        <v/>
      </c>
      <c r="C21" s="5" t="inlineStr">
        <is>
          <t>At deductible</t>
        </is>
      </c>
    </row>
    <row r="22">
      <c r="A22" s="8" t="n">
        <v>5000000</v>
      </c>
      <c r="B22" s="8">
        <f>ACT_AGGREGATE_LAYER(A22, 2000000, 10000000)</f>
        <v/>
      </c>
      <c r="C22" s="5" t="inlineStr">
        <is>
          <t>Partial recovery</t>
        </is>
      </c>
    </row>
    <row r="23">
      <c r="A23" s="8" t="n">
        <v>12000000</v>
      </c>
      <c r="B23" s="8">
        <f>ACT_AGGREGATE_LAYER(A23, 2000000, 10000000)</f>
        <v/>
      </c>
      <c r="C23" s="5" t="inlineStr">
        <is>
          <t>Full limit</t>
        </is>
      </c>
    </row>
    <row r="24">
      <c r="A24" s="8" t="n">
        <v>15000000</v>
      </c>
      <c r="B24" s="8">
        <f>ACT_AGGREGATE_LAYER(A24, 2000000, 10000000)</f>
        <v/>
      </c>
      <c r="C24" s="5" t="inlineStr">
        <is>
          <t>Capped at limit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49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</row>
    <row r="40">
      <c r="A40" s="5" t="n">
        <v>1</v>
      </c>
      <c r="B40" s="8">
        <f>INDEX(ACT_MACK_RESERVE_SE(B7:K16), 1)</f>
        <v/>
      </c>
    </row>
    <row r="41">
      <c r="A41" s="5" t="n">
        <v>2</v>
      </c>
      <c r="B41" s="8">
        <f>INDEX(ACT_MACK_RESERVE_SE(B7:K16), 2)</f>
        <v/>
      </c>
    </row>
    <row r="42">
      <c r="A42" s="5" t="n">
        <v>3</v>
      </c>
      <c r="B42" s="8">
        <f>INDEX(ACT_MACK_RESERVE_SE(B7:K16), 3)</f>
        <v/>
      </c>
    </row>
    <row r="43">
      <c r="A43" s="5" t="n">
        <v>4</v>
      </c>
      <c r="B43" s="8">
        <f>INDEX(ACT_MACK_RESERVE_SE(B7:K16), 4)</f>
        <v/>
      </c>
    </row>
    <row r="44">
      <c r="A44" s="5" t="n">
        <v>5</v>
      </c>
      <c r="B44" s="8">
        <f>INDEX(ACT_MACK_RESERVE_SE(B7:K16), 5)</f>
        <v/>
      </c>
    </row>
    <row r="45">
      <c r="A45" s="5" t="n">
        <v>6</v>
      </c>
      <c r="B45" s="8">
        <f>INDEX(ACT_MACK_RESERVE_SE(B7:K16), 6)</f>
        <v/>
      </c>
    </row>
    <row r="46">
      <c r="A46" s="5" t="n">
        <v>7</v>
      </c>
      <c r="B46" s="8">
        <f>INDEX(ACT_MACK_RESERVE_SE(B7:K16), 7)</f>
        <v/>
      </c>
    </row>
    <row r="47">
      <c r="A47" s="5" t="n">
        <v>8</v>
      </c>
      <c r="B47" s="8">
        <f>INDEX(ACT_MACK_RESERVE_SE(B7:K16), 8)</f>
        <v/>
      </c>
    </row>
    <row r="48">
      <c r="A48" s="5" t="n">
        <v>9</v>
      </c>
      <c r="B48" s="8">
        <f>INDEX(ACT_MACK_RESERVE_SE(B7:K16), 9)</f>
        <v/>
      </c>
    </row>
    <row r="49">
      <c r="A49" s="5" t="n">
        <v>10</v>
      </c>
      <c r="B49" s="8">
        <f>INDEX(ACT_MACK_RESERVE_SE(B7:K16), 10)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121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(uniform marginals, correlated via t-copula)</t>
        </is>
      </c>
    </row>
    <row r="17">
      <c r="A17" s="2" t="inlineStr">
        <is>
          <t>Formula: =ACT_STUDENT_T_COPULA(B7:D9, B12, B13, B14)</t>
        </is>
      </c>
    </row>
    <row r="18">
      <c r="A18" s="3" t="inlineStr">
        <is>
          <t>U1</t>
        </is>
      </c>
      <c r="B18" s="3" t="inlineStr">
        <is>
          <t>U2</t>
        </is>
      </c>
      <c r="C18" s="3" t="inlineStr">
        <is>
          <t>U3</t>
        </is>
      </c>
    </row>
    <row r="19">
      <c r="A19" s="5">
        <f>ACT_STUDENT_T_COPULA(B7:D9, B12, B13, B14)</f>
        <v/>
      </c>
    </row>
    <row r="121">
      <c r="A121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2026-01-17T21:44:25Z</dcterms:modified>
  <cp:lastModifiedBy>Matthew Evans</cp:lastModifiedBy>
</cp:coreProperties>
</file>