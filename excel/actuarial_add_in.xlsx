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2.xml" ContentType="application/vnd.openxmlformats-officedocument.drawing+xml"/>
  <Override PartName="/xl/charts/chart26.xml" ContentType="application/vnd.openxmlformats-officedocument.drawingml.chart+xml"/>
  <Override PartName="/xl/drawings/drawing3.xml" ContentType="application/vnd.openxmlformats-officedocument.drawing+xml"/>
  <Override PartName="/xl/charts/chart27.xml" ContentType="application/vnd.openxmlformats-officedocument.drawingml.chart+xml"/>
  <Override PartName="/xl/drawings/drawing4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5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6.xml" ContentType="application/vnd.openxmlformats-officedocument.drawing+xml"/>
  <Override PartName="/xl/charts/chart36.xml" ContentType="application/vnd.openxmlformats-officedocument.drawingml.chart+xml"/>
  <Override PartName="/xl/drawings/drawing7.xml" ContentType="application/vnd.openxmlformats-officedocument.drawing+xml"/>
  <Override PartName="/xl/charts/chart3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th\actuarial_dump_test\"/>
    </mc:Choice>
  </mc:AlternateContent>
  <xr:revisionPtr revIDLastSave="0" documentId="13_ncr:1_{7A4F6CD6-8394-4F1D-BF47-6E4236B4AD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sions" sheetId="1" r:id="rId1"/>
    <sheet name="All Functions Test" sheetId="2" r:id="rId2"/>
    <sheet name="Distributions" sheetId="3" r:id="rId3"/>
    <sheet name="Exposure Curves" sheetId="4" r:id="rId4"/>
    <sheet name="Reinsurance" sheetId="5" r:id="rId5"/>
    <sheet name="Cat Modeling" sheetId="6" r:id="rId6"/>
    <sheet name="Interpolation" sheetId="7" r:id="rId7"/>
    <sheet name="Chain Ladder" sheetId="8" r:id="rId8"/>
    <sheet name="Copulas" sheetId="9" r:id="rId9"/>
    <sheet name="Aggregate Claims" sheetId="10" r:id="rId10"/>
    <sheet name="Return Period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7" i="9" l="1"/>
  <c r="D8" i="9"/>
  <c r="D7" i="9"/>
  <c r="C7" i="9"/>
  <c r="C33" i="10" a="1"/>
  <c r="C32" i="10" a="1"/>
  <c r="C31" i="10" a="1"/>
  <c r="C30" i="10" a="1"/>
  <c r="C29" i="10" a="1"/>
  <c r="C28" i="10" a="1"/>
  <c r="C27" i="10" a="1"/>
  <c r="C26" i="10" a="1"/>
  <c r="C25" i="10" a="1"/>
  <c r="C24" i="10" a="1"/>
  <c r="C23" i="10" a="1"/>
  <c r="C22" i="10" a="1"/>
  <c r="C21" i="10" a="1"/>
  <c r="C20" i="10" a="1"/>
  <c r="C19" i="10" a="1"/>
  <c r="C18" i="10" a="1"/>
  <c r="C17" i="10" a="1"/>
  <c r="C16" i="10" a="1"/>
  <c r="C15" i="10" a="1"/>
  <c r="C14" i="10" a="1"/>
  <c r="C358" i="9"/>
  <c r="B358" i="9"/>
  <c r="C357" i="9"/>
  <c r="B357" i="9"/>
  <c r="C356" i="9"/>
  <c r="B356" i="9"/>
  <c r="C355" i="9"/>
  <c r="B355" i="9"/>
  <c r="C354" i="9"/>
  <c r="B354" i="9"/>
  <c r="C353" i="9"/>
  <c r="B353" i="9"/>
  <c r="C352" i="9"/>
  <c r="B352" i="9"/>
  <c r="C351" i="9"/>
  <c r="B351" i="9"/>
  <c r="C350" i="9"/>
  <c r="B350" i="9"/>
  <c r="C349" i="9"/>
  <c r="B349" i="9"/>
  <c r="C348" i="9"/>
  <c r="B348" i="9"/>
  <c r="C347" i="9"/>
  <c r="B347" i="9"/>
  <c r="C346" i="9"/>
  <c r="B346" i="9"/>
  <c r="C345" i="9"/>
  <c r="B345" i="9"/>
  <c r="C344" i="9"/>
  <c r="B344" i="9"/>
  <c r="C343" i="9"/>
  <c r="B343" i="9"/>
  <c r="C342" i="9"/>
  <c r="B342" i="9"/>
  <c r="C341" i="9"/>
  <c r="B341" i="9"/>
  <c r="C340" i="9"/>
  <c r="B340" i="9"/>
  <c r="C339" i="9"/>
  <c r="B339" i="9"/>
  <c r="C338" i="9"/>
  <c r="B338" i="9"/>
  <c r="C337" i="9"/>
  <c r="B337" i="9"/>
  <c r="C336" i="9"/>
  <c r="B336" i="9"/>
  <c r="C335" i="9"/>
  <c r="B335" i="9"/>
  <c r="C334" i="9"/>
  <c r="B334" i="9"/>
  <c r="C333" i="9"/>
  <c r="B333" i="9"/>
  <c r="C332" i="9"/>
  <c r="B332" i="9"/>
  <c r="C331" i="9"/>
  <c r="B331" i="9"/>
  <c r="C330" i="9"/>
  <c r="B330" i="9"/>
  <c r="C329" i="9"/>
  <c r="B329" i="9"/>
  <c r="C328" i="9"/>
  <c r="B328" i="9"/>
  <c r="C327" i="9"/>
  <c r="B327" i="9"/>
  <c r="C326" i="9"/>
  <c r="B326" i="9"/>
  <c r="C325" i="9"/>
  <c r="B325" i="9"/>
  <c r="C324" i="9"/>
  <c r="B324" i="9"/>
  <c r="C323" i="9"/>
  <c r="B323" i="9"/>
  <c r="C322" i="9"/>
  <c r="B322" i="9"/>
  <c r="C321" i="9"/>
  <c r="B321" i="9"/>
  <c r="C320" i="9"/>
  <c r="B320" i="9"/>
  <c r="C319" i="9"/>
  <c r="B319" i="9"/>
  <c r="C318" i="9"/>
  <c r="B318" i="9"/>
  <c r="C317" i="9"/>
  <c r="B317" i="9"/>
  <c r="C316" i="9"/>
  <c r="B316" i="9"/>
  <c r="C315" i="9"/>
  <c r="B315" i="9"/>
  <c r="C314" i="9"/>
  <c r="B314" i="9"/>
  <c r="C313" i="9"/>
  <c r="B313" i="9"/>
  <c r="C312" i="9"/>
  <c r="B312" i="9"/>
  <c r="C311" i="9"/>
  <c r="B311" i="9"/>
  <c r="C310" i="9"/>
  <c r="B310" i="9"/>
  <c r="C309" i="9"/>
  <c r="B309" i="9"/>
  <c r="C299" i="9"/>
  <c r="B299" i="9"/>
  <c r="C298" i="9"/>
  <c r="B298" i="9"/>
  <c r="C297" i="9"/>
  <c r="B297" i="9"/>
  <c r="C296" i="9"/>
  <c r="B296" i="9"/>
  <c r="C295" i="9"/>
  <c r="B295" i="9"/>
  <c r="C294" i="9"/>
  <c r="B294" i="9"/>
  <c r="C293" i="9"/>
  <c r="B293" i="9"/>
  <c r="C292" i="9"/>
  <c r="B292" i="9"/>
  <c r="C291" i="9"/>
  <c r="B291" i="9"/>
  <c r="C290" i="9"/>
  <c r="B290" i="9"/>
  <c r="C289" i="9"/>
  <c r="B289" i="9"/>
  <c r="C288" i="9"/>
  <c r="B288" i="9"/>
  <c r="C287" i="9"/>
  <c r="B287" i="9"/>
  <c r="C286" i="9"/>
  <c r="B286" i="9"/>
  <c r="C285" i="9"/>
  <c r="B285" i="9"/>
  <c r="C284" i="9"/>
  <c r="B284" i="9"/>
  <c r="C283" i="9"/>
  <c r="B283" i="9"/>
  <c r="C282" i="9"/>
  <c r="B282" i="9"/>
  <c r="C281" i="9"/>
  <c r="B281" i="9"/>
  <c r="C280" i="9"/>
  <c r="B280" i="9"/>
  <c r="C279" i="9"/>
  <c r="B279" i="9"/>
  <c r="C278" i="9"/>
  <c r="B278" i="9"/>
  <c r="C277" i="9"/>
  <c r="B277" i="9"/>
  <c r="C276" i="9"/>
  <c r="B276" i="9"/>
  <c r="C275" i="9"/>
  <c r="B275" i="9"/>
  <c r="C274" i="9"/>
  <c r="B274" i="9"/>
  <c r="C273" i="9"/>
  <c r="B273" i="9"/>
  <c r="C272" i="9"/>
  <c r="B272" i="9"/>
  <c r="C271" i="9"/>
  <c r="B271" i="9"/>
  <c r="C270" i="9"/>
  <c r="B270" i="9"/>
  <c r="C269" i="9"/>
  <c r="B269" i="9"/>
  <c r="C268" i="9"/>
  <c r="B268" i="9"/>
  <c r="C267" i="9"/>
  <c r="B267" i="9"/>
  <c r="C266" i="9"/>
  <c r="B266" i="9"/>
  <c r="C265" i="9"/>
  <c r="B265" i="9"/>
  <c r="C264" i="9"/>
  <c r="B264" i="9"/>
  <c r="C263" i="9"/>
  <c r="B263" i="9"/>
  <c r="C262" i="9"/>
  <c r="B262" i="9"/>
  <c r="C261" i="9"/>
  <c r="B261" i="9"/>
  <c r="C260" i="9"/>
  <c r="B260" i="9"/>
  <c r="C259" i="9"/>
  <c r="B259" i="9"/>
  <c r="C258" i="9"/>
  <c r="B258" i="9"/>
  <c r="C257" i="9"/>
  <c r="B257" i="9"/>
  <c r="C256" i="9"/>
  <c r="B256" i="9"/>
  <c r="C255" i="9"/>
  <c r="B255" i="9"/>
  <c r="C254" i="9"/>
  <c r="B254" i="9"/>
  <c r="C253" i="9"/>
  <c r="B253" i="9"/>
  <c r="C252" i="9"/>
  <c r="B252" i="9"/>
  <c r="C251" i="9"/>
  <c r="B251" i="9"/>
  <c r="C250" i="9"/>
  <c r="B250" i="9"/>
  <c r="C240" i="9"/>
  <c r="B240" i="9"/>
  <c r="C239" i="9"/>
  <c r="B239" i="9"/>
  <c r="C238" i="9"/>
  <c r="B238" i="9"/>
  <c r="C237" i="9"/>
  <c r="B237" i="9"/>
  <c r="C236" i="9"/>
  <c r="B236" i="9"/>
  <c r="C235" i="9"/>
  <c r="B235" i="9"/>
  <c r="C234" i="9"/>
  <c r="B234" i="9"/>
  <c r="C233" i="9"/>
  <c r="B233" i="9"/>
  <c r="C232" i="9"/>
  <c r="B232" i="9"/>
  <c r="C231" i="9"/>
  <c r="B231" i="9"/>
  <c r="C230" i="9"/>
  <c r="B230" i="9"/>
  <c r="C229" i="9"/>
  <c r="B229" i="9"/>
  <c r="C228" i="9"/>
  <c r="B228" i="9"/>
  <c r="C227" i="9"/>
  <c r="B227" i="9"/>
  <c r="C226" i="9"/>
  <c r="B226" i="9"/>
  <c r="C225" i="9"/>
  <c r="B225" i="9"/>
  <c r="C224" i="9"/>
  <c r="B224" i="9"/>
  <c r="C223" i="9"/>
  <c r="B223" i="9"/>
  <c r="C222" i="9"/>
  <c r="B222" i="9"/>
  <c r="C221" i="9"/>
  <c r="B221" i="9"/>
  <c r="C220" i="9"/>
  <c r="B220" i="9"/>
  <c r="C219" i="9"/>
  <c r="B219" i="9"/>
  <c r="C218" i="9"/>
  <c r="B218" i="9"/>
  <c r="C217" i="9"/>
  <c r="B217" i="9"/>
  <c r="C216" i="9"/>
  <c r="B216" i="9"/>
  <c r="C215" i="9"/>
  <c r="B215" i="9"/>
  <c r="C214" i="9"/>
  <c r="B214" i="9"/>
  <c r="C213" i="9"/>
  <c r="B213" i="9"/>
  <c r="C212" i="9"/>
  <c r="B212" i="9"/>
  <c r="C211" i="9"/>
  <c r="B211" i="9"/>
  <c r="C210" i="9"/>
  <c r="B210" i="9"/>
  <c r="C209" i="9"/>
  <c r="B209" i="9"/>
  <c r="C208" i="9"/>
  <c r="B208" i="9"/>
  <c r="C207" i="9"/>
  <c r="B207" i="9"/>
  <c r="C206" i="9"/>
  <c r="B206" i="9"/>
  <c r="C205" i="9"/>
  <c r="B205" i="9"/>
  <c r="C204" i="9"/>
  <c r="B204" i="9"/>
  <c r="C203" i="9"/>
  <c r="B203" i="9"/>
  <c r="C202" i="9"/>
  <c r="B202" i="9"/>
  <c r="C201" i="9"/>
  <c r="B201" i="9"/>
  <c r="C200" i="9"/>
  <c r="B200" i="9"/>
  <c r="C199" i="9"/>
  <c r="B199" i="9"/>
  <c r="C198" i="9"/>
  <c r="B198" i="9"/>
  <c r="C197" i="9"/>
  <c r="B197" i="9"/>
  <c r="C196" i="9"/>
  <c r="B196" i="9"/>
  <c r="C195" i="9"/>
  <c r="B195" i="9"/>
  <c r="C194" i="9"/>
  <c r="B194" i="9"/>
  <c r="C193" i="9"/>
  <c r="B193" i="9"/>
  <c r="C192" i="9"/>
  <c r="B192" i="9"/>
  <c r="C191" i="9"/>
  <c r="B191" i="9"/>
  <c r="C181" i="9"/>
  <c r="B181" i="9"/>
  <c r="C180" i="9"/>
  <c r="B180" i="9"/>
  <c r="C179" i="9"/>
  <c r="B179" i="9"/>
  <c r="C178" i="9"/>
  <c r="B178" i="9"/>
  <c r="C177" i="9"/>
  <c r="B177" i="9"/>
  <c r="C176" i="9"/>
  <c r="B176" i="9"/>
  <c r="C175" i="9"/>
  <c r="B175" i="9"/>
  <c r="C174" i="9"/>
  <c r="B174" i="9"/>
  <c r="C173" i="9"/>
  <c r="B173" i="9"/>
  <c r="C172" i="9"/>
  <c r="B172" i="9"/>
  <c r="C171" i="9"/>
  <c r="B171" i="9"/>
  <c r="C170" i="9"/>
  <c r="B170" i="9"/>
  <c r="C169" i="9"/>
  <c r="B169" i="9"/>
  <c r="C168" i="9"/>
  <c r="B168" i="9"/>
  <c r="C167" i="9"/>
  <c r="B167" i="9"/>
  <c r="C166" i="9"/>
  <c r="B166" i="9"/>
  <c r="C165" i="9"/>
  <c r="B165" i="9"/>
  <c r="C164" i="9"/>
  <c r="B164" i="9"/>
  <c r="C163" i="9"/>
  <c r="B163" i="9"/>
  <c r="C162" i="9"/>
  <c r="B162" i="9"/>
  <c r="C161" i="9"/>
  <c r="B161" i="9"/>
  <c r="C160" i="9"/>
  <c r="B160" i="9"/>
  <c r="C159" i="9"/>
  <c r="B159" i="9"/>
  <c r="C158" i="9"/>
  <c r="B158" i="9"/>
  <c r="C157" i="9"/>
  <c r="B157" i="9"/>
  <c r="C156" i="9"/>
  <c r="B156" i="9"/>
  <c r="C155" i="9"/>
  <c r="B155" i="9"/>
  <c r="C154" i="9"/>
  <c r="B154" i="9"/>
  <c r="C153" i="9"/>
  <c r="B153" i="9"/>
  <c r="C152" i="9"/>
  <c r="B152" i="9"/>
  <c r="C151" i="9"/>
  <c r="B151" i="9"/>
  <c r="C150" i="9"/>
  <c r="B150" i="9"/>
  <c r="C149" i="9"/>
  <c r="B149" i="9"/>
  <c r="C148" i="9"/>
  <c r="B148" i="9"/>
  <c r="C147" i="9"/>
  <c r="B147" i="9"/>
  <c r="C146" i="9"/>
  <c r="B146" i="9"/>
  <c r="C145" i="9"/>
  <c r="B145" i="9"/>
  <c r="C144" i="9"/>
  <c r="B144" i="9"/>
  <c r="C143" i="9"/>
  <c r="B143" i="9"/>
  <c r="C142" i="9"/>
  <c r="B142" i="9"/>
  <c r="C141" i="9"/>
  <c r="B141" i="9"/>
  <c r="C140" i="9"/>
  <c r="B140" i="9"/>
  <c r="C139" i="9"/>
  <c r="B139" i="9"/>
  <c r="C138" i="9"/>
  <c r="B138" i="9"/>
  <c r="C137" i="9"/>
  <c r="B137" i="9"/>
  <c r="C136" i="9"/>
  <c r="B136" i="9"/>
  <c r="C135" i="9"/>
  <c r="B135" i="9"/>
  <c r="C134" i="9"/>
  <c r="B134" i="9"/>
  <c r="C133" i="9"/>
  <c r="B133" i="9"/>
  <c r="C132" i="9"/>
  <c r="B132" i="9"/>
  <c r="D118" i="9"/>
  <c r="C118" i="9"/>
  <c r="B118" i="9"/>
  <c r="D117" i="9"/>
  <c r="C117" i="9"/>
  <c r="B117" i="9"/>
  <c r="D116" i="9"/>
  <c r="C116" i="9"/>
  <c r="B116" i="9"/>
  <c r="D115" i="9"/>
  <c r="C115" i="9"/>
  <c r="B115" i="9"/>
  <c r="D114" i="9"/>
  <c r="C114" i="9"/>
  <c r="B114" i="9"/>
  <c r="D113" i="9"/>
  <c r="C113" i="9"/>
  <c r="B113" i="9"/>
  <c r="D112" i="9"/>
  <c r="C112" i="9"/>
  <c r="B112" i="9"/>
  <c r="D111" i="9"/>
  <c r="C111" i="9"/>
  <c r="B111" i="9"/>
  <c r="D110" i="9"/>
  <c r="C110" i="9"/>
  <c r="B110" i="9"/>
  <c r="D109" i="9"/>
  <c r="C109" i="9"/>
  <c r="B109" i="9"/>
  <c r="D108" i="9"/>
  <c r="C108" i="9"/>
  <c r="B108" i="9"/>
  <c r="D107" i="9"/>
  <c r="C107" i="9"/>
  <c r="B107" i="9"/>
  <c r="D106" i="9"/>
  <c r="C106" i="9"/>
  <c r="B106" i="9"/>
  <c r="D105" i="9"/>
  <c r="C105" i="9"/>
  <c r="B105" i="9"/>
  <c r="D104" i="9"/>
  <c r="C104" i="9"/>
  <c r="B104" i="9"/>
  <c r="D103" i="9"/>
  <c r="C103" i="9"/>
  <c r="B103" i="9"/>
  <c r="D102" i="9"/>
  <c r="C102" i="9"/>
  <c r="B102" i="9"/>
  <c r="D101" i="9"/>
  <c r="C101" i="9"/>
  <c r="B101" i="9"/>
  <c r="D100" i="9"/>
  <c r="C100" i="9"/>
  <c r="B100" i="9"/>
  <c r="D99" i="9"/>
  <c r="C99" i="9"/>
  <c r="B99" i="9"/>
  <c r="D98" i="9"/>
  <c r="C98" i="9"/>
  <c r="B98" i="9"/>
  <c r="D97" i="9"/>
  <c r="C97" i="9"/>
  <c r="B97" i="9"/>
  <c r="D96" i="9"/>
  <c r="C96" i="9"/>
  <c r="B96" i="9"/>
  <c r="D95" i="9"/>
  <c r="C95" i="9"/>
  <c r="B95" i="9"/>
  <c r="D94" i="9"/>
  <c r="C94" i="9"/>
  <c r="B94" i="9"/>
  <c r="D93" i="9"/>
  <c r="C93" i="9"/>
  <c r="B93" i="9"/>
  <c r="D92" i="9"/>
  <c r="C92" i="9"/>
  <c r="B92" i="9"/>
  <c r="D91" i="9"/>
  <c r="C91" i="9"/>
  <c r="B91" i="9"/>
  <c r="D90" i="9"/>
  <c r="C90" i="9"/>
  <c r="B90" i="9"/>
  <c r="D89" i="9"/>
  <c r="C89" i="9"/>
  <c r="B89" i="9"/>
  <c r="D88" i="9"/>
  <c r="C88" i="9"/>
  <c r="B88" i="9"/>
  <c r="D87" i="9"/>
  <c r="C87" i="9"/>
  <c r="B87" i="9"/>
  <c r="D86" i="9"/>
  <c r="C86" i="9"/>
  <c r="B86" i="9"/>
  <c r="D85" i="9"/>
  <c r="C85" i="9"/>
  <c r="B85" i="9"/>
  <c r="D84" i="9"/>
  <c r="C84" i="9"/>
  <c r="B84" i="9"/>
  <c r="D83" i="9"/>
  <c r="C83" i="9"/>
  <c r="B83" i="9"/>
  <c r="D82" i="9"/>
  <c r="C82" i="9"/>
  <c r="B82" i="9"/>
  <c r="D81" i="9"/>
  <c r="C81" i="9"/>
  <c r="B81" i="9"/>
  <c r="D80" i="9"/>
  <c r="C80" i="9"/>
  <c r="B80" i="9"/>
  <c r="D79" i="9"/>
  <c r="C79" i="9"/>
  <c r="B79" i="9"/>
  <c r="D78" i="9"/>
  <c r="C78" i="9"/>
  <c r="B78" i="9"/>
  <c r="D77" i="9"/>
  <c r="C77" i="9"/>
  <c r="B77" i="9"/>
  <c r="D76" i="9"/>
  <c r="C76" i="9"/>
  <c r="B76" i="9"/>
  <c r="D75" i="9"/>
  <c r="C75" i="9"/>
  <c r="B75" i="9"/>
  <c r="D74" i="9"/>
  <c r="C74" i="9"/>
  <c r="B74" i="9"/>
  <c r="D73" i="9"/>
  <c r="C73" i="9"/>
  <c r="B73" i="9"/>
  <c r="D72" i="9"/>
  <c r="C72" i="9"/>
  <c r="B72" i="9"/>
  <c r="D71" i="9"/>
  <c r="C71" i="9"/>
  <c r="B71" i="9"/>
  <c r="D70" i="9"/>
  <c r="C70" i="9"/>
  <c r="B70" i="9"/>
  <c r="D69" i="9"/>
  <c r="C69" i="9"/>
  <c r="B69" i="9"/>
  <c r="D68" i="9"/>
  <c r="C68" i="9"/>
  <c r="B68" i="9"/>
  <c r="D67" i="9"/>
  <c r="C67" i="9"/>
  <c r="B67" i="9"/>
  <c r="D66" i="9"/>
  <c r="C66" i="9"/>
  <c r="B66" i="9"/>
  <c r="D65" i="9"/>
  <c r="C65" i="9"/>
  <c r="B65" i="9"/>
  <c r="D64" i="9"/>
  <c r="C64" i="9"/>
  <c r="B64" i="9"/>
  <c r="D63" i="9"/>
  <c r="C63" i="9"/>
  <c r="B63" i="9"/>
  <c r="D62" i="9"/>
  <c r="C62" i="9"/>
  <c r="B62" i="9"/>
  <c r="D61" i="9"/>
  <c r="C61" i="9"/>
  <c r="B61" i="9"/>
  <c r="D60" i="9"/>
  <c r="C60" i="9"/>
  <c r="B60" i="9"/>
  <c r="D59" i="9"/>
  <c r="C59" i="9"/>
  <c r="B59" i="9"/>
  <c r="D58" i="9"/>
  <c r="C58" i="9"/>
  <c r="B58" i="9"/>
  <c r="D57" i="9"/>
  <c r="C57" i="9"/>
  <c r="B57" i="9"/>
  <c r="D56" i="9"/>
  <c r="C56" i="9"/>
  <c r="B56" i="9"/>
  <c r="D55" i="9"/>
  <c r="C55" i="9"/>
  <c r="B55" i="9"/>
  <c r="D54" i="9"/>
  <c r="C54" i="9"/>
  <c r="B54" i="9"/>
  <c r="D53" i="9"/>
  <c r="C53" i="9"/>
  <c r="B53" i="9"/>
  <c r="D52" i="9"/>
  <c r="C52" i="9"/>
  <c r="B52" i="9"/>
  <c r="D51" i="9"/>
  <c r="C51" i="9"/>
  <c r="B51" i="9"/>
  <c r="D50" i="9"/>
  <c r="C50" i="9"/>
  <c r="B50" i="9"/>
  <c r="D49" i="9"/>
  <c r="C49" i="9"/>
  <c r="B49" i="9"/>
  <c r="D48" i="9"/>
  <c r="C48" i="9"/>
  <c r="B48" i="9"/>
  <c r="D47" i="9"/>
  <c r="C47" i="9"/>
  <c r="B47" i="9"/>
  <c r="D46" i="9"/>
  <c r="C46" i="9"/>
  <c r="B46" i="9"/>
  <c r="D45" i="9"/>
  <c r="C45" i="9"/>
  <c r="B45" i="9"/>
  <c r="D44" i="9"/>
  <c r="C44" i="9"/>
  <c r="B44" i="9"/>
  <c r="D43" i="9"/>
  <c r="C43" i="9"/>
  <c r="B43" i="9"/>
  <c r="D42" i="9"/>
  <c r="C42" i="9"/>
  <c r="B42" i="9"/>
  <c r="D41" i="9"/>
  <c r="C41" i="9"/>
  <c r="B41" i="9"/>
  <c r="D40" i="9"/>
  <c r="C40" i="9"/>
  <c r="B40" i="9"/>
  <c r="D39" i="9"/>
  <c r="C39" i="9"/>
  <c r="B39" i="9"/>
  <c r="D38" i="9"/>
  <c r="C38" i="9"/>
  <c r="B38" i="9"/>
  <c r="D37" i="9"/>
  <c r="C37" i="9"/>
  <c r="B37" i="9"/>
  <c r="D36" i="9"/>
  <c r="C36" i="9"/>
  <c r="B36" i="9"/>
  <c r="D35" i="9"/>
  <c r="C35" i="9"/>
  <c r="B35" i="9"/>
  <c r="D34" i="9"/>
  <c r="C34" i="9"/>
  <c r="B34" i="9"/>
  <c r="D33" i="9"/>
  <c r="C33" i="9"/>
  <c r="B33" i="9"/>
  <c r="D32" i="9"/>
  <c r="C32" i="9"/>
  <c r="B32" i="9"/>
  <c r="D31" i="9"/>
  <c r="C31" i="9"/>
  <c r="B31" i="9"/>
  <c r="D30" i="9"/>
  <c r="C30" i="9"/>
  <c r="B30" i="9"/>
  <c r="D29" i="9"/>
  <c r="C29" i="9"/>
  <c r="B29" i="9"/>
  <c r="D28" i="9"/>
  <c r="C28" i="9"/>
  <c r="B28" i="9"/>
  <c r="D27" i="9"/>
  <c r="C27" i="9"/>
  <c r="B27" i="9"/>
  <c r="D26" i="9"/>
  <c r="C26" i="9"/>
  <c r="B26" i="9"/>
  <c r="D25" i="9"/>
  <c r="C25" i="9"/>
  <c r="B25" i="9"/>
  <c r="D24" i="9"/>
  <c r="C24" i="9"/>
  <c r="B24" i="9"/>
  <c r="D23" i="9"/>
  <c r="C23" i="9"/>
  <c r="B23" i="9"/>
  <c r="D22" i="9"/>
  <c r="C22" i="9"/>
  <c r="B22" i="9"/>
  <c r="D21" i="9"/>
  <c r="C21" i="9"/>
  <c r="B21" i="9"/>
  <c r="D20" i="9"/>
  <c r="C20" i="9"/>
  <c r="B20" i="9"/>
  <c r="D19" i="9"/>
  <c r="C19" i="9"/>
  <c r="B19" i="9"/>
  <c r="H80" i="8"/>
  <c r="G80" i="8"/>
  <c r="F80" i="8"/>
  <c r="C80" i="8"/>
  <c r="B80" i="8"/>
  <c r="H79" i="8"/>
  <c r="G79" i="8"/>
  <c r="F79" i="8"/>
  <c r="C79" i="8"/>
  <c r="B79" i="8"/>
  <c r="H78" i="8"/>
  <c r="G78" i="8"/>
  <c r="F78" i="8"/>
  <c r="C78" i="8"/>
  <c r="B78" i="8"/>
  <c r="H77" i="8"/>
  <c r="G77" i="8"/>
  <c r="F77" i="8"/>
  <c r="C77" i="8"/>
  <c r="B77" i="8"/>
  <c r="H76" i="8"/>
  <c r="G76" i="8"/>
  <c r="F76" i="8"/>
  <c r="C76" i="8"/>
  <c r="B76" i="8"/>
  <c r="H75" i="8"/>
  <c r="G75" i="8"/>
  <c r="F75" i="8"/>
  <c r="C75" i="8"/>
  <c r="B75" i="8"/>
  <c r="H74" i="8"/>
  <c r="G74" i="8"/>
  <c r="F74" i="8"/>
  <c r="C74" i="8"/>
  <c r="B74" i="8"/>
  <c r="H73" i="8"/>
  <c r="G73" i="8"/>
  <c r="F73" i="8"/>
  <c r="C73" i="8"/>
  <c r="B73" i="8"/>
  <c r="H72" i="8"/>
  <c r="G72" i="8"/>
  <c r="F72" i="8"/>
  <c r="C72" i="8"/>
  <c r="B72" i="8"/>
  <c r="H71" i="8"/>
  <c r="G71" i="8"/>
  <c r="F71" i="8"/>
  <c r="C71" i="8"/>
  <c r="B71" i="8"/>
  <c r="B67" i="8"/>
  <c r="B66" i="8"/>
  <c r="B65" i="8"/>
  <c r="B64" i="8"/>
  <c r="B63" i="8"/>
  <c r="B62" i="8"/>
  <c r="B61" i="8"/>
  <c r="B60" i="8"/>
  <c r="B59" i="8"/>
  <c r="B58" i="8"/>
  <c r="B57" i="8"/>
  <c r="B49" i="8" a="1"/>
  <c r="B48" i="8" a="1"/>
  <c r="B47" i="8" a="1"/>
  <c r="B46" i="8" a="1"/>
  <c r="B45" i="8" a="1"/>
  <c r="B44" i="8" a="1"/>
  <c r="B43" i="8" a="1"/>
  <c r="B42" i="8" a="1"/>
  <c r="B41" i="8" a="1"/>
  <c r="B40" i="8" a="1"/>
  <c r="D35" i="8" a="1"/>
  <c r="C35" i="8" a="1"/>
  <c r="B35" i="8" a="1"/>
  <c r="D34" i="8" a="1"/>
  <c r="C34" i="8" a="1"/>
  <c r="B34" i="8" a="1"/>
  <c r="D33" i="8" a="1"/>
  <c r="C33" i="8" a="1"/>
  <c r="B33" i="8" a="1"/>
  <c r="D32" i="8" a="1"/>
  <c r="C32" i="8" a="1"/>
  <c r="B32" i="8" a="1"/>
  <c r="D31" i="8" a="1"/>
  <c r="C31" i="8" a="1"/>
  <c r="B31" i="8" a="1"/>
  <c r="D30" i="8" a="1"/>
  <c r="C30" i="8" a="1"/>
  <c r="B30" i="8" a="1"/>
  <c r="D29" i="8" a="1"/>
  <c r="C29" i="8" a="1"/>
  <c r="B29" i="8" a="1"/>
  <c r="D28" i="8" a="1"/>
  <c r="C28" i="8" a="1"/>
  <c r="B28" i="8" a="1"/>
  <c r="D27" i="8" a="1"/>
  <c r="C27" i="8" a="1"/>
  <c r="B27" i="8" a="1"/>
  <c r="D26" i="8" a="1"/>
  <c r="C26" i="8" a="1"/>
  <c r="B26" i="8" a="1"/>
  <c r="J21" i="8" a="1"/>
  <c r="I21" i="8" a="1"/>
  <c r="H21" i="8" a="1"/>
  <c r="G21" i="8" a="1"/>
  <c r="F21" i="8" a="1"/>
  <c r="E21" i="8" a="1"/>
  <c r="D21" i="8" a="1"/>
  <c r="C21" i="8" a="1"/>
  <c r="B21" i="8" a="1"/>
  <c r="A16" i="6" a="1"/>
  <c r="B327" i="2" a="1"/>
  <c r="B326" i="2" a="1"/>
  <c r="B325" i="2" a="1"/>
  <c r="B324" i="2" a="1"/>
  <c r="B323" i="2" a="1"/>
  <c r="B322" i="2" a="1"/>
  <c r="B320" i="2" a="1"/>
  <c r="B319" i="2" a="1"/>
  <c r="B318" i="2" a="1"/>
  <c r="B316" i="2" a="1"/>
  <c r="B315" i="2" a="1"/>
  <c r="B314" i="2" a="1"/>
  <c r="B311" i="2"/>
  <c r="B270" i="2"/>
  <c r="B269" i="2"/>
  <c r="B265" i="2"/>
  <c r="B264" i="2"/>
  <c r="B260" i="2"/>
  <c r="B259" i="2"/>
  <c r="B256" i="2"/>
  <c r="B255" i="2"/>
  <c r="B252" i="2"/>
  <c r="B251" i="2"/>
  <c r="B238" i="2"/>
  <c r="B229" i="2"/>
  <c r="B228" i="2"/>
  <c r="B227" i="2"/>
  <c r="B226" i="2"/>
  <c r="B225" i="2"/>
  <c r="B114" i="2" a="1"/>
  <c r="B107" i="2" a="1"/>
  <c r="B101" i="2" a="1"/>
  <c r="B94" i="2" a="1"/>
  <c r="B87" i="2" a="1"/>
  <c r="B80" i="2" a="1"/>
  <c r="B73" i="2" a="1"/>
  <c r="B66" i="2" a="1"/>
  <c r="B15" i="2" a="1"/>
  <c r="B9" i="2" a="1"/>
  <c r="A15" i="1" a="1"/>
  <c r="B21" i="11"/>
  <c r="C18" i="11"/>
  <c r="B18" i="11"/>
  <c r="C17" i="11"/>
  <c r="B17" i="11"/>
  <c r="C16" i="11"/>
  <c r="B16" i="11"/>
  <c r="C15" i="11"/>
  <c r="B15" i="11"/>
  <c r="B21" i="7"/>
  <c r="B15" i="7"/>
  <c r="B8" i="5"/>
  <c r="C44" i="4"/>
  <c r="C41" i="4"/>
  <c r="C38" i="4"/>
  <c r="C35" i="4"/>
  <c r="F29" i="4"/>
  <c r="D27" i="4"/>
  <c r="B25" i="4"/>
  <c r="E22" i="4"/>
  <c r="B14" i="4"/>
  <c r="C374" i="3"/>
  <c r="C368" i="3"/>
  <c r="C357" i="3"/>
  <c r="C346" i="3"/>
  <c r="C340" i="3"/>
  <c r="C327" i="3"/>
  <c r="B316" i="3"/>
  <c r="B310" i="3"/>
  <c r="B300" i="3"/>
  <c r="B294" i="3"/>
  <c r="B285" i="3"/>
  <c r="B279" i="3"/>
  <c r="C268" i="3"/>
  <c r="C262" i="3"/>
  <c r="B252" i="3"/>
  <c r="C241" i="3"/>
  <c r="C235" i="3"/>
  <c r="B225" i="3"/>
  <c r="B219" i="3"/>
  <c r="B207" i="3"/>
  <c r="B195" i="3"/>
  <c r="B189" i="3"/>
  <c r="B177" i="3"/>
  <c r="B165" i="3"/>
  <c r="B159" i="3"/>
  <c r="B147" i="3"/>
  <c r="B134" i="3"/>
  <c r="C20" i="7"/>
  <c r="C16" i="7"/>
  <c r="B9" i="5"/>
  <c r="B44" i="4"/>
  <c r="E40" i="4"/>
  <c r="D37" i="4"/>
  <c r="D31" i="4"/>
  <c r="F28" i="4"/>
  <c r="C26" i="4"/>
  <c r="E23" i="4"/>
  <c r="B21" i="4"/>
  <c r="B376" i="3"/>
  <c r="C369" i="3"/>
  <c r="B358" i="3"/>
  <c r="B346" i="3"/>
  <c r="C339" i="3"/>
  <c r="B326" i="3"/>
  <c r="B314" i="3"/>
  <c r="C307" i="3"/>
  <c r="B297" i="3"/>
  <c r="C287" i="3"/>
  <c r="B281" i="3"/>
  <c r="B270" i="3"/>
  <c r="C263" i="3"/>
  <c r="C252" i="3"/>
  <c r="B16" i="7"/>
  <c r="B7" i="5"/>
  <c r="E43" i="4"/>
  <c r="D40" i="4"/>
  <c r="C37" i="4"/>
  <c r="C31" i="4"/>
  <c r="E28" i="4"/>
  <c r="B26" i="4"/>
  <c r="D23" i="4"/>
  <c r="B17" i="4"/>
  <c r="C375" i="3"/>
  <c r="B369" i="3"/>
  <c r="B357" i="3"/>
  <c r="C345" i="3"/>
  <c r="B339" i="3"/>
  <c r="C325" i="3"/>
  <c r="C313" i="3"/>
  <c r="B307" i="3"/>
  <c r="C296" i="3"/>
  <c r="B287" i="3"/>
  <c r="C280" i="3"/>
  <c r="C269" i="3"/>
  <c r="B263" i="3"/>
  <c r="C251" i="3"/>
  <c r="C240" i="3"/>
  <c r="B234" i="3"/>
  <c r="B223" i="3"/>
  <c r="C210" i="3"/>
  <c r="B204" i="3"/>
  <c r="C191" i="3"/>
  <c r="B179" i="3"/>
  <c r="C172" i="3"/>
  <c r="C15" i="7"/>
  <c r="C52" i="4"/>
  <c r="D43" i="4"/>
  <c r="C40" i="4"/>
  <c r="B37" i="4"/>
  <c r="B31" i="4"/>
  <c r="D28" i="4"/>
  <c r="F25" i="4"/>
  <c r="C23" i="4"/>
  <c r="B16" i="4"/>
  <c r="B375" i="3"/>
  <c r="B368" i="3"/>
  <c r="C356" i="3"/>
  <c r="B345" i="3"/>
  <c r="C338" i="3"/>
  <c r="B325" i="3"/>
  <c r="B313" i="3"/>
  <c r="B303" i="3"/>
  <c r="B296" i="3"/>
  <c r="C286" i="3"/>
  <c r="B280" i="3"/>
  <c r="B269" i="3"/>
  <c r="B262" i="3"/>
  <c r="B251" i="3"/>
  <c r="B240" i="3"/>
  <c r="C233" i="3"/>
  <c r="C222" i="3"/>
  <c r="B210" i="3"/>
  <c r="C203" i="3"/>
  <c r="B191" i="3"/>
  <c r="C178" i="3"/>
  <c r="B172" i="3"/>
  <c r="C159" i="3"/>
  <c r="C146" i="3"/>
  <c r="B133" i="3"/>
  <c r="B127" i="3"/>
  <c r="B117" i="3"/>
  <c r="B105" i="3"/>
  <c r="B99" i="3"/>
  <c r="B87" i="3"/>
  <c r="B75" i="3"/>
  <c r="B69" i="3"/>
  <c r="B58" i="3"/>
  <c r="B52" i="3"/>
  <c r="B43" i="3"/>
  <c r="B37" i="3"/>
  <c r="B27" i="3"/>
  <c r="B15" i="3"/>
  <c r="B9" i="3"/>
  <c r="B304" i="2"/>
  <c r="B261" i="2"/>
  <c r="B239" i="2"/>
  <c r="B219" i="2"/>
  <c r="B204" i="2"/>
  <c r="B171" i="2"/>
  <c r="B147" i="2"/>
  <c r="C21" i="7"/>
  <c r="C50" i="4"/>
  <c r="B43" i="4"/>
  <c r="E39" i="4"/>
  <c r="D36" i="4"/>
  <c r="E30" i="4"/>
  <c r="B28" i="4"/>
  <c r="D25" i="4"/>
  <c r="F22" i="4"/>
  <c r="B13" i="4"/>
  <c r="C373" i="3"/>
  <c r="B367" i="3"/>
  <c r="C355" i="3"/>
  <c r="B344" i="3"/>
  <c r="C337" i="3"/>
  <c r="B324" i="3"/>
  <c r="B312" i="3"/>
  <c r="C301" i="3"/>
  <c r="B295" i="3"/>
  <c r="C285" i="3"/>
  <c r="C278" i="3"/>
  <c r="C267" i="3"/>
  <c r="C256" i="3"/>
  <c r="B250" i="3"/>
  <c r="B239" i="3"/>
  <c r="C232" i="3"/>
  <c r="C221" i="3"/>
  <c r="B209" i="3"/>
  <c r="C202" i="3"/>
  <c r="B190" i="3"/>
  <c r="C177" i="3"/>
  <c r="C164" i="3"/>
  <c r="B158" i="3"/>
  <c r="C145" i="3"/>
  <c r="B132" i="3"/>
  <c r="B122" i="3"/>
  <c r="B116" i="3"/>
  <c r="B104" i="3"/>
  <c r="B98" i="3"/>
  <c r="B86" i="3"/>
  <c r="B74" i="3"/>
  <c r="B68" i="3"/>
  <c r="B57" i="3"/>
  <c r="B48" i="3"/>
  <c r="B42" i="3"/>
  <c r="B32" i="3"/>
  <c r="B26" i="3"/>
  <c r="B14" i="3"/>
  <c r="B8" i="3"/>
  <c r="B277" i="2"/>
  <c r="B237" i="2"/>
  <c r="B214" i="2"/>
  <c r="B202" i="2"/>
  <c r="B165" i="2"/>
  <c r="B145" i="2"/>
  <c r="B125" i="2"/>
  <c r="B104" i="2"/>
  <c r="B84" i="2"/>
  <c r="B63" i="2"/>
  <c r="B41" i="2"/>
  <c r="B23" i="2"/>
  <c r="B12" i="1"/>
  <c r="C176" i="3"/>
  <c r="B164" i="3"/>
  <c r="C157" i="3"/>
  <c r="B145" i="3"/>
  <c r="C131" i="3"/>
  <c r="C121" i="3"/>
  <c r="C115" i="3"/>
  <c r="C103" i="3"/>
  <c r="C97" i="3"/>
  <c r="C85" i="3"/>
  <c r="C73" i="3"/>
  <c r="C67" i="3"/>
  <c r="C56" i="3"/>
  <c r="C47" i="3"/>
  <c r="C41" i="3"/>
  <c r="C31" i="3"/>
  <c r="C25" i="3"/>
  <c r="C13" i="3"/>
  <c r="C7" i="3"/>
  <c r="B276" i="2"/>
  <c r="B234" i="2"/>
  <c r="B213" i="2"/>
  <c r="B198" i="2"/>
  <c r="B162" i="2"/>
  <c r="B142" i="2"/>
  <c r="B124" i="2"/>
  <c r="B58" i="2"/>
  <c r="B40" i="2"/>
  <c r="B20" i="7"/>
  <c r="C49" i="4"/>
  <c r="E42" i="4"/>
  <c r="D39" i="4"/>
  <c r="C36" i="4"/>
  <c r="D30" i="4"/>
  <c r="F27" i="4"/>
  <c r="C25" i="4"/>
  <c r="D22" i="4"/>
  <c r="B12" i="4"/>
  <c r="B373" i="3"/>
  <c r="C361" i="3"/>
  <c r="B355" i="3"/>
  <c r="C343" i="3"/>
  <c r="B337" i="3"/>
  <c r="C323" i="3"/>
  <c r="C311" i="3"/>
  <c r="B301" i="3"/>
  <c r="C294" i="3"/>
  <c r="C284" i="3"/>
  <c r="B278" i="3"/>
  <c r="B267" i="3"/>
  <c r="B256" i="3"/>
  <c r="C249" i="3"/>
  <c r="C238" i="3"/>
  <c r="B232" i="3"/>
  <c r="B221" i="3"/>
  <c r="C208" i="3"/>
  <c r="B202" i="3"/>
  <c r="C189" i="3"/>
  <c r="C19" i="7"/>
  <c r="E45" i="4"/>
  <c r="D42" i="4"/>
  <c r="C39" i="4"/>
  <c r="B36" i="4"/>
  <c r="C30" i="4"/>
  <c r="E27" i="4"/>
  <c r="F24" i="4"/>
  <c r="C22" i="4"/>
  <c r="B11" i="4"/>
  <c r="C372" i="3"/>
  <c r="B361" i="3"/>
  <c r="C354" i="3"/>
  <c r="B343" i="3"/>
  <c r="C329" i="3"/>
  <c r="B323" i="3"/>
  <c r="B311" i="3"/>
  <c r="C300" i="3"/>
  <c r="C293" i="3"/>
  <c r="B284" i="3"/>
  <c r="C277" i="3"/>
  <c r="C266" i="3"/>
  <c r="C255" i="3"/>
  <c r="B249" i="3"/>
  <c r="B238" i="3"/>
  <c r="B227" i="3"/>
  <c r="C220" i="3"/>
  <c r="B208" i="3"/>
  <c r="C195" i="3"/>
  <c r="C188" i="3"/>
  <c r="B176" i="3"/>
  <c r="C163" i="3"/>
  <c r="B157" i="3"/>
  <c r="C144" i="3"/>
  <c r="B131" i="3"/>
  <c r="B121" i="3"/>
  <c r="B115" i="3"/>
  <c r="B103" i="3"/>
  <c r="B97" i="3"/>
  <c r="B85" i="3"/>
  <c r="B73" i="3"/>
  <c r="B67" i="3"/>
  <c r="B56" i="3"/>
  <c r="B47" i="3"/>
  <c r="B41" i="3"/>
  <c r="B31" i="3"/>
  <c r="B25" i="3"/>
  <c r="B13" i="3"/>
  <c r="B7" i="3"/>
  <c r="B275" i="2"/>
  <c r="B233" i="2"/>
  <c r="B212" i="2"/>
  <c r="B195" i="2"/>
  <c r="B157" i="2"/>
  <c r="B141" i="2"/>
  <c r="B121" i="2"/>
  <c r="B100" i="2"/>
  <c r="B79" i="2"/>
  <c r="B57" i="2"/>
  <c r="B39" i="2"/>
  <c r="B21" i="2"/>
  <c r="B10" i="1"/>
  <c r="C27" i="4"/>
  <c r="B10" i="4"/>
  <c r="C342" i="3"/>
  <c r="C310" i="3"/>
  <c r="B19" i="7"/>
  <c r="D45" i="4"/>
  <c r="C42" i="4"/>
  <c r="B39" i="4"/>
  <c r="E35" i="4"/>
  <c r="B30" i="4"/>
  <c r="E24" i="4"/>
  <c r="B22" i="4"/>
  <c r="B372" i="3"/>
  <c r="C360" i="3"/>
  <c r="B354" i="3"/>
  <c r="B329" i="3"/>
  <c r="C322" i="3"/>
  <c r="B18" i="7"/>
  <c r="B12" i="5"/>
  <c r="B45" i="4"/>
  <c r="E41" i="4"/>
  <c r="D38" i="4"/>
  <c r="B35" i="4"/>
  <c r="D29" i="4"/>
  <c r="F26" i="4"/>
  <c r="C24" i="4"/>
  <c r="E21" i="4"/>
  <c r="B8" i="4"/>
  <c r="B371" i="3"/>
  <c r="C359" i="3"/>
  <c r="B353" i="3"/>
  <c r="C341" i="3"/>
  <c r="B328" i="3"/>
  <c r="C315" i="3"/>
  <c r="B309" i="3"/>
  <c r="C298" i="3"/>
  <c r="B292" i="3"/>
  <c r="C282" i="3"/>
  <c r="C271" i="3"/>
  <c r="B265" i="3"/>
  <c r="B254" i="3"/>
  <c r="C247" i="3"/>
  <c r="C236" i="3"/>
  <c r="C225" i="3"/>
  <c r="C218" i="3"/>
  <c r="B206" i="3"/>
  <c r="C193" i="3"/>
  <c r="B187" i="3"/>
  <c r="C174" i="3"/>
  <c r="B162" i="3"/>
  <c r="C149" i="3"/>
  <c r="B143" i="3"/>
  <c r="C129" i="3"/>
  <c r="C119" i="3"/>
  <c r="C17" i="7"/>
  <c r="B11" i="5"/>
  <c r="E44" i="4"/>
  <c r="D41" i="4"/>
  <c r="B38" i="4"/>
  <c r="F31" i="4"/>
  <c r="C29" i="4"/>
  <c r="E26" i="4"/>
  <c r="B24" i="4"/>
  <c r="D21" i="4"/>
  <c r="B7" i="4"/>
  <c r="C370" i="3"/>
  <c r="B359" i="3"/>
  <c r="C352" i="3"/>
  <c r="B341" i="3"/>
  <c r="B327" i="3"/>
  <c r="B315" i="3"/>
  <c r="C308" i="3"/>
  <c r="B298" i="3"/>
  <c r="B289" i="3"/>
  <c r="B282" i="3"/>
  <c r="B271" i="3"/>
  <c r="C264" i="3"/>
  <c r="C253" i="3"/>
  <c r="B247" i="3"/>
  <c r="B236" i="3"/>
  <c r="C224" i="3"/>
  <c r="B218" i="3"/>
  <c r="C205" i="3"/>
  <c r="B193" i="3"/>
  <c r="B17" i="7"/>
  <c r="B10" i="5"/>
  <c r="D44" i="4"/>
  <c r="B41" i="4"/>
  <c r="E37" i="4"/>
  <c r="E31" i="4"/>
  <c r="B29" i="4"/>
  <c r="D26" i="4"/>
  <c r="F23" i="4"/>
  <c r="C21" i="4"/>
  <c r="C376" i="3"/>
  <c r="B370" i="3"/>
  <c r="C358" i="3"/>
  <c r="B352" i="3"/>
  <c r="B340" i="3"/>
  <c r="C326" i="3"/>
  <c r="C314" i="3"/>
  <c r="B308" i="3"/>
  <c r="C297" i="3"/>
  <c r="B288" i="3"/>
  <c r="C281" i="3"/>
  <c r="C270" i="3"/>
  <c r="B264" i="3"/>
  <c r="B253" i="3"/>
  <c r="B242" i="3"/>
  <c r="B235" i="3"/>
  <c r="B224" i="3"/>
  <c r="C217" i="3"/>
  <c r="B205" i="3"/>
  <c r="C192" i="3"/>
  <c r="B180" i="3"/>
  <c r="C173" i="3"/>
  <c r="B161" i="3"/>
  <c r="C148" i="3"/>
  <c r="B142" i="3"/>
  <c r="C128" i="3"/>
  <c r="C118" i="3"/>
  <c r="C112" i="3"/>
  <c r="C100" i="3"/>
  <c r="C88" i="3"/>
  <c r="C82" i="3"/>
  <c r="C70" i="3"/>
  <c r="C59" i="3"/>
  <c r="C53" i="3"/>
  <c r="C44" i="3"/>
  <c r="C38" i="3"/>
  <c r="C28" i="3"/>
  <c r="C22" i="3"/>
  <c r="E36" i="4"/>
  <c r="B374" i="3"/>
  <c r="C312" i="3"/>
  <c r="B277" i="3"/>
  <c r="C239" i="3"/>
  <c r="C209" i="3"/>
  <c r="C179" i="3"/>
  <c r="C158" i="3"/>
  <c r="C132" i="3"/>
  <c r="C116" i="3"/>
  <c r="B100" i="3"/>
  <c r="C83" i="3"/>
  <c r="C61" i="3"/>
  <c r="C52" i="3"/>
  <c r="B39" i="3"/>
  <c r="B24" i="3"/>
  <c r="C9" i="3"/>
  <c r="B309" i="2"/>
  <c r="B130" i="2"/>
  <c r="B99" i="2"/>
  <c r="B203" i="2"/>
  <c r="B98" i="2"/>
  <c r="C18" i="7"/>
  <c r="D35" i="4"/>
  <c r="C371" i="3"/>
  <c r="C309" i="3"/>
  <c r="B272" i="3"/>
  <c r="C237" i="3"/>
  <c r="C207" i="3"/>
  <c r="B178" i="3"/>
  <c r="C150" i="3"/>
  <c r="C130" i="3"/>
  <c r="C114" i="3"/>
  <c r="C99" i="3"/>
  <c r="B83" i="3"/>
  <c r="B61" i="3"/>
  <c r="C48" i="3"/>
  <c r="B38" i="3"/>
  <c r="C23" i="3"/>
  <c r="C8" i="3"/>
  <c r="B308" i="2"/>
  <c r="B47" i="2"/>
  <c r="F30" i="4"/>
  <c r="C367" i="3"/>
  <c r="B302" i="3"/>
  <c r="B268" i="3"/>
  <c r="B237" i="3"/>
  <c r="C206" i="3"/>
  <c r="C175" i="3"/>
  <c r="B150" i="3"/>
  <c r="B130" i="3"/>
  <c r="B114" i="3"/>
  <c r="C98" i="3"/>
  <c r="B82" i="3"/>
  <c r="C60" i="3"/>
  <c r="C46" i="3"/>
  <c r="C37" i="3"/>
  <c r="B23" i="3"/>
  <c r="B307" i="2"/>
  <c r="B192" i="2"/>
  <c r="B152" i="2"/>
  <c r="B126" i="2"/>
  <c r="B70" i="2"/>
  <c r="B42" i="2"/>
  <c r="B14" i="2"/>
  <c r="B4" i="1"/>
  <c r="B150" i="2"/>
  <c r="B35" i="2"/>
  <c r="C89" i="3"/>
  <c r="B30" i="3"/>
  <c r="B278" i="2"/>
  <c r="B218" i="2"/>
  <c r="B34" i="2"/>
  <c r="B12" i="3"/>
  <c r="E29" i="4"/>
  <c r="B360" i="3"/>
  <c r="C299" i="3"/>
  <c r="B266" i="3"/>
  <c r="C234" i="3"/>
  <c r="C204" i="3"/>
  <c r="B175" i="3"/>
  <c r="B149" i="3"/>
  <c r="B129" i="3"/>
  <c r="C113" i="3"/>
  <c r="C90" i="3"/>
  <c r="C75" i="3"/>
  <c r="B60" i="3"/>
  <c r="B46" i="3"/>
  <c r="C32" i="3"/>
  <c r="B22" i="3"/>
  <c r="B306" i="2"/>
  <c r="B221" i="2"/>
  <c r="B189" i="2"/>
  <c r="B151" i="2"/>
  <c r="B120" i="2"/>
  <c r="B93" i="2"/>
  <c r="B36" i="2"/>
  <c r="B13" i="2"/>
  <c r="B3" i="1"/>
  <c r="B203" i="3"/>
  <c r="B128" i="3"/>
  <c r="B113" i="3"/>
  <c r="B90" i="3"/>
  <c r="B59" i="3"/>
  <c r="C30" i="3"/>
  <c r="C15" i="3"/>
  <c r="B305" i="2"/>
  <c r="B247" i="2"/>
  <c r="B186" i="2"/>
  <c r="B119" i="2"/>
  <c r="B92" i="2"/>
  <c r="B12" i="2"/>
  <c r="C72" i="3"/>
  <c r="B45" i="3"/>
  <c r="B146" i="2"/>
  <c r="B64" i="2"/>
  <c r="C254" i="3"/>
  <c r="B163" i="3"/>
  <c r="C120" i="3"/>
  <c r="C43" i="3"/>
  <c r="B271" i="2"/>
  <c r="B177" i="2"/>
  <c r="B112" i="2"/>
  <c r="B86" i="2"/>
  <c r="B7" i="2"/>
  <c r="C328" i="3"/>
  <c r="C248" i="3"/>
  <c r="B11" i="3"/>
  <c r="B208" i="2"/>
  <c r="B9" i="1"/>
  <c r="C28" i="4"/>
  <c r="B356" i="3"/>
  <c r="B299" i="3"/>
  <c r="C265" i="3"/>
  <c r="B233" i="3"/>
  <c r="B174" i="3"/>
  <c r="B148" i="3"/>
  <c r="C74" i="3"/>
  <c r="C45" i="3"/>
  <c r="B220" i="2"/>
  <c r="B65" i="2"/>
  <c r="C58" i="3"/>
  <c r="C14" i="3"/>
  <c r="B246" i="2"/>
  <c r="B183" i="2"/>
  <c r="B91" i="2"/>
  <c r="B192" i="3"/>
  <c r="C71" i="3"/>
  <c r="B29" i="3"/>
  <c r="B210" i="2"/>
  <c r="B139" i="2"/>
  <c r="B30" i="2"/>
  <c r="C283" i="3"/>
  <c r="B188" i="3"/>
  <c r="B119" i="3"/>
  <c r="B27" i="4"/>
  <c r="C353" i="3"/>
  <c r="C295" i="3"/>
  <c r="B257" i="3"/>
  <c r="C226" i="3"/>
  <c r="C194" i="3"/>
  <c r="B173" i="3"/>
  <c r="C147" i="3"/>
  <c r="C127" i="3"/>
  <c r="B112" i="3"/>
  <c r="C51" i="4"/>
  <c r="E25" i="4"/>
  <c r="C344" i="3"/>
  <c r="B293" i="3"/>
  <c r="B255" i="3"/>
  <c r="B226" i="3"/>
  <c r="B194" i="3"/>
  <c r="C165" i="3"/>
  <c r="B146" i="3"/>
  <c r="C122" i="3"/>
  <c r="C105" i="3"/>
  <c r="B89" i="3"/>
  <c r="B72" i="3"/>
  <c r="C57" i="3"/>
  <c r="B44" i="3"/>
  <c r="C29" i="3"/>
  <c r="C12" i="3"/>
  <c r="B274" i="2"/>
  <c r="B245" i="2"/>
  <c r="B211" i="2"/>
  <c r="B180" i="2"/>
  <c r="B140" i="2"/>
  <c r="B113" i="2"/>
  <c r="B56" i="2"/>
  <c r="B33" i="2"/>
  <c r="B8" i="2"/>
  <c r="C45" i="4"/>
  <c r="D24" i="4"/>
  <c r="C292" i="3"/>
  <c r="C55" i="3"/>
  <c r="B244" i="2"/>
  <c r="B55" i="2"/>
  <c r="F21" i="4"/>
  <c r="C161" i="3"/>
  <c r="C86" i="3"/>
  <c r="C54" i="3"/>
  <c r="B168" i="2"/>
  <c r="B51" i="2"/>
  <c r="B49" i="2"/>
  <c r="B154" i="2"/>
  <c r="B8" i="1"/>
  <c r="B129" i="2"/>
  <c r="B5" i="1"/>
  <c r="B342" i="3"/>
  <c r="C223" i="3"/>
  <c r="B144" i="3"/>
  <c r="C104" i="3"/>
  <c r="B88" i="3"/>
  <c r="B220" i="3"/>
  <c r="C40" i="3"/>
  <c r="B135" i="2"/>
  <c r="C43" i="4"/>
  <c r="B23" i="4"/>
  <c r="B338" i="3"/>
  <c r="B286" i="3"/>
  <c r="C250" i="3"/>
  <c r="B222" i="3"/>
  <c r="C190" i="3"/>
  <c r="C162" i="3"/>
  <c r="C143" i="3"/>
  <c r="B120" i="3"/>
  <c r="C102" i="3"/>
  <c r="C87" i="3"/>
  <c r="B71" i="3"/>
  <c r="B55" i="3"/>
  <c r="C42" i="3"/>
  <c r="B28" i="3"/>
  <c r="C11" i="3"/>
  <c r="B243" i="2"/>
  <c r="B209" i="2"/>
  <c r="B174" i="2"/>
  <c r="B136" i="2"/>
  <c r="B111" i="2"/>
  <c r="B85" i="2"/>
  <c r="B54" i="2"/>
  <c r="B29" i="2"/>
  <c r="B6" i="2"/>
  <c r="B42" i="4"/>
  <c r="C142" i="3"/>
  <c r="B102" i="3"/>
  <c r="B70" i="3"/>
  <c r="C27" i="3"/>
  <c r="B78" i="2"/>
  <c r="B28" i="2"/>
  <c r="B205" i="2"/>
  <c r="B48" i="2"/>
  <c r="B153" i="2"/>
  <c r="B40" i="4"/>
  <c r="B15" i="4"/>
  <c r="C324" i="3"/>
  <c r="B283" i="3"/>
  <c r="B248" i="3"/>
  <c r="C219" i="3"/>
  <c r="C187" i="3"/>
  <c r="C160" i="3"/>
  <c r="C134" i="3"/>
  <c r="B118" i="3"/>
  <c r="C101" i="3"/>
  <c r="C84" i="3"/>
  <c r="C69" i="3"/>
  <c r="B54" i="3"/>
  <c r="B40" i="3"/>
  <c r="C26" i="3"/>
  <c r="C10" i="3"/>
  <c r="B266" i="2"/>
  <c r="B207" i="2"/>
  <c r="B156" i="2"/>
  <c r="B134" i="2"/>
  <c r="B106" i="2"/>
  <c r="B77" i="2"/>
  <c r="B50" i="2"/>
  <c r="B27" i="2"/>
  <c r="B11" i="1"/>
  <c r="E38" i="4"/>
  <c r="B9" i="4"/>
  <c r="B322" i="3"/>
  <c r="C279" i="3"/>
  <c r="B241" i="3"/>
  <c r="B217" i="3"/>
  <c r="C180" i="3"/>
  <c r="B160" i="3"/>
  <c r="C133" i="3"/>
  <c r="C117" i="3"/>
  <c r="B101" i="3"/>
  <c r="B84" i="3"/>
  <c r="C68" i="3"/>
  <c r="B53" i="3"/>
  <c r="C39" i="3"/>
  <c r="C24" i="3"/>
  <c r="B10" i="3"/>
  <c r="B310" i="2"/>
  <c r="B206" i="2"/>
  <c r="B155" i="2"/>
  <c r="B131" i="2"/>
  <c r="B105" i="2"/>
  <c r="B24" i="2"/>
  <c r="B72" i="2"/>
  <c r="B22" i="2"/>
  <c r="B71" i="2"/>
  <c r="A1019" i="6" a="1"/>
  <c r="D1019" i="6" a="1"/>
  <c r="C33" i="10" l="1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B49" i="8"/>
  <c r="B48" i="8"/>
  <c r="B47" i="8"/>
  <c r="B46" i="8"/>
  <c r="B45" i="8"/>
  <c r="B44" i="8"/>
  <c r="B43" i="8"/>
  <c r="B42" i="8"/>
  <c r="B41" i="8"/>
  <c r="B40" i="8"/>
  <c r="D35" i="8"/>
  <c r="C35" i="8"/>
  <c r="B35" i="8"/>
  <c r="D34" i="8"/>
  <c r="C34" i="8"/>
  <c r="B34" i="8"/>
  <c r="D33" i="8"/>
  <c r="C33" i="8"/>
  <c r="B33" i="8"/>
  <c r="D32" i="8"/>
  <c r="C32" i="8"/>
  <c r="B32" i="8"/>
  <c r="D31" i="8"/>
  <c r="C31" i="8"/>
  <c r="B31" i="8"/>
  <c r="D30" i="8"/>
  <c r="C30" i="8"/>
  <c r="B30" i="8"/>
  <c r="D29" i="8"/>
  <c r="C29" i="8"/>
  <c r="B29" i="8"/>
  <c r="D28" i="8"/>
  <c r="C28" i="8"/>
  <c r="B28" i="8"/>
  <c r="D27" i="8"/>
  <c r="C27" i="8"/>
  <c r="B27" i="8"/>
  <c r="D26" i="8"/>
  <c r="C26" i="8"/>
  <c r="B26" i="8"/>
  <c r="J21" i="8"/>
  <c r="I21" i="8"/>
  <c r="H21" i="8"/>
  <c r="G21" i="8"/>
  <c r="F21" i="8"/>
  <c r="E21" i="8"/>
  <c r="D21" i="8"/>
  <c r="C21" i="8"/>
  <c r="B21" i="8"/>
  <c r="D1019" i="6"/>
  <c r="A1019" i="6"/>
  <c r="A16" i="6"/>
  <c r="B327" i="2"/>
  <c r="B326" i="2"/>
  <c r="B325" i="2"/>
  <c r="B324" i="2"/>
  <c r="B323" i="2"/>
  <c r="B322" i="2"/>
  <c r="B320" i="2"/>
  <c r="B319" i="2"/>
  <c r="B318" i="2"/>
  <c r="B316" i="2"/>
  <c r="B315" i="2"/>
  <c r="B314" i="2"/>
  <c r="B114" i="2"/>
  <c r="B107" i="2"/>
  <c r="B101" i="2"/>
  <c r="B94" i="2"/>
  <c r="B87" i="2"/>
  <c r="B80" i="2"/>
  <c r="B73" i="2"/>
  <c r="B66" i="2"/>
  <c r="B15" i="2"/>
  <c r="B9" i="2"/>
  <c r="A15" i="1"/>
  <c r="E79" i="8"/>
  <c r="E77" i="8"/>
  <c r="E75" i="8"/>
  <c r="E73" i="8"/>
  <c r="E72" i="8"/>
  <c r="E74" i="8"/>
  <c r="E76" i="8"/>
  <c r="E78" i="8"/>
  <c r="E80" i="8"/>
  <c r="C42" i="10" a="1"/>
  <c r="C43" i="10" a="1"/>
  <c r="C44" i="10" a="1"/>
  <c r="C45" i="10" a="1"/>
  <c r="C46" i="10" a="1"/>
  <c r="C47" i="10" a="1"/>
  <c r="C48" i="10" a="1"/>
  <c r="C49" i="10" a="1"/>
  <c r="C50" i="10" a="1"/>
  <c r="C51" i="10" a="1"/>
  <c r="C52" i="10" a="1"/>
  <c r="C53" i="10" a="1"/>
  <c r="C54" i="10" a="1"/>
  <c r="C55" i="10" a="1"/>
  <c r="C56" i="10" a="1"/>
  <c r="C57" i="10" a="1"/>
  <c r="C58" i="10" a="1"/>
  <c r="C59" i="10" a="1"/>
  <c r="C60" i="10" a="1"/>
  <c r="C61" i="10" a="1"/>
  <c r="C62" i="10" a="1"/>
  <c r="C63" i="10" a="1"/>
  <c r="C64" i="10" a="1"/>
  <c r="C65" i="10" a="1"/>
  <c r="C66" i="10" a="1"/>
  <c r="C67" i="10" a="1"/>
  <c r="C68" i="10" a="1"/>
  <c r="C69" i="10" a="1"/>
  <c r="C70" i="10" a="1"/>
  <c r="C71" i="10" a="1"/>
  <c r="C72" i="10" a="1"/>
  <c r="C73" i="10" a="1"/>
  <c r="C74" i="10" a="1"/>
  <c r="C75" i="10" a="1"/>
  <c r="C76" i="10" a="1"/>
  <c r="C77" i="10" a="1"/>
  <c r="C78" i="10" a="1"/>
  <c r="C79" i="10" a="1"/>
  <c r="C80" i="10" a="1"/>
  <c r="C81" i="10" a="1"/>
  <c r="C82" i="10" a="1"/>
  <c r="C101" i="10" a="1"/>
  <c r="C102" i="10" a="1"/>
  <c r="C103" i="10" a="1"/>
  <c r="C104" i="10" a="1"/>
  <c r="C105" i="10" a="1"/>
  <c r="C106" i="10" a="1"/>
  <c r="C107" i="10" a="1"/>
  <c r="C108" i="10" a="1"/>
  <c r="C109" i="10" a="1"/>
  <c r="C110" i="10" a="1"/>
  <c r="C111" i="10" a="1"/>
  <c r="C112" i="10" a="1"/>
  <c r="C113" i="10" a="1"/>
  <c r="C114" i="10" a="1"/>
  <c r="C115" i="10" a="1"/>
  <c r="C116" i="10" a="1"/>
  <c r="C117" i="10" a="1"/>
  <c r="C118" i="10" a="1"/>
  <c r="C119" i="10" a="1"/>
  <c r="C120" i="10" a="1"/>
  <c r="C121" i="10" a="1"/>
  <c r="C122" i="10" a="1"/>
  <c r="C123" i="10" a="1"/>
  <c r="C124" i="10" a="1"/>
  <c r="C125" i="10" a="1"/>
  <c r="C126" i="10" a="1"/>
  <c r="C127" i="10" a="1"/>
  <c r="C128" i="10" a="1"/>
  <c r="C129" i="10" a="1"/>
  <c r="C130" i="10" a="1"/>
  <c r="C131" i="10" a="1"/>
  <c r="C132" i="10" a="1"/>
  <c r="C133" i="10" a="1"/>
  <c r="C134" i="10" a="1"/>
  <c r="C135" i="10" a="1"/>
  <c r="C136" i="10" a="1"/>
  <c r="C137" i="10" a="1"/>
  <c r="C138" i="10" a="1"/>
  <c r="C139" i="10" a="1"/>
  <c r="C140" i="10" a="1"/>
  <c r="C141" i="10" a="1"/>
  <c r="C141" i="10" l="1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D131" i="10" s="1"/>
  <c r="C107" i="10"/>
  <c r="C106" i="10"/>
  <c r="C105" i="10"/>
  <c r="C104" i="10"/>
  <c r="C103" i="10"/>
  <c r="C102" i="10"/>
  <c r="C101" i="10"/>
  <c r="D117" i="10" s="1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D63" i="10" s="1"/>
  <c r="D105" i="10"/>
  <c r="D101" i="10"/>
  <c r="D103" i="10"/>
  <c r="D128" i="10"/>
  <c r="D108" i="10"/>
  <c r="D53" i="10"/>
  <c r="D67" i="10"/>
  <c r="D49" i="10"/>
  <c r="D42" i="10"/>
  <c r="C36" i="8"/>
  <c r="B36" i="8"/>
  <c r="D36" i="8"/>
  <c r="D80" i="10" l="1"/>
  <c r="D129" i="10"/>
  <c r="D122" i="10"/>
  <c r="D70" i="10"/>
  <c r="D69" i="10"/>
  <c r="D125" i="10"/>
  <c r="D78" i="10"/>
  <c r="D59" i="10"/>
  <c r="D134" i="10"/>
  <c r="D55" i="10"/>
  <c r="D130" i="10"/>
  <c r="D45" i="10"/>
  <c r="D110" i="10"/>
  <c r="D109" i="10"/>
  <c r="D46" i="10"/>
  <c r="D77" i="10"/>
  <c r="D65" i="10"/>
  <c r="D140" i="10"/>
  <c r="D66" i="10"/>
  <c r="D112" i="10"/>
  <c r="D126" i="10"/>
  <c r="D111" i="10"/>
  <c r="D48" i="10"/>
  <c r="D61" i="10"/>
  <c r="D52" i="10"/>
  <c r="D133" i="10"/>
  <c r="D116" i="10"/>
  <c r="D114" i="10"/>
  <c r="D106" i="10"/>
  <c r="D43" i="10"/>
  <c r="D51" i="10"/>
  <c r="D58" i="10"/>
  <c r="D118" i="10"/>
  <c r="D132" i="10"/>
  <c r="D104" i="10"/>
  <c r="D137" i="10"/>
  <c r="D74" i="10"/>
  <c r="D82" i="10"/>
  <c r="D73" i="10"/>
  <c r="D102" i="10"/>
  <c r="D107" i="10"/>
  <c r="D120" i="10"/>
  <c r="D127" i="10"/>
  <c r="D57" i="10"/>
  <c r="D79" i="10"/>
  <c r="D113" i="10"/>
  <c r="D81" i="10"/>
  <c r="D47" i="10"/>
  <c r="D124" i="10"/>
  <c r="D60" i="10"/>
  <c r="D135" i="10"/>
  <c r="D115" i="10"/>
  <c r="D64" i="10"/>
  <c r="D50" i="10"/>
  <c r="D44" i="10"/>
  <c r="D119" i="10"/>
  <c r="D71" i="10"/>
  <c r="D56" i="10"/>
  <c r="D75" i="10"/>
  <c r="D76" i="10"/>
  <c r="D141" i="10"/>
  <c r="D121" i="10"/>
  <c r="D68" i="10"/>
  <c r="D62" i="10"/>
  <c r="D139" i="10"/>
  <c r="D54" i="10"/>
  <c r="D72" i="10"/>
  <c r="D123" i="10"/>
  <c r="D138" i="10"/>
  <c r="D136" i="10"/>
  <c r="I1026" i="6"/>
  <c r="H1026" i="6"/>
  <c r="I1025" i="6"/>
  <c r="H1025" i="6"/>
  <c r="I1024" i="6"/>
  <c r="H1024" i="6"/>
  <c r="I1023" i="6"/>
  <c r="H1023" i="6"/>
  <c r="I1022" i="6"/>
  <c r="H1022" i="6"/>
  <c r="I1021" i="6"/>
  <c r="H1021" i="6"/>
  <c r="I1020" i="6"/>
  <c r="H1020" i="6"/>
  <c r="I1019" i="6"/>
  <c r="H1019" i="6"/>
  <c r="B90" i="10"/>
  <c r="B89" i="10"/>
  <c r="B88" i="10"/>
  <c r="B87" i="10"/>
  <c r="B148" i="10"/>
  <c r="B147" i="10"/>
  <c r="B146" i="10"/>
  <c r="B92" i="10"/>
  <c r="B145" i="10"/>
  <c r="B91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<sst xmlns="http://schemas.openxmlformats.org/spreadsheetml/2006/main" count="869" uniqueCount="626">
  <si>
    <t>Actuarial Add-In Version History</t>
  </si>
  <si>
    <t>Current Version:</t>
  </si>
  <si>
    <t>Build Date:</t>
  </si>
  <si>
    <t>GitHub:</t>
  </si>
  <si>
    <t>Version Functions:</t>
  </si>
  <si>
    <t>ACT_VERSION()</t>
  </si>
  <si>
    <t>ACT_BUILD_DATE()</t>
  </si>
  <si>
    <t>ACT_GITHUB_URL()</t>
  </si>
  <si>
    <t>ACT_COMMIT_COUNT()</t>
  </si>
  <si>
    <t>ACT_COMMIT_INFO(n, field)</t>
  </si>
  <si>
    <t>Commit History (live from XLL)</t>
  </si>
  <si>
    <t>COMPREHENSIVE FUNCTION TESTS</t>
  </si>
  <si>
    <t>DISTRIBUTIONS - Frequency</t>
  </si>
  <si>
    <t>Poisson Distribution (lambda=5)</t>
  </si>
  <si>
    <t>ACT_DIST_POISSON_PDF</t>
  </si>
  <si>
    <t>P(X=3) for Poisson</t>
  </si>
  <si>
    <t>ACT_DIST_POISSON_CDF</t>
  </si>
  <si>
    <t>P(X&lt;=3)</t>
  </si>
  <si>
    <t>ACT_DIST_POISSON_INV</t>
  </si>
  <si>
    <t>Median</t>
  </si>
  <si>
    <t>ACT_DIST_POISSON_FIT({1,2,3,4,5,6,7})</t>
  </si>
  <si>
    <t>lambda</t>
  </si>
  <si>
    <t>Negative Binomial (r=5, p=0.3)</t>
  </si>
  <si>
    <t>ACT_DIST_NEGBIN_PDF</t>
  </si>
  <si>
    <t>P(X=5)</t>
  </si>
  <si>
    <t>ACT_DIST_NEGBIN_CDF</t>
  </si>
  <si>
    <t>P(X&lt;=5)</t>
  </si>
  <si>
    <t>ACT_DIST_NEGBIN_INV</t>
  </si>
  <si>
    <t>ACT_DIST_NEGBIN_FIT({1,2,3,4,5,6,7,8,9,10})</t>
  </si>
  <si>
    <t>r (successes)</t>
  </si>
  <si>
    <t>p (probability)</t>
  </si>
  <si>
    <t>DISTRIBUTIONS - Zero-Truncated</t>
  </si>
  <si>
    <t>Zero-Truncated Poisson (lambda=3)</t>
  </si>
  <si>
    <t>ACT_DIST_ZTPOISSON_PDF</t>
  </si>
  <si>
    <t>P(X=2|X&gt;0)</t>
  </si>
  <si>
    <t>ACT_DIST_ZTPOISSON_CDF</t>
  </si>
  <si>
    <t>P(X&lt;=2|X&gt;0)</t>
  </si>
  <si>
    <t>ACT_DIST_ZTPOISSON_INV</t>
  </si>
  <si>
    <t>ACT_DIST_ZTPOISSON_MEAN</t>
  </si>
  <si>
    <t>E[X|X&gt;0]</t>
  </si>
  <si>
    <t>Zero-Truncated Negative Binomial (r=5, p=0.3)</t>
  </si>
  <si>
    <t>ACT_DIST_ZTNEGBIN_PDF</t>
  </si>
  <si>
    <t>P(X=3|X&gt;0)</t>
  </si>
  <si>
    <t>ACT_DIST_ZTNEGBIN_CDF</t>
  </si>
  <si>
    <t>P(X&lt;=3|X&gt;0)</t>
  </si>
  <si>
    <t>ACT_DIST_ZTNEGBIN_INV</t>
  </si>
  <si>
    <t>ACT_DIST_ZTNEGBIN_MEAN</t>
  </si>
  <si>
    <t>Zero-Truncated Binomial (n=10, p=0.3)</t>
  </si>
  <si>
    <t>ACT_DIST_ZTBINOM_PDF</t>
  </si>
  <si>
    <t>ACT_DIST_ZTBINOM_CDF</t>
  </si>
  <si>
    <t>ACT_DIST_ZTBINOM_INV</t>
  </si>
  <si>
    <t>ACT_DIST_ZTBINOM_MEAN</t>
  </si>
  <si>
    <t>Zero-Truncated Geometric (p=0.3)</t>
  </si>
  <si>
    <t>ACT_DIST_ZTGEOM_PDF</t>
  </si>
  <si>
    <t>ACT_DIST_ZTGEOM_CDF</t>
  </si>
  <si>
    <t>ACT_DIST_ZTGEOM_INV</t>
  </si>
  <si>
    <t>ACT_DIST_ZTGEOM_MEAN</t>
  </si>
  <si>
    <t>DISTRIBUTIONS - Zero-Modified</t>
  </si>
  <si>
    <t>Zero-Modified Poisson (lambda=3, p0=0.2)</t>
  </si>
  <si>
    <t>ACT_DIST_ZMPOISSON_PDF</t>
  </si>
  <si>
    <t>P(X=2)</t>
  </si>
  <si>
    <t>ACT_DIST_ZMPOISSON_CDF</t>
  </si>
  <si>
    <t>P(X&lt;=2)</t>
  </si>
  <si>
    <t>ACT_DIST_ZMPOISSON_INV</t>
  </si>
  <si>
    <t>ACT_DIST_ZMPOISSON_MEAN</t>
  </si>
  <si>
    <t>E[X]</t>
  </si>
  <si>
    <t>ACT_DIST_ZMPOISSON_VAR</t>
  </si>
  <si>
    <t>Var(X)</t>
  </si>
  <si>
    <t>Zero-Modified Negative Binomial (r=5, p=0.3, p0=0.2)</t>
  </si>
  <si>
    <t>ACT_DIST_ZMNEGBIN_PDF</t>
  </si>
  <si>
    <t>P(X=3)</t>
  </si>
  <si>
    <t>ACT_DIST_ZMNEGBIN_CDF</t>
  </si>
  <si>
    <t>ACT_DIST_ZMNEGBIN_INV</t>
  </si>
  <si>
    <t>ACT_DIST_ZMNEGBIN_MEAN</t>
  </si>
  <si>
    <t>ACT_DIST_ZMNEGBIN_VAR</t>
  </si>
  <si>
    <t>DISTRIBUTIONS - Severity</t>
  </si>
  <si>
    <t>Lognormal (mu=0, sigma=1)</t>
  </si>
  <si>
    <t>ACT_DIST_LOGNORM_PDF</t>
  </si>
  <si>
    <t>f(1)</t>
  </si>
  <si>
    <t>ACT_DIST_LOGNORM_CDF</t>
  </si>
  <si>
    <t>F(1)</t>
  </si>
  <si>
    <t>ACT_DIST_LOGNORM_INV</t>
  </si>
  <si>
    <t>Median = 1</t>
  </si>
  <si>
    <t>ACT_DIST_LOGNORM_FIT({1,2,3,4,5})</t>
  </si>
  <si>
    <t>mu</t>
  </si>
  <si>
    <t>sigma</t>
  </si>
  <si>
    <t>Gamma (alpha=2, beta=1)</t>
  </si>
  <si>
    <t>ACT_DIST_GAMMA_PDF</t>
  </si>
  <si>
    <t>ACT_DIST_GAMMA_CDF</t>
  </si>
  <si>
    <t>ACT_DIST_GAMMA_INV</t>
  </si>
  <si>
    <t>ACT_DIST_GAMMA_FIT({1,2,3,4,5})</t>
  </si>
  <si>
    <t>alpha (shape)</t>
  </si>
  <si>
    <t>beta (rate)</t>
  </si>
  <si>
    <t>Pareto (alpha=2, xm=1)</t>
  </si>
  <si>
    <t>ACT_DIST_PARETO_PDF</t>
  </si>
  <si>
    <t>f(2)</t>
  </si>
  <si>
    <t>ACT_DIST_PARETO_CDF</t>
  </si>
  <si>
    <t>F(2) = 0.75</t>
  </si>
  <si>
    <t>ACT_DIST_PARETO_INV</t>
  </si>
  <si>
    <t>ACT_DIST_PARETO_FIT({1.5,2,2.5,3,4,5}, 1)</t>
  </si>
  <si>
    <t>alpha</t>
  </si>
  <si>
    <t>xm</t>
  </si>
  <si>
    <t>Weibull (k=2, lambda=1)</t>
  </si>
  <si>
    <t>ACT_DIST_WEIBULL_PDF</t>
  </si>
  <si>
    <t>f(0.5)</t>
  </si>
  <si>
    <t>ACT_DIST_WEIBULL_CDF</t>
  </si>
  <si>
    <t>F(0.5)</t>
  </si>
  <si>
    <t>ACT_DIST_WEIBULL_INV</t>
  </si>
  <si>
    <t>ACT_DIST_WEIBULL_FIT({0.5,1,1.5,2,2.5})</t>
  </si>
  <si>
    <t>k (shape)</t>
  </si>
  <si>
    <t>lambda (scale)</t>
  </si>
  <si>
    <t>Beta (alpha=2, beta=5)</t>
  </si>
  <si>
    <t>ACT_DIST_BETA_PDF</t>
  </si>
  <si>
    <t>f(0.3)</t>
  </si>
  <si>
    <t>ACT_DIST_BETA_CDF</t>
  </si>
  <si>
    <t>F(0.3)</t>
  </si>
  <si>
    <t>ACT_DIST_BETA_INV</t>
  </si>
  <si>
    <t>ACT_DIST_BETA_FIT({0.1,0.2,0.3,0.4})</t>
  </si>
  <si>
    <t>beta</t>
  </si>
  <si>
    <t>Exponential (lambda=0.5)</t>
  </si>
  <si>
    <t>ACT_DIST_EXP_PDF</t>
  </si>
  <si>
    <t>ACT_DIST_EXP_CDF</t>
  </si>
  <si>
    <t>ACT_DIST_EXP_INV</t>
  </si>
  <si>
    <t>ACT_DIST_EXP_FIT({1,2,3,4,5})</t>
  </si>
  <si>
    <t>GPD (xi=0.5, sigma=1)</t>
  </si>
  <si>
    <t>ACT_DIST_GPD_PDF</t>
  </si>
  <si>
    <t>ACT_DIST_GPD_CDF</t>
  </si>
  <si>
    <t>ACT_DIST_GPD_INV</t>
  </si>
  <si>
    <t>ACT_DIST_GPD_FIT({1,2,3,4,5,6,7,8,9,10,12,15})</t>
  </si>
  <si>
    <t>xi (shape)</t>
  </si>
  <si>
    <t>sigma (scale)</t>
  </si>
  <si>
    <t>Burr XII (c=2, k=3, lambda=1)</t>
  </si>
  <si>
    <t>ACT_DIST_BURR_PDF</t>
  </si>
  <si>
    <t>ACT_DIST_BURR_CDF</t>
  </si>
  <si>
    <t>ACT_DIST_BURR_INV</t>
  </si>
  <si>
    <t>ACT_DIST_BURR_FIT({0.5,1,1.5,2,3})</t>
  </si>
  <si>
    <t>c</t>
  </si>
  <si>
    <t>k</t>
  </si>
  <si>
    <t>Normal Distribution (mu=0, sigma=1)</t>
  </si>
  <si>
    <t>ACT_DIST_NORMAL_PDF</t>
  </si>
  <si>
    <t>phi(0) = 0.3989</t>
  </si>
  <si>
    <t>ACT_DIST_NORMAL_CDF</t>
  </si>
  <si>
    <t>Phi(0) = 0.5</t>
  </si>
  <si>
    <t>ACT_DIST_NORMAL_INV</t>
  </si>
  <si>
    <t>97.5th percentile = 1.96</t>
  </si>
  <si>
    <t>Inverse Gaussian (mu=1, lambda=2)</t>
  </si>
  <si>
    <t>ACT_DIST_INVGAUSS_PDF</t>
  </si>
  <si>
    <t>ACT_DIST_INVGAUSS_CDF</t>
  </si>
  <si>
    <t>ACT_DIST_INVGAUSS_INV</t>
  </si>
  <si>
    <t>Loglogistic (alpha=2, beta=1)</t>
  </si>
  <si>
    <t>ACT_DIST_LOGLOGISTIC_PDF</t>
  </si>
  <si>
    <t>ACT_DIST_LOGLOGISTIC_CDF</t>
  </si>
  <si>
    <t>ACT_DIST_LOGLOGISTIC_INV</t>
  </si>
  <si>
    <t>Lomax / Pareto II (alpha=2, lambda=1)</t>
  </si>
  <si>
    <t>ACT_DIST_LOMAX_PDF</t>
  </si>
  <si>
    <t>ACT_DIST_LOMAX_CDF</t>
  </si>
  <si>
    <t>F(1) = 0.75</t>
  </si>
  <si>
    <t>ACT_DIST_LOMAX_INV</t>
  </si>
  <si>
    <t>Pareto III (mu=0, sigma=1, gamma=2)</t>
  </si>
  <si>
    <t>ACT_DIST_PARETO3_PDF</t>
  </si>
  <si>
    <t>ACT_DIST_PARETO3_CDF</t>
  </si>
  <si>
    <t>ACT_DIST_PARETO3_INV</t>
  </si>
  <si>
    <t>ACT_DIST_PARETO3_MEAN</t>
  </si>
  <si>
    <t>Mean</t>
  </si>
  <si>
    <t>Pareto IV (mu=0, sigma=1, gamma=2, alpha=3)</t>
  </si>
  <si>
    <t>ACT_DIST_PARETO4_PDF</t>
  </si>
  <si>
    <t>ACT_DIST_PARETO4_CDF</t>
  </si>
  <si>
    <t>ACT_DIST_PARETO4_INV</t>
  </si>
  <si>
    <t>Fackler Composite Distributions</t>
  </si>
  <si>
    <t>ACT_DIST_LNPARETO_PDF</t>
  </si>
  <si>
    <t>LN-Pareto PDF at x=5, mu=0, sigma=1, theta=10</t>
  </si>
  <si>
    <t>ACT_DIST_LNPARETO_CDF</t>
  </si>
  <si>
    <t>LN-Pareto CDF</t>
  </si>
  <si>
    <t>ACT_DIST_LNPARETO_ALPHA</t>
  </si>
  <si>
    <t>Derived tail index alpha</t>
  </si>
  <si>
    <t>ACT_DIST_EXPPARETO_PDF</t>
  </si>
  <si>
    <t>Exp-Pareto PDF at x=5, rate=0.5, theta=10</t>
  </si>
  <si>
    <t>ACT_DIST_EXPPARETO_CDF</t>
  </si>
  <si>
    <t>Exp-Pareto CDF</t>
  </si>
  <si>
    <t>ACT_DIST_EXPPARETO_ALPHA</t>
  </si>
  <si>
    <t>alpha = theta * rate = 5</t>
  </si>
  <si>
    <t>ACT_DIST_POWPARETO_PDF</t>
  </si>
  <si>
    <t>Power-Pareto PDF at x=5, alpha=2, beta=0.5, theta=10</t>
  </si>
  <si>
    <t>ACT_DIST_POWPARETO_CDF</t>
  </si>
  <si>
    <t>Power-Pareto CDF</t>
  </si>
  <si>
    <t>LIMITED EXPECTED VALUE (LEV)</t>
  </si>
  <si>
    <t>Poisson LEV (lambda=5, limit=5)</t>
  </si>
  <si>
    <t>ACT_DIST_POISSON_LEV</t>
  </si>
  <si>
    <t>E[min(X,5)] for Poisson(5)</t>
  </si>
  <si>
    <t>Negative Binomial LEV (r=5, p=0.3, limit=10)</t>
  </si>
  <si>
    <t>ACT_DIST_NEGBIN_LEV</t>
  </si>
  <si>
    <t>E[min(X,10)] for NegBin</t>
  </si>
  <si>
    <t>Exponential LEV (lambda=0.5, limit=2)</t>
  </si>
  <si>
    <t>ACT_DIST_EXP_LEV</t>
  </si>
  <si>
    <t>E[min(X,2)] = 1.2642</t>
  </si>
  <si>
    <t>Lognormal LEV (mu=0, sigma=1, limit=2)</t>
  </si>
  <si>
    <t>ACT_DIST_LOGNORM_LEV</t>
  </si>
  <si>
    <t>E[min(X,2)] = 1.1139</t>
  </si>
  <si>
    <t>Gamma LEV (alpha=2, beta=1, limit=2)</t>
  </si>
  <si>
    <t>ACT_DIST_GAMMA_LEV</t>
  </si>
  <si>
    <t>E[min(X,2)] = 1.4587</t>
  </si>
  <si>
    <t>Pareto LEV (alpha=2, xm=1, limit=2)</t>
  </si>
  <si>
    <t>ACT_DIST_PARETO_LEV</t>
  </si>
  <si>
    <t>E[min(X,2)] = 1.5</t>
  </si>
  <si>
    <t>Lomax LEV (alpha=2, lambda=1, limit=2)</t>
  </si>
  <si>
    <t>ACT_DIST_LOMAX_LEV</t>
  </si>
  <si>
    <t>E[min(X,2)] = 0.6667</t>
  </si>
  <si>
    <t>GPD LEV (xi=0.5, sigma=1, limit=2)</t>
  </si>
  <si>
    <t>ACT_DIST_GPD_LEV</t>
  </si>
  <si>
    <t>E[min(X,2)] = 1.0</t>
  </si>
  <si>
    <t>Weibull LEV (k=2, lambda=1, limit=1)</t>
  </si>
  <si>
    <t>ACT_DIST_WEIBULL_LEV</t>
  </si>
  <si>
    <t>E[min(X,1)] = 0.7468</t>
  </si>
  <si>
    <t>Beta LEV (alpha=2, beta=5, limit=0.5)</t>
  </si>
  <si>
    <t>ACT_DIST_BETA_LEV</t>
  </si>
  <si>
    <t>E[min(X,0.5)] = 0.2757</t>
  </si>
  <si>
    <t>Burr XII LEV (c=2, k=3, lambda=1, limit=1)</t>
  </si>
  <si>
    <t>ACT_DIST_BURR_LEV</t>
  </si>
  <si>
    <t>E[min(X,1)] = 0.5445</t>
  </si>
  <si>
    <t>Inverse Gaussian LEV (mu=1, lambda=2, limit=1)</t>
  </si>
  <si>
    <t>ACT_DIST_INVGAUSS_LEV</t>
  </si>
  <si>
    <t>E[min(X,1)]</t>
  </si>
  <si>
    <t>Loglogistic LEV (alpha=2, beta=1, limit=2)</t>
  </si>
  <si>
    <t>ACT_DIST_LOGLOGISTIC_LEV</t>
  </si>
  <si>
    <t>E[min(X,2)]</t>
  </si>
  <si>
    <t>EXPOSURE CURVES</t>
  </si>
  <si>
    <t>ACT_EXPOSURE_MBBEFD</t>
  </si>
  <si>
    <t>MBBEFD at d=0.5, b=2, g=3</t>
  </si>
  <si>
    <t>ACT_EXPOSURE_SWISSRE</t>
  </si>
  <si>
    <t>Swiss Re curve 1 (light)</t>
  </si>
  <si>
    <t>Swiss Re curve 3 (medium)</t>
  </si>
  <si>
    <t>Swiss Re curve 5 (heavy)</t>
  </si>
  <si>
    <t>ACT_EXPOSURE_LLOYDS</t>
  </si>
  <si>
    <t>Lloyd's Y1 curve</t>
  </si>
  <si>
    <t>Lloyd's Y2 curve</t>
  </si>
  <si>
    <t>Lloyd's Y3 curve</t>
  </si>
  <si>
    <t>Lloyd's Y4 curve</t>
  </si>
  <si>
    <t>ACT_EXPOSURE_POWER</t>
  </si>
  <si>
    <t>Power curve n=2</t>
  </si>
  <si>
    <t>ACT_EXPOSURE_INVERSE_POWER</t>
  </si>
  <si>
    <t>Inverse power n=2</t>
  </si>
  <si>
    <t>ACT_EXPOSURE_PARETO</t>
  </si>
  <si>
    <t>Pareto exposure alpha=2</t>
  </si>
  <si>
    <t>ACT_EXPOSURE_RIEBESELL</t>
  </si>
  <si>
    <t>Riebesell c=0.8</t>
  </si>
  <si>
    <t>ACT_EXPOSURE_RIEBESELL_INV</t>
  </si>
  <si>
    <t>Inverse Riebesell</t>
  </si>
  <si>
    <t>REINSURANCE</t>
  </si>
  <si>
    <t>ACT_XOL_LAYER_LOSS</t>
  </si>
  <si>
    <t>Layer loss: 5M ground-up, 4M xs 1M</t>
  </si>
  <si>
    <t>ACT_XOL_EXPECTED_LOSS</t>
  </si>
  <si>
    <t>Expected layer loss</t>
  </si>
  <si>
    <t>ACT_ILF_PARETO</t>
  </si>
  <si>
    <t>ILF at 2M, base 1M, alpha=2</t>
  </si>
  <si>
    <t>ACT_EXPOSURE_LAYER_RATE</t>
  </si>
  <si>
    <t>Rate on line</t>
  </si>
  <si>
    <t>CAT MODELING</t>
  </si>
  <si>
    <t>ACT_CAT_ELT_TO_YLT</t>
  </si>
  <si>
    <t>ELT to YLT simulation (array)</t>
  </si>
  <si>
    <t>ACT_CAT_YLT_OEP_CURVE</t>
  </si>
  <si>
    <t>OEP curve from annual max losses (array)</t>
  </si>
  <si>
    <t>ACT_CAT_YLT_AEP_CURVE</t>
  </si>
  <si>
    <t>AEP curve from annual aggregate losses (array)</t>
  </si>
  <si>
    <t>ACT_CAT_OEP_CURVE_RP</t>
  </si>
  <si>
    <t>OEP at specific return periods (array)</t>
  </si>
  <si>
    <t>ACT_CAT_AEP_CURVE_RP</t>
  </si>
  <si>
    <t>AEP at specific return periods (array)</t>
  </si>
  <si>
    <t>RISK METRICS</t>
  </si>
  <si>
    <t>ACT_VAR_FROM_SAMPLES</t>
  </si>
  <si>
    <t>95th percentile VaR</t>
  </si>
  <si>
    <t>ACT_TVAR_FROM_SAMPLES</t>
  </si>
  <si>
    <t>95th percentile TVaR</t>
  </si>
  <si>
    <t>Return Period Functions</t>
  </si>
  <si>
    <t>ACT_RETURN_PERIOD_LOSS</t>
  </si>
  <si>
    <t>20-year loss</t>
  </si>
  <si>
    <t>ACT_RETURN_PERIOD_TABLE</t>
  </si>
  <si>
    <t>RP table (array)</t>
  </si>
  <si>
    <t>ACT_AAL_FROM_OEP</t>
  </si>
  <si>
    <t>AAL from OEP curve</t>
  </si>
  <si>
    <t>INTERPOLATION</t>
  </si>
  <si>
    <t>ACT_INTERP</t>
  </si>
  <si>
    <t>Linear interpolation</t>
  </si>
  <si>
    <t>Flat extrapolation</t>
  </si>
  <si>
    <t>Gradient extrapolation</t>
  </si>
  <si>
    <t>ACT_INTERP_LOG</t>
  </si>
  <si>
    <t>Log-linear interpolation</t>
  </si>
  <si>
    <t>ACT_INTERP2D</t>
  </si>
  <si>
    <t>2D bilinear interpolation</t>
  </si>
  <si>
    <t>COPULAS - Gaussian</t>
  </si>
  <si>
    <t>ACT_COPULA_GAUSSIAN</t>
  </si>
  <si>
    <t>Gaussian copula samples (array)</t>
  </si>
  <si>
    <t>ACT_COPULA_GAUSSIAN_SINGLE</t>
  </si>
  <si>
    <t>Single Gaussian sample</t>
  </si>
  <si>
    <t>COPULAS - Student-t</t>
  </si>
  <si>
    <t>ACT_COPULA_STUDENT_T</t>
  </si>
  <si>
    <t>Student-t copula (array)</t>
  </si>
  <si>
    <t>ACT_COPULA_STUDENT_T_SINGLE</t>
  </si>
  <si>
    <t>Single Student-t sample</t>
  </si>
  <si>
    <t>COPULAS - Clayton (lower tail)</t>
  </si>
  <si>
    <t>ACT_COPULA_CLAYTON</t>
  </si>
  <si>
    <t>Clayton copula (array)</t>
  </si>
  <si>
    <t>ACT_COPULA_CLAYTON_SINGLE</t>
  </si>
  <si>
    <t>Single Clayton sample</t>
  </si>
  <si>
    <t>ACT_COPULA_CLAYTON_CDF</t>
  </si>
  <si>
    <t>Clayton CDF</t>
  </si>
  <si>
    <t>COPULAS - Frank (symmetric)</t>
  </si>
  <si>
    <t>ACT_COPULA_FRANK</t>
  </si>
  <si>
    <t>Frank copula (array)</t>
  </si>
  <si>
    <t>ACT_COPULA_FRANK_SINGLE</t>
  </si>
  <si>
    <t>Single Frank sample</t>
  </si>
  <si>
    <t>ACT_COPULA_FRANK_CDF</t>
  </si>
  <si>
    <t>Frank CDF</t>
  </si>
  <si>
    <t>COPULAS - Gumbel (upper tail)</t>
  </si>
  <si>
    <t>ACT_COPULA_GUMBEL</t>
  </si>
  <si>
    <t>Gumbel copula (array)</t>
  </si>
  <si>
    <t>ACT_COPULA_GUMBEL_SINGLE</t>
  </si>
  <si>
    <t>Single Gumbel sample</t>
  </si>
  <si>
    <t>ACT_COPULA_GUMBEL_CDF</t>
  </si>
  <si>
    <t>Gumbel CDF</t>
  </si>
  <si>
    <t>COPULAS - Utilities</t>
  </si>
  <si>
    <t>ACT_COPULA_TAU_TO_THETA</t>
  </si>
  <si>
    <t>Kendall tau -&gt; theta</t>
  </si>
  <si>
    <t>ACT_COPULA_TAIL_LOWER</t>
  </si>
  <si>
    <t>Lower tail dependence</t>
  </si>
  <si>
    <t>ACT_COPULA_TAIL_UPPER</t>
  </si>
  <si>
    <t>Upper tail dependence</t>
  </si>
  <si>
    <t>Student-t lower tail</t>
  </si>
  <si>
    <t>Student-t upper tail</t>
  </si>
  <si>
    <t>CHAIN LADDER - See dedicated sheet</t>
  </si>
  <si>
    <t>(Chain ladder functions tested in 'Chain Ladder' sheet with triangle data)</t>
  </si>
  <si>
    <t>ACT_CL_FACTORS - Development factors (array)</t>
  </si>
  <si>
    <t>ACT_CL_LATEST - Latest diagonal (array)</t>
  </si>
  <si>
    <t>ACT_CL_ULTIMATE - Projected ultimates (array)</t>
  </si>
  <si>
    <t>ACT_CL_IBNR - IBNR reserves (array)</t>
  </si>
  <si>
    <t>ACT_BF_ULTIMATE - Bornhuetter-Ferguson (array)</t>
  </si>
  <si>
    <t>ACT_MACK_FACTOR_SE - Factor std errors (array)</t>
  </si>
  <si>
    <t>ACT_MACK_RESERVE_SE - Reserve std errors (array)</t>
  </si>
  <si>
    <t>ACT_CL_BOOTSTRAP - Bootstrap total (array)</t>
  </si>
  <si>
    <t>ACT_CL_BOOTSTRAP_ORIGIN - Bootstrap by AY (array)</t>
  </si>
  <si>
    <t>ACT_CAPECOD_ULTIMATE - Cape Cod (array)</t>
  </si>
  <si>
    <t>ACT_CAPECOD_ELR - Cape Cod ELR</t>
  </si>
  <si>
    <t>ACT_TRIANGLE_TO_INCREMENTAL - Cum-&gt;Inc (array)</t>
  </si>
  <si>
    <t>ACT_INCREMENTAL_TO_CUMULATIVE - Inc-&gt;Cum (array)</t>
  </si>
  <si>
    <t>ACT_TRIANGLE_DIAGONAL - Extract diagonal (array)</t>
  </si>
  <si>
    <t>ACT_TRIANGLE_LINK_RATIOS - Link ratios (array)</t>
  </si>
  <si>
    <t>ACT_CL_CALENDAR_ADJUST - Calendar adjust (array)</t>
  </si>
  <si>
    <t>ACT_CL_CALENDAR_TOTALS - Calendar totals (array)</t>
  </si>
  <si>
    <t>ACT_CL_WEIGHTED_AVERAGE - Weighted avg (array)</t>
  </si>
  <si>
    <t>VERSION INFO</t>
  </si>
  <si>
    <t>ACT_VERSION</t>
  </si>
  <si>
    <t>Current version</t>
  </si>
  <si>
    <t>ACT_BUILD_DATE</t>
  </si>
  <si>
    <t>Build date</t>
  </si>
  <si>
    <t>ACT_GITHUB_URL</t>
  </si>
  <si>
    <t>GitHub URL</t>
  </si>
  <si>
    <t>ACT_COMMIT_COUNT</t>
  </si>
  <si>
    <t>Number of commits</t>
  </si>
  <si>
    <t>ACT_COMMIT_INFO</t>
  </si>
  <si>
    <t>Latest commit hash</t>
  </si>
  <si>
    <t>Latest commit date</t>
  </si>
  <si>
    <t>Latest commit message</t>
  </si>
  <si>
    <t>ACT_COMMIT_HISTORY</t>
  </si>
  <si>
    <t>Full history (array)</t>
  </si>
  <si>
    <t>Aggregate Claims (Panjer Recursion)</t>
  </si>
  <si>
    <t>ACT_DISCRETIZE_EXPONENTIAL(1, 0.5, 10)</t>
  </si>
  <si>
    <t>ACT_DISCRETIZE_GAMMA(2, 1, 0.5, 10)</t>
  </si>
  <si>
    <t>ACT_DISCRETIZE_LOGNORMAL(0, 1, 0.5, 10)</t>
  </si>
  <si>
    <t>ACT_PANJER_POISSON(2, {0.5,0.5}, 5)</t>
  </si>
  <si>
    <t>ACT_PANJER_NEGBIN(2, 0.5, {0.5,0.5}, 5)</t>
  </si>
  <si>
    <t>ACT_PANJER_BINOMIAL(5, 0.3, {0.5,0.5}, 5)</t>
  </si>
  <si>
    <t>ACT_AGGREGATE_MEAN(pmf, 1)</t>
  </si>
  <si>
    <t>ACT_AGGREGATE_STDEV(pmf, 1)</t>
  </si>
  <si>
    <t>ACT_AGGREGATE_VAR_STAT(pmf, 1)</t>
  </si>
  <si>
    <t>ACT_AGGREGATE_CDF(2, pmf, 1)</t>
  </si>
  <si>
    <t>ACT_AGGREGATE_VAR(0.95, pmf, 1)</t>
  </si>
  <si>
    <t>ACT_AGGREGATE_TVAR(0.95, pmf, 1)</t>
  </si>
  <si>
    <t>Statistical Distributions</t>
  </si>
  <si>
    <t>PDF = Probability Density Function, CDF = Cumulative Distribution Function</t>
  </si>
  <si>
    <t>NORMAL DISTRIBUTION (mu=0, sigma=1)</t>
  </si>
  <si>
    <t>x</t>
  </si>
  <si>
    <t>PDF</t>
  </si>
  <si>
    <t>CDF</t>
  </si>
  <si>
    <t>Notes</t>
  </si>
  <si>
    <t>POISSON DISTRIBUTION (lambda=5)</t>
  </si>
  <si>
    <t>Mode</t>
  </si>
  <si>
    <t>NEGATIVE BINOMIAL DISTRIBUTION (r=5, p=0.3)</t>
  </si>
  <si>
    <t>LOGNORMAL DISTRIBUTION (mu=0, sigma=1)</t>
  </si>
  <si>
    <t>GAMMA DISTRIBUTION (alpha=2, beta=1)</t>
  </si>
  <si>
    <t>EXPONENTIAL DISTRIBUTION (lambda=1)</t>
  </si>
  <si>
    <t>WEIBULL DISTRIBUTION (k=2, lambda=1)</t>
  </si>
  <si>
    <t>BETA DISTRIBUTION (alpha=2, beta=5)</t>
  </si>
  <si>
    <t>PARETO TYPE I DISTRIBUTION (alpha=2, xm=1)</t>
  </si>
  <si>
    <t>Minimum (xm)</t>
  </si>
  <si>
    <t>LOMAX (PARETO TYPE II) DISTRIBUTION (alpha=2, lambda=1)</t>
  </si>
  <si>
    <t>GENERALIZED PARETO (GPD) DISTRIBUTION (xi=0.5, sigma=1)</t>
  </si>
  <si>
    <t>BURR TYPE XII DISTRIBUTION (c=2, k=1, lambda=1)</t>
  </si>
  <si>
    <t>INVERSE GAUSSIAN (WALD) DISTRIBUTION (mu=2, lambda=3)</t>
  </si>
  <si>
    <t>LOGLOGISTIC DISTRIBUTION (alpha=2, beta=3)</t>
  </si>
  <si>
    <t>ZERO-TRUNCATED POISSON (lambda=5)</t>
  </si>
  <si>
    <t>PMF</t>
  </si>
  <si>
    <t>Mean:</t>
  </si>
  <si>
    <t>ZERO-TRUNCATED NEGATIVE BINOMIAL (r=5, p=0.3)</t>
  </si>
  <si>
    <t>ZERO-TRUNCATED BINOMIAL (n=10, p=0.3)</t>
  </si>
  <si>
    <t>Max</t>
  </si>
  <si>
    <t>ZERO-TRUNCATED GEOMETRIC (p=0.3)</t>
  </si>
  <si>
    <t>E[X|X&gt;0] = 1/p</t>
  </si>
  <si>
    <t>ZERO-MODIFIED POISSON (lambda=5, p0=0.2)</t>
  </si>
  <si>
    <t>Inflated</t>
  </si>
  <si>
    <t>(1-p0)*λ</t>
  </si>
  <si>
    <t>Var:</t>
  </si>
  <si>
    <t>(1-p0)*λ*(1+p0*λ)</t>
  </si>
  <si>
    <t>ZERO-MODIFIED NEGATIVE BINOMIAL (r=5, p=0.3, p0=0.2)</t>
  </si>
  <si>
    <t>(1-p0)*r*(1-p)/p</t>
  </si>
  <si>
    <t>PARETO III (mu=1, sigma=2, gamma=3)</t>
  </si>
  <si>
    <t>Location</t>
  </si>
  <si>
    <t>μ + σ/(γ-1)</t>
  </si>
  <si>
    <t>PARETO IV (mu=0, sigma=2, gamma=0.5, alpha=3)</t>
  </si>
  <si>
    <t>LOGNORMAL-PARETO COMPOSITE (mu=0, sigma=1, theta=2)</t>
  </si>
  <si>
    <t>Threshold</t>
  </si>
  <si>
    <t>EXPONENTIAL-PARETO COMPOSITE (rate=0.5, theta=2)</t>
  </si>
  <si>
    <t>POWER-PARETO COMPOSITE (alpha=2, beta=3, theta=1)</t>
  </si>
  <si>
    <t>Exposure Curves</t>
  </si>
  <si>
    <t>Exposure curves relate damage ratio (d) to expected loss ratio G(d)</t>
  </si>
  <si>
    <t>MBBEFD CURVES (b=2, g=3) - Swiss Re parameterization</t>
  </si>
  <si>
    <t>d</t>
  </si>
  <si>
    <t>G(d)</t>
  </si>
  <si>
    <t>SWISS RE CURVES COMPARISON (all curves)</t>
  </si>
  <si>
    <t>Curve 1</t>
  </si>
  <si>
    <t>Curve 2</t>
  </si>
  <si>
    <t>Curve 3</t>
  </si>
  <si>
    <t>Curve 4</t>
  </si>
  <si>
    <t>Curve 5</t>
  </si>
  <si>
    <t>LLOYD'S CURVES COMPARISON</t>
  </si>
  <si>
    <t>Y1</t>
  </si>
  <si>
    <t>Y2</t>
  </si>
  <si>
    <t>Y3</t>
  </si>
  <si>
    <t>Y4</t>
  </si>
  <si>
    <t>OTHER EXPOSURE CURVES at d=0.5</t>
  </si>
  <si>
    <t>Function</t>
  </si>
  <si>
    <t>Formula</t>
  </si>
  <si>
    <t>Result</t>
  </si>
  <si>
    <t>Power (n=2)</t>
  </si>
  <si>
    <t>ACT_EXPOSURE_POWER(0.5, 2)</t>
  </si>
  <si>
    <t>G(d) = d^n</t>
  </si>
  <si>
    <t>Inverse Power (n=2)</t>
  </si>
  <si>
    <t>ACT_EXPOSURE_INVERSE_POWER(0.5, 2)</t>
  </si>
  <si>
    <t>G(d) = 1 - (1-d)^n</t>
  </si>
  <si>
    <t>Pareto (alpha=2)</t>
  </si>
  <si>
    <t>ACT_EXPOSURE_PARETO(0.5, 2)</t>
  </si>
  <si>
    <t>Based on Pareto severity</t>
  </si>
  <si>
    <t>Riebesell (n=0.5)</t>
  </si>
  <si>
    <t>ACT_EXPOSURE_RIEBESELL(0.5, 0.5)</t>
  </si>
  <si>
    <t>Alternative single-parameter curve</t>
  </si>
  <si>
    <t>Reinsurance Functions</t>
  </si>
  <si>
    <t>Excess of loss layer calculations</t>
  </si>
  <si>
    <t>XOL LAYER LOSS (Attachment=1,000,000, Limit=5,000,000)</t>
  </si>
  <si>
    <t>Ground-Up Loss</t>
  </si>
  <si>
    <t>Layer Loss</t>
  </si>
  <si>
    <t>Below attachment</t>
  </si>
  <si>
    <t>At attachment</t>
  </si>
  <si>
    <t>Partial layer</t>
  </si>
  <si>
    <t>Full limit</t>
  </si>
  <si>
    <t>Capped at limit</t>
  </si>
  <si>
    <t>Cat Modeling: ELT → YLT → EP Curves</t>
  </si>
  <si>
    <t>Simulate a Year Loss Table (YLT) from an Event Loss Table (ELT) and derive OEP/AEP curves.</t>
  </si>
  <si>
    <t>EXAMPLE 1: ELT TO YLT SIMULATION</t>
  </si>
  <si>
    <t>Event Loss Table (ELT) - Input</t>
  </si>
  <si>
    <t>Event</t>
  </si>
  <si>
    <t>Annual Rate</t>
  </si>
  <si>
    <t>Event Loss</t>
  </si>
  <si>
    <t>Event 1</t>
  </si>
  <si>
    <t>Event 2</t>
  </si>
  <si>
    <t>Event 3</t>
  </si>
  <si>
    <t>Year Loss Table (YLT) - Simulated 1000 years, seed=42</t>
  </si>
  <si>
    <t>Year</t>
  </si>
  <si>
    <t>Aggregate Loss</t>
  </si>
  <si>
    <t>Max Loss</t>
  </si>
  <si>
    <t>Event Count</t>
  </si>
  <si>
    <t>OEP Curve (from YLT max losses) - Weibull plotting position</t>
  </si>
  <si>
    <t>AEP Curve (from YLT aggregate losses)</t>
  </si>
  <si>
    <t>EP Curves at Return Periods</t>
  </si>
  <si>
    <t>Return Period</t>
  </si>
  <si>
    <t>OEP Loss</t>
  </si>
  <si>
    <t>AEP Loss</t>
  </si>
  <si>
    <t>OEP</t>
  </si>
  <si>
    <t>AEP</t>
  </si>
  <si>
    <t>Linear Interpolation</t>
  </si>
  <si>
    <t>Interpolate between known points with optional extrapolation</t>
  </si>
  <si>
    <t>KNOWN DATA POINTS</t>
  </si>
  <si>
    <t>X</t>
  </si>
  <si>
    <t>Y</t>
  </si>
  <si>
    <t>INTERPOLATION EXAMPLES</t>
  </si>
  <si>
    <t>Y (FLAT extrap)</t>
  </si>
  <si>
    <t>Y (GRADIENT extrap)</t>
  </si>
  <si>
    <t>Below range</t>
  </si>
  <si>
    <t>Interpolated</t>
  </si>
  <si>
    <t>Above range</t>
  </si>
  <si>
    <t>FLAT = extrapolate using last known value; GRADIENT = extrapolate using slope from last two points</t>
  </si>
  <si>
    <t>Chain Ladder Reserving - Taylor-Ashe Dataset</t>
  </si>
  <si>
    <t>Using the Taylor-Ashe triangle from Peter England's bootstrapping presentation (England &amp; Verrall, 1999)</t>
  </si>
  <si>
    <t>INPUT TRIANGLE (Cumulative Paid Losses - Taylor-Ashe)</t>
  </si>
  <si>
    <t>AY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</si>
  <si>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</si>
  <si>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</si>
  <si>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</si>
  <si>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</si>
  <si>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</si>
  <si>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</si>
  <si>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</si>
  <si>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</si>
  <si>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</si>
  <si>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</si>
  <si>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DEVELOPMENT FACTORS</t>
  </si>
  <si>
    <t>Expected: 3.491, 1.747, 1.457, 1.174, 1.104, 1.086, 1.054, 1.077, 1.018</t>
  </si>
  <si>
    <t>Period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</si>
  <si>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</si>
  <si>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</si>
  <si>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</si>
  <si>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</si>
  <si>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</si>
  <si>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</si>
  <si>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</si>
  <si>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</si>
  <si>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</si>
  <si>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Factors</t>
  </si>
  <si>
    <t>PROJECTED ULTIMATES AND IBNR</t>
  </si>
  <si>
    <t>Expected Total IBNR: ~18,680,856</t>
  </si>
  <si>
    <t>Latest Cumulative</t>
  </si>
  <si>
    <t>Ultimate</t>
  </si>
  <si>
    <t>IBNR</t>
  </si>
  <si>
    <t>Total</t>
  </si>
  <si>
    <t>MACK STANDARD ERRORS (reserve uncertainty)</t>
  </si>
  <si>
    <t>Reserve SE</t>
  </si>
  <si>
    <t>Mack 1993 reference</t>
  </si>
  <si>
    <t>BOOTSTRAP CHAIN LADDER (ODP) - England &amp; Verrall (2002)</t>
  </si>
  <si>
    <t>Iterations</t>
  </si>
  <si>
    <t>Seed</t>
  </si>
  <si>
    <t>BOOTSTRAP RESULTS - EV method (England &amp; Verrall 2002, non-constant scale)</t>
  </si>
  <si>
    <t>Statistic</t>
  </si>
  <si>
    <t>Value</t>
  </si>
  <si>
    <t>E&amp;V Reference</t>
  </si>
  <si>
    <t>StdDev</t>
  </si>
  <si>
    <t>P1</t>
  </si>
  <si>
    <t>P5</t>
  </si>
  <si>
    <t>P10</t>
  </si>
  <si>
    <t>P25</t>
  </si>
  <si>
    <t>P50</t>
  </si>
  <si>
    <t>P75</t>
  </si>
  <si>
    <t>P90</t>
  </si>
  <si>
    <t>P95</t>
  </si>
  <si>
    <t>P99</t>
  </si>
  <si>
    <t>BOOTSTRAP BY ORIGIN YEAR - E&amp;V (2002) Table 3, non-constant scale</t>
  </si>
  <si>
    <t>E&amp;V SE</t>
  </si>
  <si>
    <t>Ratio</t>
  </si>
  <si>
    <t>-</t>
  </si>
  <si>
    <t>Student-t Copula</t>
  </si>
  <si>
    <t>Generate correlated uniform random numbers for Monte Carlo simulation</t>
  </si>
  <si>
    <t>CORRELATION MATRIX (3x3)</t>
  </si>
  <si>
    <t>X1</t>
  </si>
  <si>
    <t>X2</t>
  </si>
  <si>
    <t>X3</t>
  </si>
  <si>
    <t>PARAMETERS</t>
  </si>
  <si>
    <t>Degrees of freedom:</t>
  </si>
  <si>
    <t>Number of samples:</t>
  </si>
  <si>
    <t>Random seed:</t>
  </si>
  <si>
    <t>GENERATED SAMPLES (use INDEX to extract from array)</t>
  </si>
  <si>
    <t>Formula: =INDEX(ACT_COPULA_STUDENT_T(B7:D9, B12, B13, B14), row, col)</t>
  </si>
  <si>
    <t>Sample</t>
  </si>
  <si>
    <t>U1</t>
  </si>
  <si>
    <t>U2</t>
  </si>
  <si>
    <t>U3</t>
  </si>
  <si>
    <t>Note: Results are uniform[0,1] values. Apply inverse CDF to get desired marginal distributions.</t>
  </si>
  <si>
    <t>Gaussian Copula</t>
  </si>
  <si>
    <t>Correlation matrix:</t>
  </si>
  <si>
    <t>Clayton Copula (lower tail)</t>
  </si>
  <si>
    <t>Theta (&gt;0 for positive dependence):</t>
  </si>
  <si>
    <t>Frank Copula (symmetric)</t>
  </si>
  <si>
    <t>Theta (&gt;0 positive, &lt;0 negative):</t>
  </si>
  <si>
    <t>Gumbel Copula (upper tail)</t>
  </si>
  <si>
    <t>Theta (&gt;=1):</t>
  </si>
  <si>
    <t>Aggregate Claims - Panjer Recursion</t>
  </si>
  <si>
    <t>Compute S = X1 + X2 + ... + Xn where N ~ frequency, Xi ~ severity (iid)</t>
  </si>
  <si>
    <t>Workflow: discretize severity -&gt; Panjer recursion -&gt; aggregate statistics</t>
  </si>
  <si>
    <t>SECTION 1: SEVERITY DISCRETIZATION</t>
  </si>
  <si>
    <t>Exponential(rate=1) discretized on grid h=0.5, m=20 points</t>
  </si>
  <si>
    <t>Rate:</t>
  </si>
  <si>
    <t>Grid spacing (h):</t>
  </si>
  <si>
    <t>Grid points (m):</t>
  </si>
  <si>
    <t>Index (s)</t>
  </si>
  <si>
    <t>Value (s*h)</t>
  </si>
  <si>
    <t>PMF f(s)</t>
  </si>
  <si>
    <t>SECTION 2: PANJER RECURSION - Poisson(lambda=2) frequency</t>
  </si>
  <si>
    <t>Aggregate PMF via Panjer recursion, max_s=40 -&gt; 41 values</t>
  </si>
  <si>
    <t>Lambda:</t>
  </si>
  <si>
    <t>Max index:</t>
  </si>
  <si>
    <t>Aggregate Loss (s*h)</t>
  </si>
  <si>
    <t>PMF P(S=s*h)</t>
  </si>
  <si>
    <t>CDF P(S&lt;=s*h)</t>
  </si>
  <si>
    <t>SECTION 3: AGGREGATE STATISTICS</t>
  </si>
  <si>
    <t>Formula Result</t>
  </si>
  <si>
    <t>Theoretical</t>
  </si>
  <si>
    <t>2/1 = 2.0 (lambda/rate)</t>
  </si>
  <si>
    <t>Std Dev</t>
  </si>
  <si>
    <t>sqrt(lambda*(1/rate^2 + 1/rate^2)) = 2.0</t>
  </si>
  <si>
    <t>Variance</t>
  </si>
  <si>
    <t>4.0</t>
  </si>
  <si>
    <t>VaR(95%)</t>
  </si>
  <si>
    <t>TVaR(95%)</t>
  </si>
  <si>
    <t>CDF at x=3</t>
  </si>
  <si>
    <t>SECTION 4: ALTERNATIVE FREQUENCY - NegBin(r=2, p=0.5)</t>
  </si>
  <si>
    <t>Same severity, different frequency distribution</t>
  </si>
  <si>
    <t>r:</t>
  </si>
  <si>
    <t>p:</t>
  </si>
  <si>
    <t>PMF (NegBin)</t>
  </si>
  <si>
    <t>CDF (NegBin)</t>
  </si>
  <si>
    <t>NEGBIN AGGREGATE STATISTICS</t>
  </si>
  <si>
    <t>E[N]*E[X] = r(1-p)/p / rate = 2</t>
  </si>
  <si>
    <t>Generate losses from return period tables (OEP/AEP curves)</t>
  </si>
  <si>
    <t>SAMPLE EXCEEDANCE PROBABILITY CURVE</t>
  </si>
  <si>
    <t>LOSS INTERPOLATION</t>
  </si>
  <si>
    <t>Target RP</t>
  </si>
  <si>
    <t>Loss (LOG)</t>
  </si>
  <si>
    <t>Loss (LINEAR)</t>
  </si>
  <si>
    <t>Log interpolation typical for cat curves</t>
  </si>
  <si>
    <t>AVERAGE ANNUAL LOSS (AAL) FROM OEP CURVE</t>
  </si>
  <si>
    <t>AAL: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</si>
</sst>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name val="Calibri"/>
    </font>
    <font>
      <i/>
      <sz val="10"/>
      <color rgb="FF666666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/>
    <xf numFmtId="0" fontId="5" fillId="2" borderId="1" xfId="0" applyFont="1" applyFill="1" applyBorder="1"/>
    <xf numFmtId="0" fontId="2" fillId="0" borderId="1" xfId="0" applyFont="1" applyBorder="1"/>
    <xf numFmtId="3" fontId="2" fillId="0" borderId="1" xfId="0" applyNumberFormat="1" applyFont="1" applyBorder="1"/>
    <xf numFmtId="9" fontId="0" fillId="0" borderId="1" xfId="0" applyNumberFormat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/>
    <xf numFmtId="0" fontId="4" fillId="0" borderId="1" xfId="0" applyFont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Normal PDF (μ=0, σ=1)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Distributions!$A$7:$A$15</c:f>
              <c:numCache>
                <c:formatCode>General</c:formatCode>
                <c:ptCount val="9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xVal>
          <c:yVal>
            <c:numRef>
              <c:f>Distributions!$B$7:$B$15</c:f>
              <c:numCache>
                <c:formatCode>General</c:formatCode>
                <c:ptCount val="9"/>
                <c:pt idx="0">
                  <c:v>4.4318484119380067E-3</c:v>
                </c:pt>
                <c:pt idx="1">
                  <c:v>5.3990966513188049E-2</c:v>
                </c:pt>
                <c:pt idx="2">
                  <c:v>0.24197072451914334</c:v>
                </c:pt>
                <c:pt idx="3">
                  <c:v>0.35206532676429947</c:v>
                </c:pt>
                <c:pt idx="4">
                  <c:v>0.39894228040143265</c:v>
                </c:pt>
                <c:pt idx="5">
                  <c:v>0.35206532676429947</c:v>
                </c:pt>
                <c:pt idx="6">
                  <c:v>0.24197072451914334</c:v>
                </c:pt>
                <c:pt idx="7">
                  <c:v>5.3990966513188049E-2</c:v>
                </c:pt>
                <c:pt idx="8">
                  <c:v>4.4318484119380067E-3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BD-4811-9134-639F430D8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Poisson PMF (λ=5)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Distributions!$A$22:$A$32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Distributions!$B$22:$B$32</c:f>
              <c:numCache>
                <c:formatCode>General</c:formatCode>
                <c:ptCount val="11"/>
                <c:pt idx="0">
                  <c:v>6.737946999085467E-3</c:v>
                </c:pt>
                <c:pt idx="1">
                  <c:v>3.3689734995427337E-2</c:v>
                </c:pt>
                <c:pt idx="2">
                  <c:v>8.4224337488568321E-2</c:v>
                </c:pt>
                <c:pt idx="3">
                  <c:v>0.1403738958142805</c:v>
                </c:pt>
                <c:pt idx="4">
                  <c:v>0.17546736976785063</c:v>
                </c:pt>
                <c:pt idx="5">
                  <c:v>0.17546736976785068</c:v>
                </c:pt>
                <c:pt idx="6">
                  <c:v>0.1462228081398754</c:v>
                </c:pt>
                <c:pt idx="7">
                  <c:v>0.10444486295705395</c:v>
                </c:pt>
                <c:pt idx="8">
                  <c:v>6.5278039348158651E-2</c:v>
                </c:pt>
                <c:pt idx="9">
                  <c:v>3.6265577415643714E-2</c:v>
                </c:pt>
                <c:pt idx="10">
                  <c:v>1.8132788707821854E-2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11-49AC-A0F5-C53EF11E2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P(X=k)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Negative Binomial PMF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Distributions!$A$37:$A$48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Distributions!$B$37:$B$48</c:f>
              <c:numCache>
                <c:formatCode>General</c:formatCode>
                <c:ptCount val="12"/>
                <c:pt idx="0">
                  <c:v>2.4300000000000012E-3</c:v>
                </c:pt>
                <c:pt idx="1">
                  <c:v>8.5049999999999293E-3</c:v>
                </c:pt>
                <c:pt idx="2">
                  <c:v>1.7860499999999887E-2</c:v>
                </c:pt>
                <c:pt idx="3">
                  <c:v>2.9172149999999005E-2</c:v>
                </c:pt>
                <c:pt idx="4">
                  <c:v>4.0841010000000316E-2</c:v>
                </c:pt>
                <c:pt idx="5">
                  <c:v>5.1459672600000235E-2</c:v>
                </c:pt>
                <c:pt idx="6">
                  <c:v>6.0036284699999776E-2</c:v>
                </c:pt>
                <c:pt idx="7">
                  <c:v>6.6039913170002101E-2</c:v>
                </c:pt>
                <c:pt idx="8">
                  <c:v>6.9341908828500179E-2</c:v>
                </c:pt>
                <c:pt idx="9">
                  <c:v>7.0112374482146994E-2</c:v>
                </c:pt>
                <c:pt idx="10">
                  <c:v>6.8710126992500814E-2</c:v>
                </c:pt>
                <c:pt idx="11">
                  <c:v>6.5586939401942518E-2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DB-4D52-A4CB-E5840C1CB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P(X=k)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Lognormal PDF (μ=0, σ=1)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Distributions!$A$52:$A$61</c:f>
              <c:numCache>
                <c:formatCode>General</c:formatCode>
                <c:ptCount val="10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</c:numCache>
            </c:numRef>
          </c:xVal>
          <c:yVal>
            <c:numRef>
              <c:f>Distributions!$B$52:$B$61</c:f>
              <c:numCache>
                <c:formatCode>General</c:formatCode>
                <c:ptCount val="10"/>
                <c:pt idx="0">
                  <c:v>0.28159018901526828</c:v>
                </c:pt>
                <c:pt idx="1">
                  <c:v>0.61045530419018312</c:v>
                </c:pt>
                <c:pt idx="2">
                  <c:v>0.62749607711592426</c:v>
                </c:pt>
                <c:pt idx="3">
                  <c:v>0.51036100631384929</c:v>
                </c:pt>
                <c:pt idx="4">
                  <c:v>0.39894228040143265</c:v>
                </c:pt>
                <c:pt idx="5">
                  <c:v>0.24497365171050992</c:v>
                </c:pt>
                <c:pt idx="6">
                  <c:v>0.15687401927898106</c:v>
                </c:pt>
                <c:pt idx="7">
                  <c:v>7.2728256139994701E-2</c:v>
                </c:pt>
                <c:pt idx="8">
                  <c:v>3.8153456511886445E-2</c:v>
                </c:pt>
                <c:pt idx="9">
                  <c:v>2.18507148303272E-2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CD-42EC-88D3-A6E8E3FAA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Gamma PDF (α=2, β=1)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Distributions!$A$67:$A$75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</c:numCache>
            </c:numRef>
          </c:xVal>
          <c:yVal>
            <c:numRef>
              <c:f>Distributions!$B$67:$B$75</c:f>
              <c:numCache>
                <c:formatCode>General</c:formatCode>
                <c:ptCount val="9"/>
                <c:pt idx="0">
                  <c:v>0</c:v>
                </c:pt>
                <c:pt idx="1">
                  <c:v>0.30326532985631671</c:v>
                </c:pt>
                <c:pt idx="2">
                  <c:v>0.36787944117144233</c:v>
                </c:pt>
                <c:pt idx="3">
                  <c:v>0.33469524022264474</c:v>
                </c:pt>
                <c:pt idx="4">
                  <c:v>0.2706705664732254</c:v>
                </c:pt>
                <c:pt idx="5">
                  <c:v>0.14936120510359183</c:v>
                </c:pt>
                <c:pt idx="6">
                  <c:v>7.3262555554936715E-2</c:v>
                </c:pt>
                <c:pt idx="7">
                  <c:v>3.3689734995427337E-2</c:v>
                </c:pt>
                <c:pt idx="8">
                  <c:v>1.4872513059998151E-2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54-4029-B95D-02C4713E0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Exponential PDF (λ=1)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Distributions!$A$82:$A$90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Distributions!$B$82:$B$90</c:f>
              <c:numCache>
                <c:formatCode>General</c:formatCode>
                <c:ptCount val="9"/>
                <c:pt idx="0">
                  <c:v>1</c:v>
                </c:pt>
                <c:pt idx="1">
                  <c:v>0.60653065971263342</c:v>
                </c:pt>
                <c:pt idx="2">
                  <c:v>0.36787944117144233</c:v>
                </c:pt>
                <c:pt idx="3">
                  <c:v>0.22313016014842982</c:v>
                </c:pt>
                <c:pt idx="4">
                  <c:v>0.1353352832366127</c:v>
                </c:pt>
                <c:pt idx="5">
                  <c:v>8.20849986238988E-2</c:v>
                </c:pt>
                <c:pt idx="6">
                  <c:v>4.9787068367863944E-2</c:v>
                </c:pt>
                <c:pt idx="7">
                  <c:v>1.8315638888734179E-2</c:v>
                </c:pt>
                <c:pt idx="8">
                  <c:v>6.737946999085467E-3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AB-456C-BF6A-932C6E904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Weibull PDF (k=2, λ=1)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Distributions!$A$97:$A$105</c:f>
              <c:numCache>
                <c:formatCode>General</c:formatCode>
                <c:ptCount val="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</c:numCache>
            </c:numRef>
          </c:xVal>
          <c:yVal>
            <c:numRef>
              <c:f>Distributions!$B$97:$B$105</c:f>
              <c:numCache>
                <c:formatCode>General</c:formatCode>
                <c:ptCount val="9"/>
                <c:pt idx="0">
                  <c:v>0</c:v>
                </c:pt>
                <c:pt idx="1">
                  <c:v>0.4697065314067379</c:v>
                </c:pt>
                <c:pt idx="2">
                  <c:v>0.77880078307140488</c:v>
                </c:pt>
                <c:pt idx="3">
                  <c:v>0.85467423709638446</c:v>
                </c:pt>
                <c:pt idx="4">
                  <c:v>0.73575888234288467</c:v>
                </c:pt>
                <c:pt idx="5">
                  <c:v>0.31619767368559298</c:v>
                </c:pt>
                <c:pt idx="6">
                  <c:v>7.3262555554936715E-2</c:v>
                </c:pt>
                <c:pt idx="7">
                  <c:v>9.6522706811385459E-3</c:v>
                </c:pt>
                <c:pt idx="8">
                  <c:v>7.4045882452007737E-4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C3-41E2-AF14-1510D9576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Beta PDF (α=2, β=5)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Distributions!$A$112:$A$122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Distributions!$B$112:$B$122</c:f>
              <c:numCache>
                <c:formatCode>General</c:formatCode>
                <c:ptCount val="11"/>
                <c:pt idx="0">
                  <c:v>0</c:v>
                </c:pt>
                <c:pt idx="1">
                  <c:v>1.9682999999999962</c:v>
                </c:pt>
                <c:pt idx="2">
                  <c:v>2.4575999999999958</c:v>
                </c:pt>
                <c:pt idx="3">
                  <c:v>2.1608999999999954</c:v>
                </c:pt>
                <c:pt idx="4">
                  <c:v>1.555199999999997</c:v>
                </c:pt>
                <c:pt idx="5">
                  <c:v>0.93749999999999811</c:v>
                </c:pt>
                <c:pt idx="6">
                  <c:v>0.46079999999999915</c:v>
                </c:pt>
                <c:pt idx="7">
                  <c:v>0.17009999999999975</c:v>
                </c:pt>
                <c:pt idx="8">
                  <c:v>3.8399999999999893E-2</c:v>
                </c:pt>
                <c:pt idx="9">
                  <c:v>2.6999999999999923E-3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22-4402-B741-E0B74652C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Pareto I PDF (α=2, xm=1)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Distributions!$A$127:$A$134</c:f>
              <c:numCache>
                <c:formatCode>General</c:formatCode>
                <c:ptCount val="8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10</c:v>
                </c:pt>
              </c:numCache>
            </c:numRef>
          </c:xVal>
          <c:yVal>
            <c:numRef>
              <c:f>Distributions!$B$127:$B$134</c:f>
              <c:numCache>
                <c:formatCode>General</c:formatCode>
                <c:ptCount val="8"/>
                <c:pt idx="0">
                  <c:v>2</c:v>
                </c:pt>
                <c:pt idx="1">
                  <c:v>0.59259259259259256</c:v>
                </c:pt>
                <c:pt idx="2">
                  <c:v>0.25</c:v>
                </c:pt>
                <c:pt idx="3">
                  <c:v>7.407407407407407E-2</c:v>
                </c:pt>
                <c:pt idx="4">
                  <c:v>3.125E-2</c:v>
                </c:pt>
                <c:pt idx="5">
                  <c:v>1.6E-2</c:v>
                </c:pt>
                <c:pt idx="6">
                  <c:v>5.8309037900874635E-3</c:v>
                </c:pt>
                <c:pt idx="7">
                  <c:v>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CC-4C90-B441-405CAE9AF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Lomax PDF (α=2, λ=1)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Distributions!$A$142:$A$150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7</c:v>
                </c:pt>
                <c:pt idx="8">
                  <c:v>10</c:v>
                </c:pt>
              </c:numCache>
            </c:numRef>
          </c:xVal>
          <c:yVal>
            <c:numRef>
              <c:f>Distributions!$B$142:$B$150</c:f>
              <c:numCache>
                <c:formatCode>General</c:formatCode>
                <c:ptCount val="9"/>
                <c:pt idx="0">
                  <c:v>2</c:v>
                </c:pt>
                <c:pt idx="1">
                  <c:v>0.59259259259259256</c:v>
                </c:pt>
                <c:pt idx="2">
                  <c:v>0.25</c:v>
                </c:pt>
                <c:pt idx="3">
                  <c:v>7.407407407407407E-2</c:v>
                </c:pt>
                <c:pt idx="4">
                  <c:v>3.125E-2</c:v>
                </c:pt>
                <c:pt idx="5">
                  <c:v>1.6E-2</c:v>
                </c:pt>
                <c:pt idx="6">
                  <c:v>9.2592592592592587E-3</c:v>
                </c:pt>
                <c:pt idx="7">
                  <c:v>3.90625E-3</c:v>
                </c:pt>
                <c:pt idx="8">
                  <c:v>1.5026296018031556E-3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30-410A-89AA-494432E71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GPD PDF (ξ=0.5, σ=1)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Distributions!$A$157:$A$165</c:f>
              <c:numCache>
                <c:formatCode>General</c:formatCode>
                <c:ptCount val="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Distributions!$B$157:$B$165</c:f>
              <c:numCache>
                <c:formatCode>General</c:formatCode>
                <c:ptCount val="9"/>
                <c:pt idx="0">
                  <c:v>1</c:v>
                </c:pt>
                <c:pt idx="1">
                  <c:v>0.7023319615912208</c:v>
                </c:pt>
                <c:pt idx="2">
                  <c:v>0.51200000000000001</c:v>
                </c:pt>
                <c:pt idx="3">
                  <c:v>0.29629629629629628</c:v>
                </c:pt>
                <c:pt idx="4">
                  <c:v>0.18658892128279883</c:v>
                </c:pt>
                <c:pt idx="5">
                  <c:v>0.125</c:v>
                </c:pt>
                <c:pt idx="6">
                  <c:v>6.4000000000000001E-2</c:v>
                </c:pt>
                <c:pt idx="7">
                  <c:v>3.7037037037037035E-2</c:v>
                </c:pt>
                <c:pt idx="8">
                  <c:v>2.3323615160349854E-2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02-41DF-82E7-A07DFEB71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Burr XII PDF (c=2, k=1, λ=1)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Distributions!$A$172:$A$180</c:f>
              <c:numCache>
                <c:formatCode>General</c:formatCode>
                <c:ptCount val="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Distributions!$B$172:$B$180</c:f>
              <c:numCache>
                <c:formatCode>General</c:formatCode>
                <c:ptCount val="9"/>
                <c:pt idx="0">
                  <c:v>0</c:v>
                </c:pt>
                <c:pt idx="1">
                  <c:v>0.44290657439446368</c:v>
                </c:pt>
                <c:pt idx="2">
                  <c:v>0.64</c:v>
                </c:pt>
                <c:pt idx="3">
                  <c:v>0.5</c:v>
                </c:pt>
                <c:pt idx="4">
                  <c:v>0.28402366863905326</c:v>
                </c:pt>
                <c:pt idx="5">
                  <c:v>0.16</c:v>
                </c:pt>
                <c:pt idx="6">
                  <c:v>0.06</c:v>
                </c:pt>
                <c:pt idx="7">
                  <c:v>2.768166089965398E-2</c:v>
                </c:pt>
                <c:pt idx="8">
                  <c:v>1.4792899408284023E-2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B4-4FB9-A9E6-CFE88F281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Inverse Gaussian PDF (μ=2, λ=3)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Distributions!$A$187:$A$195</c:f>
              <c:numCache>
                <c:formatCode>General</c:formatCode>
                <c:ptCount val="9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Distributions!$B$187:$B$195</c:f>
              <c:numCache>
                <c:formatCode>General</c:formatCode>
                <c:ptCount val="9"/>
                <c:pt idx="0">
                  <c:v>5.5913979633876149E-2</c:v>
                </c:pt>
                <c:pt idx="1">
                  <c:v>0.36152950660010974</c:v>
                </c:pt>
                <c:pt idx="2">
                  <c:v>0.47490884963330909</c:v>
                </c:pt>
                <c:pt idx="3">
                  <c:v>0.35333804312537143</c:v>
                </c:pt>
                <c:pt idx="4">
                  <c:v>0.24430125595145996</c:v>
                </c:pt>
                <c:pt idx="5">
                  <c:v>0.16837384790974963</c:v>
                </c:pt>
                <c:pt idx="6">
                  <c:v>0.11735510892143318</c:v>
                </c:pt>
                <c:pt idx="7">
                  <c:v>5.9363606204163637E-2</c:v>
                </c:pt>
                <c:pt idx="8">
                  <c:v>3.1467838412026328E-2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43-4357-81B3-326B7C9FA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Loglogistic PDF (α=2, β=3)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Distributions!$A$202:$A$210</c:f>
              <c:numCache>
                <c:formatCode>General</c:formatCode>
                <c:ptCount val="9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xVal>
          <c:yVal>
            <c:numRef>
              <c:f>Distributions!$B$202:$B$210</c:f>
              <c:numCache>
                <c:formatCode>General</c:formatCode>
                <c:ptCount val="9"/>
                <c:pt idx="0">
                  <c:v>2.3346214789735874E-2</c:v>
                </c:pt>
                <c:pt idx="1">
                  <c:v>9.0887573964497037E-2</c:v>
                </c:pt>
                <c:pt idx="2">
                  <c:v>0.29629629629629628</c:v>
                </c:pt>
                <c:pt idx="3">
                  <c:v>0.4173409008573844</c:v>
                </c:pt>
                <c:pt idx="4">
                  <c:v>0.375</c:v>
                </c:pt>
                <c:pt idx="5">
                  <c:v>0.1763265306122449</c:v>
                </c:pt>
                <c:pt idx="6">
                  <c:v>7.407407407407407E-2</c:v>
                </c:pt>
                <c:pt idx="7">
                  <c:v>3.3919384928486632E-2</c:v>
                </c:pt>
                <c:pt idx="8">
                  <c:v>9.545377066744588E-3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22-48D4-8B57-7DC3C462A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ZT Poisson PMF (λ=5)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Distributions!$A$217:$A$226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Distributions!$B$217:$B$226</c:f>
              <c:numCache>
                <c:formatCode>General</c:formatCode>
                <c:ptCount val="10"/>
                <c:pt idx="0">
                  <c:v>3.3918274531521159E-2</c:v>
                </c:pt>
                <c:pt idx="1">
                  <c:v>8.4795686328802869E-2</c:v>
                </c:pt>
                <c:pt idx="2">
                  <c:v>0.14132614388133807</c:v>
                </c:pt>
                <c:pt idx="3">
                  <c:v>0.17665767985167261</c:v>
                </c:pt>
                <c:pt idx="4">
                  <c:v>0.17665767985167266</c:v>
                </c:pt>
                <c:pt idx="5">
                  <c:v>0.14721473320972706</c:v>
                </c:pt>
                <c:pt idx="6">
                  <c:v>0.10515338086409085</c:v>
                </c:pt>
                <c:pt idx="7">
                  <c:v>6.5720863040056712E-2</c:v>
                </c:pt>
                <c:pt idx="8">
                  <c:v>3.6511590577809304E-2</c:v>
                </c:pt>
                <c:pt idx="9">
                  <c:v>1.8255795288904648E-2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1E-43CF-B05C-286C25D9A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P(X=k)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ZT NegBin PMF (r=5, p=0.3)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Distributions!$A$232:$A$241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25</c:v>
                </c:pt>
                <c:pt idx="9">
                  <c:v>30</c:v>
                </c:pt>
              </c:numCache>
            </c:numRef>
          </c:xVal>
          <c:yVal>
            <c:numRef>
              <c:f>Distributions!$B$232:$B$241</c:f>
              <c:numCache>
                <c:formatCode>General</c:formatCode>
                <c:ptCount val="10"/>
                <c:pt idx="0">
                  <c:v>8.5257174935091575E-3</c:v>
                </c:pt>
                <c:pt idx="1">
                  <c:v>1.7904006736369264E-2</c:v>
                </c:pt>
                <c:pt idx="2">
                  <c:v>2.9243211002735654E-2</c:v>
                </c:pt>
                <c:pt idx="3">
                  <c:v>5.1585024208827691E-2</c:v>
                </c:pt>
                <c:pt idx="4">
                  <c:v>6.6200781067997344E-2</c:v>
                </c:pt>
                <c:pt idx="5">
                  <c:v>6.8877499315838309E-2</c:v>
                </c:pt>
                <c:pt idx="6">
                  <c:v>4.4824686630979597E-2</c:v>
                </c:pt>
                <c:pt idx="7">
                  <c:v>2.0653492694029767E-2</c:v>
                </c:pt>
                <c:pt idx="8">
                  <c:v>7.7588220885854691E-3</c:v>
                </c:pt>
                <c:pt idx="9">
                  <c:v>2.5462285374760587E-3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25-4945-89F6-74375D250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3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P(X=k)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ZT Binomial PMF (n=10, p=0.3)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Distributions!$A$247:$A$256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Distributions!$B$247:$B$256</c:f>
              <c:numCache>
                <c:formatCode>General</c:formatCode>
                <c:ptCount val="10"/>
                <c:pt idx="0">
                  <c:v>0.1245798946769259</c:v>
                </c:pt>
                <c:pt idx="1">
                  <c:v>0.24026122544835674</c:v>
                </c:pt>
                <c:pt idx="2">
                  <c:v>0.27458425765526495</c:v>
                </c:pt>
                <c:pt idx="3">
                  <c:v>0.2059381932414488</c:v>
                </c:pt>
                <c:pt idx="4">
                  <c:v>0.10591107080988789</c:v>
                </c:pt>
                <c:pt idx="5">
                  <c:v>3.7825382432102816E-2</c:v>
                </c:pt>
                <c:pt idx="6">
                  <c:v>9.2633589629639579E-3</c:v>
                </c:pt>
                <c:pt idx="7">
                  <c:v>1.4887541190477778E-3</c:v>
                </c:pt>
                <c:pt idx="8">
                  <c:v>1.4178610657597892E-4</c:v>
                </c:pt>
                <c:pt idx="9">
                  <c:v>6.0765474246848095E-6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99-49AC-932A-4AC08FCC4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P(X=k)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ZT Geometric PMF (p=0.3)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Distributions!$A$262:$A$271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Distributions!$B$262:$B$271</c:f>
              <c:numCache>
                <c:formatCode>General</c:formatCode>
                <c:ptCount val="10"/>
                <c:pt idx="0">
                  <c:v>0.3</c:v>
                </c:pt>
                <c:pt idx="1">
                  <c:v>0.21</c:v>
                </c:pt>
                <c:pt idx="2">
                  <c:v>0.14699999999999996</c:v>
                </c:pt>
                <c:pt idx="3">
                  <c:v>0.10289999999999998</c:v>
                </c:pt>
                <c:pt idx="4">
                  <c:v>7.2029999999999983E-2</c:v>
                </c:pt>
                <c:pt idx="5">
                  <c:v>5.042099999999998E-2</c:v>
                </c:pt>
                <c:pt idx="6">
                  <c:v>3.5294699999999984E-2</c:v>
                </c:pt>
                <c:pt idx="7">
                  <c:v>2.4706289999999988E-2</c:v>
                </c:pt>
                <c:pt idx="8">
                  <c:v>1.7294402999999989E-2</c:v>
                </c:pt>
                <c:pt idx="9">
                  <c:v>1.2106082099999993E-2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10-430D-9236-9692E8F6B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P(X=k)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ZM Poisson PMF (λ=5, p0=0.2)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Distributions!$A$277:$A$287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Distributions!$B$277:$B$287</c:f>
              <c:numCache>
                <c:formatCode>General</c:formatCode>
                <c:ptCount val="11"/>
                <c:pt idx="0">
                  <c:v>0.20539035759926838</c:v>
                </c:pt>
                <c:pt idx="1">
                  <c:v>2.6951787996341871E-2</c:v>
                </c:pt>
                <c:pt idx="2">
                  <c:v>6.737946999085466E-2</c:v>
                </c:pt>
                <c:pt idx="3">
                  <c:v>0.1122991166514244</c:v>
                </c:pt>
                <c:pt idx="4">
                  <c:v>0.1403738958142805</c:v>
                </c:pt>
                <c:pt idx="5">
                  <c:v>0.14037389581428056</c:v>
                </c:pt>
                <c:pt idx="6">
                  <c:v>0.11697824651190032</c:v>
                </c:pt>
                <c:pt idx="7">
                  <c:v>8.3555890365643162E-2</c:v>
                </c:pt>
                <c:pt idx="8">
                  <c:v>5.2222431478526926E-2</c:v>
                </c:pt>
                <c:pt idx="9">
                  <c:v>2.9012461932514971E-2</c:v>
                </c:pt>
                <c:pt idx="10">
                  <c:v>1.4506230966257484E-2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E9-4CB8-A574-9AE43129D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P(X=k)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ZM NegBin PMF (r=5, p=0.3, p0=0.2)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Distributions!$A$292:$A$301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</c:numCache>
            </c:numRef>
          </c:xVal>
          <c:yVal>
            <c:numRef>
              <c:f>Distributions!$B$292:$B$301</c:f>
              <c:numCache>
                <c:formatCode>General</c:formatCode>
                <c:ptCount val="10"/>
                <c:pt idx="0">
                  <c:v>0.20194400000000001</c:v>
                </c:pt>
                <c:pt idx="1">
                  <c:v>6.8039999999999438E-3</c:v>
                </c:pt>
                <c:pt idx="2">
                  <c:v>1.428839999999991E-2</c:v>
                </c:pt>
                <c:pt idx="3">
                  <c:v>2.3337719999999205E-2</c:v>
                </c:pt>
                <c:pt idx="4">
                  <c:v>4.1167738080000189E-2</c:v>
                </c:pt>
                <c:pt idx="5">
                  <c:v>5.2831930536001687E-2</c:v>
                </c:pt>
                <c:pt idx="6">
                  <c:v>5.4968101594000653E-2</c:v>
                </c:pt>
                <c:pt idx="7">
                  <c:v>3.5772610113973057E-2</c:v>
                </c:pt>
                <c:pt idx="8">
                  <c:v>1.648264376542662E-2</c:v>
                </c:pt>
                <c:pt idx="9">
                  <c:v>6.1919745207281648E-3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03-433D-B8A0-2888B7B98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5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P(X=k)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Pareto III PDF (μ=1, σ=2, γ=3)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Distributions!$A$307:$A$315</c:f>
              <c:numCache>
                <c:formatCode>General</c:formatCode>
                <c:ptCount val="9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7</c:v>
                </c:pt>
                <c:pt idx="8">
                  <c:v>10</c:v>
                </c:pt>
              </c:numCache>
            </c:numRef>
          </c:xVal>
          <c:yVal>
            <c:numRef>
              <c:f>Distributions!$B$307:$B$315</c:f>
              <c:numCache>
                <c:formatCode>General</c:formatCode>
                <c:ptCount val="9"/>
                <c:pt idx="0">
                  <c:v>1.5</c:v>
                </c:pt>
                <c:pt idx="1">
                  <c:v>0.61440000000000006</c:v>
                </c:pt>
                <c:pt idx="2">
                  <c:v>0.29629629629629628</c:v>
                </c:pt>
                <c:pt idx="3">
                  <c:v>0.15993336109954187</c:v>
                </c:pt>
                <c:pt idx="4">
                  <c:v>9.375E-2</c:v>
                </c:pt>
                <c:pt idx="5">
                  <c:v>3.8400000000000004E-2</c:v>
                </c:pt>
                <c:pt idx="6">
                  <c:v>1.8518518518518517E-2</c:v>
                </c:pt>
                <c:pt idx="7">
                  <c:v>5.859375E-3</c:v>
                </c:pt>
                <c:pt idx="8">
                  <c:v>1.6392322928761695E-3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29-47F4-A45C-90816530E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Pareto IV PDF (4-param)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Distributions!$A$322:$A$329</c:f>
              <c:numCache>
                <c:formatCode>General</c:formatCode>
                <c:ptCount val="8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</c:numCache>
            </c:numRef>
          </c:xVal>
          <c:yVal>
            <c:numRef>
              <c:f>Distributions!$B$322:$B$329</c:f>
              <c:numCache>
                <c:formatCode>General</c:formatCode>
                <c:ptCount val="8"/>
                <c:pt idx="0">
                  <c:v>0.14850932832926092</c:v>
                </c:pt>
                <c:pt idx="1">
                  <c:v>0.58849870092551571</c:v>
                </c:pt>
                <c:pt idx="2">
                  <c:v>0.61440000000000006</c:v>
                </c:pt>
                <c:pt idx="3">
                  <c:v>0.37748735999999999</c:v>
                </c:pt>
                <c:pt idx="4">
                  <c:v>0.1875</c:v>
                </c:pt>
                <c:pt idx="5">
                  <c:v>4.0334722173593365E-2</c:v>
                </c:pt>
                <c:pt idx="6">
                  <c:v>9.6000000000000009E-3</c:v>
                </c:pt>
                <c:pt idx="7">
                  <c:v>2.714621204302109E-3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E2-40CE-911B-5F83C65F2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5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Lognormal-Pareto PDF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Distributions!$A$337:$A$346</c:f>
              <c:numCache>
                <c:formatCode>General</c:formatCode>
                <c:ptCount val="10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10</c:v>
                </c:pt>
              </c:numCache>
            </c:numRef>
          </c:xVal>
          <c:yVal>
            <c:numRef>
              <c:f>Distributions!$B$337:$B$346</c:f>
              <c:numCache>
                <c:formatCode>General</c:formatCode>
                <c:ptCount val="10"/>
                <c:pt idx="0">
                  <c:v>0.28159018901526828</c:v>
                </c:pt>
                <c:pt idx="1">
                  <c:v>0.62749607711592426</c:v>
                </c:pt>
                <c:pt idx="2">
                  <c:v>0.39894228040143265</c:v>
                </c:pt>
                <c:pt idx="3">
                  <c:v>0.24497365171050992</c:v>
                </c:pt>
                <c:pt idx="4">
                  <c:v>0.15687401927898106</c:v>
                </c:pt>
                <c:pt idx="5">
                  <c:v>6.2105932712387631E-2</c:v>
                </c:pt>
                <c:pt idx="6">
                  <c:v>3.2181999182992124E-2</c:v>
                </c:pt>
                <c:pt idx="7">
                  <c:v>1.9326199055016674E-2</c:v>
                </c:pt>
                <c:pt idx="8">
                  <c:v>8.9578314315495004E-3</c:v>
                </c:pt>
                <c:pt idx="9">
                  <c:v>3.9646827757553547E-3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8B-45B4-AA9A-E3EF27B5E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Exponential-Pareto PDF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Distributions!$A$352:$A$361</c:f>
              <c:numCache>
                <c:formatCode>General</c:formatCode>
                <c:ptCount val="1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10</c:v>
                </c:pt>
              </c:numCache>
            </c:numRef>
          </c:xVal>
          <c:yVal>
            <c:numRef>
              <c:f>Distributions!$B$352:$B$361</c:f>
              <c:numCache>
                <c:formatCode>General</c:formatCode>
                <c:ptCount val="10"/>
                <c:pt idx="0">
                  <c:v>0.5</c:v>
                </c:pt>
                <c:pt idx="1">
                  <c:v>0.38940039153570244</c:v>
                </c:pt>
                <c:pt idx="2">
                  <c:v>0.30326532985631671</c:v>
                </c:pt>
                <c:pt idx="3">
                  <c:v>0.23618327637050734</c:v>
                </c:pt>
                <c:pt idx="4">
                  <c:v>0.18393972058572117</c:v>
                </c:pt>
                <c:pt idx="5">
                  <c:v>8.1750986926987179E-2</c:v>
                </c:pt>
                <c:pt idx="6">
                  <c:v>4.5984930146430292E-2</c:v>
                </c:pt>
                <c:pt idx="7">
                  <c:v>2.9430355293715387E-2</c:v>
                </c:pt>
                <c:pt idx="8">
                  <c:v>1.5015487394752749E-2</c:v>
                </c:pt>
                <c:pt idx="9">
                  <c:v>7.3575888234288468E-3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BC-4D6B-AAF4-D12552841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Power-Pareto PDF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Distributions!$A$367:$A$376</c:f>
              <c:numCache>
                <c:formatCode>General</c:formatCode>
                <c:ptCount val="10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</c:numCache>
            </c:numRef>
          </c:xVal>
          <c:yVal>
            <c:numRef>
              <c:f>Distributions!$B$367:$B$376</c:f>
              <c:numCache>
                <c:formatCode>General</c:formatCode>
                <c:ptCount val="10"/>
                <c:pt idx="0">
                  <c:v>0</c:v>
                </c:pt>
                <c:pt idx="1">
                  <c:v>7.5000000000000011E-2</c:v>
                </c:pt>
                <c:pt idx="2">
                  <c:v>0.30000000000000004</c:v>
                </c:pt>
                <c:pt idx="3">
                  <c:v>0.67500000000000004</c:v>
                </c:pt>
                <c:pt idx="4">
                  <c:v>1.2</c:v>
                </c:pt>
                <c:pt idx="5">
                  <c:v>0.35555555555555557</c:v>
                </c:pt>
                <c:pt idx="6">
                  <c:v>0.15</c:v>
                </c:pt>
                <c:pt idx="7">
                  <c:v>4.4444444444444446E-2</c:v>
                </c:pt>
                <c:pt idx="8">
                  <c:v>1.8749999999999999E-2</c:v>
                </c:pt>
                <c:pt idx="9">
                  <c:v>9.5999999999999992E-3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5E-44DD-B819-01D86529A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f(x)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Swiss Re Exposure Curves Comparison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Curve 1</c:v>
          </c:tx>
          <c:spPr>
            <a:ln w="20000">
              <a:prstDash val="solid"/>
            </a:ln>
          </c:spPr>
          <c:marker>
            <c:symbol val="none"/>
          </c:marker>
          <c:xVal>
            <c:numRef>
              <c:f>'Exposure Curves'!$A$21:$A$31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'Exposure Curves'!$B$20:$B$31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0.69182355572280629</c:v>
                </c:pt>
                <c:pt idx="3">
                  <c:v>0.76084165450381147</c:v>
                </c:pt>
                <c:pt idx="4">
                  <c:v>0.80632658310216632</c:v>
                </c:pt>
                <c:pt idx="5">
                  <c:v>0.84242900836687518</c:v>
                </c:pt>
                <c:pt idx="6">
                  <c:v>0.87357700106537017</c:v>
                </c:pt>
                <c:pt idx="7">
                  <c:v>0.90173561236106803</c:v>
                </c:pt>
                <c:pt idx="8">
                  <c:v>0.92794574509890637</c:v>
                </c:pt>
                <c:pt idx="9">
                  <c:v>0.95282169732824318</c:v>
                </c:pt>
                <c:pt idx="10">
                  <c:v>0.9767531171499958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13-470E-BE9F-F977C71D6FDA}"/>
            </c:ext>
          </c:extLst>
        </c:ser>
        <c:ser>
          <c:idx val="1"/>
          <c:order val="1"/>
          <c:tx>
            <c:v>Curve 2</c:v>
          </c:tx>
          <c:spPr>
            <a:ln w="20000">
              <a:prstDash val="solid"/>
            </a:ln>
          </c:spPr>
          <c:marker>
            <c:symbol val="none"/>
          </c:marker>
          <c:xVal>
            <c:numRef>
              <c:f>'Exposure Curves'!$A$21:$A$31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'Exposure Curves'!$C$20:$C$31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0.79623217538998514</c:v>
                </c:pt>
                <c:pt idx="3">
                  <c:v>0.84354958036155547</c:v>
                </c:pt>
                <c:pt idx="4">
                  <c:v>0.87427817265954977</c:v>
                </c:pt>
                <c:pt idx="5">
                  <c:v>0.89835007353584617</c:v>
                </c:pt>
                <c:pt idx="6">
                  <c:v>0.91887497238661775</c:v>
                </c:pt>
                <c:pt idx="7">
                  <c:v>0.93723495751188879</c:v>
                </c:pt>
                <c:pt idx="8">
                  <c:v>0.9541642203738685</c:v>
                </c:pt>
                <c:pt idx="9">
                  <c:v>0.970098023764419</c:v>
                </c:pt>
                <c:pt idx="10">
                  <c:v>0.98531426487148444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13-470E-BE9F-F977C71D6FDA}"/>
            </c:ext>
          </c:extLst>
        </c:ser>
        <c:ser>
          <c:idx val="2"/>
          <c:order val="2"/>
          <c:tx>
            <c:v>Curve 3</c:v>
          </c:tx>
          <c:spPr>
            <a:ln w="20000">
              <a:prstDash val="solid"/>
            </a:ln>
          </c:spPr>
          <c:marker>
            <c:symbol val="none"/>
          </c:marker>
          <c:xVal>
            <c:numRef>
              <c:f>'Exposure Curves'!$A$21:$A$31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'Exposure Curves'!$D$20:$D$31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0.92081674259306834</c:v>
                </c:pt>
                <c:pt idx="3">
                  <c:v>0.94117972105378389</c:v>
                </c:pt>
                <c:pt idx="4">
                  <c:v>0.95387492734287171</c:v>
                </c:pt>
                <c:pt idx="5">
                  <c:v>0.96345282920489683</c:v>
                </c:pt>
                <c:pt idx="6">
                  <c:v>0.97133932405449286</c:v>
                </c:pt>
                <c:pt idx="7">
                  <c:v>0.97816936335173443</c:v>
                </c:pt>
                <c:pt idx="8">
                  <c:v>0.98428146189546883</c:v>
                </c:pt>
                <c:pt idx="9">
                  <c:v>0.98987749230873467</c:v>
                </c:pt>
                <c:pt idx="10">
                  <c:v>0.9950874756495921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13-470E-BE9F-F977C71D6FDA}"/>
            </c:ext>
          </c:extLst>
        </c:ser>
        <c:ser>
          <c:idx val="3"/>
          <c:order val="3"/>
          <c:tx>
            <c:v>Curve 4</c:v>
          </c:tx>
          <c:spPr>
            <a:ln w="20000">
              <a:prstDash val="solid"/>
            </a:ln>
          </c:spPr>
          <c:marker>
            <c:symbol val="none"/>
          </c:marker>
          <c:xVal>
            <c:numRef>
              <c:f>'Exposure Curves'!$A$21:$A$31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'Exposure Curves'!$E$20:$E$31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0.71264259091164361</c:v>
                </c:pt>
                <c:pt idx="3">
                  <c:v>0.7980009413512823</c:v>
                </c:pt>
                <c:pt idx="4">
                  <c:v>0.84823441494751617</c:v>
                </c:pt>
                <c:pt idx="5">
                  <c:v>0.88406817371524193</c:v>
                </c:pt>
                <c:pt idx="6">
                  <c:v>0.91200763240307559</c:v>
                </c:pt>
                <c:pt idx="7">
                  <c:v>0.93495253100908204</c:v>
                </c:pt>
                <c:pt idx="8">
                  <c:v>0.95445032038508448</c:v>
                </c:pt>
                <c:pt idx="9">
                  <c:v>0.97142494487249798</c:v>
                </c:pt>
                <c:pt idx="10">
                  <c:v>0.98647248481735494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13-470E-BE9F-F977C71D6FDA}"/>
            </c:ext>
          </c:extLst>
        </c:ser>
        <c:ser>
          <c:idx val="4"/>
          <c:order val="4"/>
          <c:tx>
            <c:v>Curve 5</c:v>
          </c:tx>
          <c:spPr>
            <a:ln w="20000">
              <a:prstDash val="solid"/>
            </a:ln>
          </c:spPr>
          <c:marker>
            <c:symbol val="none"/>
          </c:marker>
          <c:xVal>
            <c:numRef>
              <c:f>'Exposure Curves'!$A$21:$A$31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'Exposure Curves'!$F$20:$F$31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0.17345668509979828</c:v>
                </c:pt>
                <c:pt idx="3">
                  <c:v>0.32423411074089731</c:v>
                </c:pt>
                <c:pt idx="4">
                  <c:v>0.45529967422833939</c:v>
                </c:pt>
                <c:pt idx="5">
                  <c:v>0.56923199728042151</c:v>
                </c:pt>
                <c:pt idx="6">
                  <c:v>0.66827198771258944</c:v>
                </c:pt>
                <c:pt idx="7">
                  <c:v>0.754367163932808</c:v>
                </c:pt>
                <c:pt idx="8">
                  <c:v>0.82921013866771531</c:v>
                </c:pt>
                <c:pt idx="9">
                  <c:v>0.89427203724097248</c:v>
                </c:pt>
                <c:pt idx="10">
                  <c:v>0.95083152143112393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13-470E-BE9F-F977C71D6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"/>
          <c:min val="0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Damage Ratio (d)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Loss Ratio G(d)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Known Data Points + Interpolated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Known data</c:v>
          </c:tx>
          <c:spPr>
            <a:ln>
              <a:solidFill>
                <a:srgbClr val="4472C4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prstDash val="solid"/>
              </a:ln>
            </c:spPr>
          </c:marker>
          <c:xVal>
            <c:numRef>
              <c:f>Interpolation!$A$7:$A$11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Interpolation!$B$7:$B$11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55</c:v>
                </c:pt>
                <c:pt idx="4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94-44C2-90C3-BB5AF971277F}"/>
            </c:ext>
          </c:extLst>
        </c:ser>
        <c:ser>
          <c:idx val="1"/>
          <c:order val="1"/>
          <c:tx>
            <c:v>Interpolated (GRADIENT)</c:v>
          </c:tx>
          <c:spPr>
            <a:ln>
              <a:noFill/>
              <a:prstDash val="solid"/>
            </a:ln>
          </c:spPr>
          <c:marker>
            <c:symbol val="diamond"/>
            <c:size val="9"/>
            <c:spPr>
              <a:solidFill>
                <a:srgbClr val="FFC000"/>
              </a:solidFill>
              <a:ln>
                <a:prstDash val="solid"/>
              </a:ln>
            </c:spPr>
          </c:marker>
          <c:xVal>
            <c:numRef>
              <c:f>Interpolation!$A$15:$A$21</c:f>
              <c:numCache>
                <c:formatCode>General</c:formatCode>
                <c:ptCount val="7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</c:v>
                </c:pt>
              </c:numCache>
            </c:numRef>
          </c:xVal>
          <c:yVal>
            <c:numRef>
              <c:f>Interpolation!$C$15:$C$21</c:f>
              <c:numCache>
                <c:formatCode>General</c:formatCode>
                <c:ptCount val="7"/>
                <c:pt idx="0">
                  <c:v>5</c:v>
                </c:pt>
                <c:pt idx="1">
                  <c:v>15</c:v>
                </c:pt>
                <c:pt idx="2">
                  <c:v>27.5</c:v>
                </c:pt>
                <c:pt idx="3">
                  <c:v>45</c:v>
                </c:pt>
                <c:pt idx="4">
                  <c:v>67.5</c:v>
                </c:pt>
                <c:pt idx="5">
                  <c:v>92.5</c:v>
                </c:pt>
                <c:pt idx="6">
                  <c:v>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94-44C2-90C3-BB5AF9712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IBNR by Accident Year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'Chain Ladder'!$D$25</c:f>
              <c:strCache>
                <c:ptCount val="1"/>
                <c:pt idx="0">
                  <c:v>IBNR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'Chain Ladder'!$A$26:$A$35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'Chain Ladder'!$D$26:$D$35</c:f>
              <c:numCache>
                <c:formatCode>#,##0</c:formatCode>
                <c:ptCount val="10"/>
                <c:pt idx="0">
                  <c:v>0</c:v>
                </c:pt>
                <c:pt idx="1">
                  <c:v>94633.814548789524</c:v>
                </c:pt>
                <c:pt idx="2">
                  <c:v>469511.29006423894</c:v>
                </c:pt>
                <c:pt idx="3">
                  <c:v>709637.82082546223</c:v>
                </c:pt>
                <c:pt idx="4">
                  <c:v>984888.63904973865</c:v>
                </c:pt>
                <c:pt idx="5">
                  <c:v>1419459.4576616632</c:v>
                </c:pt>
                <c:pt idx="6">
                  <c:v>2177640.6201355476</c:v>
                </c:pt>
                <c:pt idx="7">
                  <c:v>3920301.0119524999</c:v>
                </c:pt>
                <c:pt idx="8">
                  <c:v>4278972.2632616432</c:v>
                </c:pt>
                <c:pt idx="9">
                  <c:v>4625810.6944247279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2-4FF2-9A65-D6EC419C8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Accident 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IBNR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low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Ultimate vs Latest by Accident Year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'Chain Ladder'!$B$25</c:f>
              <c:strCache>
                <c:ptCount val="1"/>
                <c:pt idx="0">
                  <c:v>Latest Cumulative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'Chain Ladder'!$A$26:$A$35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'Chain Ladder'!$B$26:$B$35</c:f>
              <c:numCache>
                <c:formatCode>#,##0</c:formatCode>
                <c:ptCount val="10"/>
                <c:pt idx="0">
                  <c:v>3901463</c:v>
                </c:pt>
                <c:pt idx="1">
                  <c:v>5339085</c:v>
                </c:pt>
                <c:pt idx="2">
                  <c:v>4909315</c:v>
                </c:pt>
                <c:pt idx="3">
                  <c:v>4588268</c:v>
                </c:pt>
                <c:pt idx="4">
                  <c:v>3873311</c:v>
                </c:pt>
                <c:pt idx="5">
                  <c:v>3691712</c:v>
                </c:pt>
                <c:pt idx="6">
                  <c:v>3483130</c:v>
                </c:pt>
                <c:pt idx="7">
                  <c:v>2864498</c:v>
                </c:pt>
                <c:pt idx="8">
                  <c:v>1363294</c:v>
                </c:pt>
                <c:pt idx="9">
                  <c:v>344014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0-4F24-9BCB-EEDB6DA9258A}"/>
            </c:ext>
          </c:extLst>
        </c:ser>
        <c:ser>
          <c:idx val="1"/>
          <c:order val="1"/>
          <c:tx>
            <c:strRef>
              <c:f>'Chain Ladder'!$C$25</c:f>
              <c:strCache>
                <c:ptCount val="1"/>
                <c:pt idx="0">
                  <c:v>Ultimate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'Chain Ladder'!$A$26:$A$35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'Chain Ladder'!$C$26:$C$35</c:f>
              <c:numCache>
                <c:formatCode>#,##0</c:formatCode>
                <c:ptCount val="10"/>
                <c:pt idx="0">
                  <c:v>3901463</c:v>
                </c:pt>
                <c:pt idx="1">
                  <c:v>5433718.8145487895</c:v>
                </c:pt>
                <c:pt idx="2">
                  <c:v>5378826.2900642389</c:v>
                </c:pt>
                <c:pt idx="3">
                  <c:v>5297905.8208254622</c:v>
                </c:pt>
                <c:pt idx="4">
                  <c:v>4858199.6390497386</c:v>
                </c:pt>
                <c:pt idx="5">
                  <c:v>5111171.4576616632</c:v>
                </c:pt>
                <c:pt idx="6">
                  <c:v>5660770.6201355476</c:v>
                </c:pt>
                <c:pt idx="7">
                  <c:v>6784799.0119524999</c:v>
                </c:pt>
                <c:pt idx="8">
                  <c:v>5642266.2632616432</c:v>
                </c:pt>
                <c:pt idx="9">
                  <c:v>4969824.6944247279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A0-4F24-9BCB-EEDB6DA92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Accident 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Amount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Mack Standard Error by Accident Year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'Chain Ladder'!$B$39</c:f>
              <c:strCache>
                <c:ptCount val="1"/>
                <c:pt idx="0">
                  <c:v>Reserve SE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'Chain Ladder'!$A$40:$A$49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'Chain Ladder'!$B$40:$B$49</c:f>
              <c:numCache>
                <c:formatCode>#,##0</c:formatCode>
                <c:ptCount val="10"/>
                <c:pt idx="0">
                  <c:v>0</c:v>
                </c:pt>
                <c:pt idx="1">
                  <c:v>75535.040757488387</c:v>
                </c:pt>
                <c:pt idx="2">
                  <c:v>121698.5616454234</c:v>
                </c:pt>
                <c:pt idx="3">
                  <c:v>133548.85301207835</c:v>
                </c:pt>
                <c:pt idx="4">
                  <c:v>261406.44934268514</c:v>
                </c:pt>
                <c:pt idx="5">
                  <c:v>411009.70388105343</c:v>
                </c:pt>
                <c:pt idx="6">
                  <c:v>558316.85807119031</c:v>
                </c:pt>
                <c:pt idx="7">
                  <c:v>875327.51191135927</c:v>
                </c:pt>
                <c:pt idx="8">
                  <c:v>971257.80646994279</c:v>
                </c:pt>
                <c:pt idx="9">
                  <c:v>1363154.9117323074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8-4F5C-A0B9-2F09C9576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Accident 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Standard Error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low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Student-t Copula Samples: U1 vs U2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prstDash val="solid"/>
              </a:ln>
            </c:spPr>
          </c:marker>
          <c:xVal>
            <c:numRef>
              <c:f>Copulas!$B$19:$B$118</c:f>
              <c:numCache>
                <c:formatCode>General</c:formatCode>
                <c:ptCount val="100"/>
                <c:pt idx="0">
                  <c:v>0.65235579726025084</c:v>
                </c:pt>
                <c:pt idx="1">
                  <c:v>0.50578855143863277</c:v>
                </c:pt>
                <c:pt idx="2">
                  <c:v>0.80775884894099415</c:v>
                </c:pt>
                <c:pt idx="3">
                  <c:v>0.19711881759498889</c:v>
                </c:pt>
                <c:pt idx="4">
                  <c:v>0.32751033742588964</c:v>
                </c:pt>
                <c:pt idx="5">
                  <c:v>6.7635251892792861E-2</c:v>
                </c:pt>
                <c:pt idx="6">
                  <c:v>0.4476912139972502</c:v>
                </c:pt>
                <c:pt idx="7">
                  <c:v>0.91448292107445983</c:v>
                </c:pt>
                <c:pt idx="8">
                  <c:v>0.36515271130415888</c:v>
                </c:pt>
                <c:pt idx="9">
                  <c:v>0.19734714991825986</c:v>
                </c:pt>
                <c:pt idx="10">
                  <c:v>0.41283936208061472</c:v>
                </c:pt>
                <c:pt idx="11">
                  <c:v>5.5780916831000435E-2</c:v>
                </c:pt>
                <c:pt idx="12">
                  <c:v>0.15455696167726757</c:v>
                </c:pt>
                <c:pt idx="13">
                  <c:v>0.6365622135478467</c:v>
                </c:pt>
                <c:pt idx="14">
                  <c:v>0.95922240189936137</c:v>
                </c:pt>
                <c:pt idx="15">
                  <c:v>0.76254504217989449</c:v>
                </c:pt>
                <c:pt idx="16">
                  <c:v>0.3940056696437626</c:v>
                </c:pt>
                <c:pt idx="17">
                  <c:v>0.74746772578331466</c:v>
                </c:pt>
                <c:pt idx="18">
                  <c:v>0.68169880299567454</c:v>
                </c:pt>
                <c:pt idx="19">
                  <c:v>0.65666487998865175</c:v>
                </c:pt>
                <c:pt idx="20">
                  <c:v>0.50472670547065035</c:v>
                </c:pt>
                <c:pt idx="21">
                  <c:v>0.52307370352115545</c:v>
                </c:pt>
                <c:pt idx="22">
                  <c:v>0.23569184866766407</c:v>
                </c:pt>
                <c:pt idx="23">
                  <c:v>0.6690136809917141</c:v>
                </c:pt>
                <c:pt idx="24">
                  <c:v>0.42695259494263799</c:v>
                </c:pt>
                <c:pt idx="25">
                  <c:v>0.66575308085524199</c:v>
                </c:pt>
                <c:pt idx="26">
                  <c:v>0.33701008868041887</c:v>
                </c:pt>
                <c:pt idx="27">
                  <c:v>0.50460221952132822</c:v>
                </c:pt>
                <c:pt idx="28">
                  <c:v>0.54580618571672379</c:v>
                </c:pt>
                <c:pt idx="29">
                  <c:v>0.24159012666430019</c:v>
                </c:pt>
                <c:pt idx="30">
                  <c:v>0.67597256983795051</c:v>
                </c:pt>
                <c:pt idx="31">
                  <c:v>0.50685188928050762</c:v>
                </c:pt>
                <c:pt idx="32">
                  <c:v>0.47159647039310609</c:v>
                </c:pt>
                <c:pt idx="33">
                  <c:v>0.67567108326778824</c:v>
                </c:pt>
                <c:pt idx="34">
                  <c:v>0.30606403225556211</c:v>
                </c:pt>
                <c:pt idx="35">
                  <c:v>0.17512435185287023</c:v>
                </c:pt>
                <c:pt idx="36">
                  <c:v>0.4590388819923632</c:v>
                </c:pt>
                <c:pt idx="37">
                  <c:v>0.72643115862681196</c:v>
                </c:pt>
                <c:pt idx="38">
                  <c:v>8.1439137987078705E-2</c:v>
                </c:pt>
                <c:pt idx="39">
                  <c:v>0.31744839144563036</c:v>
                </c:pt>
                <c:pt idx="40">
                  <c:v>0.38973887995140305</c:v>
                </c:pt>
                <c:pt idx="41">
                  <c:v>0.55570840050406323</c:v>
                </c:pt>
                <c:pt idx="42">
                  <c:v>0.75729152476348904</c:v>
                </c:pt>
                <c:pt idx="43">
                  <c:v>6.2029841316841292E-2</c:v>
                </c:pt>
                <c:pt idx="44">
                  <c:v>0.32818004597098582</c:v>
                </c:pt>
                <c:pt idx="45">
                  <c:v>0.9357454613375813</c:v>
                </c:pt>
                <c:pt idx="46">
                  <c:v>0.9404710224789099</c:v>
                </c:pt>
                <c:pt idx="47">
                  <c:v>3.0251689685865463E-2</c:v>
                </c:pt>
                <c:pt idx="48">
                  <c:v>0.47573613255793396</c:v>
                </c:pt>
                <c:pt idx="49">
                  <c:v>1.4159554186958389E-2</c:v>
                </c:pt>
                <c:pt idx="50">
                  <c:v>0.17865278332009316</c:v>
                </c:pt>
                <c:pt idx="51">
                  <c:v>0.1938597902876521</c:v>
                </c:pt>
                <c:pt idx="52">
                  <c:v>0.17308484259584345</c:v>
                </c:pt>
                <c:pt idx="53">
                  <c:v>0.2133548267939484</c:v>
                </c:pt>
                <c:pt idx="54">
                  <c:v>0.33535125071749894</c:v>
                </c:pt>
                <c:pt idx="55">
                  <c:v>3.7432074461345E-2</c:v>
                </c:pt>
                <c:pt idx="56">
                  <c:v>0.49114652365617872</c:v>
                </c:pt>
                <c:pt idx="57">
                  <c:v>0.2244666257009118</c:v>
                </c:pt>
                <c:pt idx="58">
                  <c:v>0.95915288711453006</c:v>
                </c:pt>
                <c:pt idx="59">
                  <c:v>0.20408571917116675</c:v>
                </c:pt>
                <c:pt idx="60">
                  <c:v>8.8268919713061667E-2</c:v>
                </c:pt>
                <c:pt idx="61">
                  <c:v>0.53726394884841</c:v>
                </c:pt>
                <c:pt idx="62">
                  <c:v>0.26290309904465603</c:v>
                </c:pt>
                <c:pt idx="63">
                  <c:v>0.6064127857936541</c:v>
                </c:pt>
                <c:pt idx="64">
                  <c:v>0.84083141648095039</c:v>
                </c:pt>
                <c:pt idx="65">
                  <c:v>0.93424574197398735</c:v>
                </c:pt>
                <c:pt idx="66">
                  <c:v>0.92727287840152828</c:v>
                </c:pt>
                <c:pt idx="67">
                  <c:v>0.48163398422057491</c:v>
                </c:pt>
                <c:pt idx="68">
                  <c:v>0.43982644378523189</c:v>
                </c:pt>
                <c:pt idx="69">
                  <c:v>0.76705600211009006</c:v>
                </c:pt>
                <c:pt idx="70">
                  <c:v>0.95448179170222713</c:v>
                </c:pt>
                <c:pt idx="71">
                  <c:v>0.36239530921380453</c:v>
                </c:pt>
                <c:pt idx="72">
                  <c:v>0.65038434895851871</c:v>
                </c:pt>
                <c:pt idx="73">
                  <c:v>0.41347870855073299</c:v>
                </c:pt>
                <c:pt idx="74">
                  <c:v>9.9879909762808999E-2</c:v>
                </c:pt>
                <c:pt idx="75">
                  <c:v>8.7269959837753514E-2</c:v>
                </c:pt>
                <c:pt idx="76">
                  <c:v>0.49675143160381113</c:v>
                </c:pt>
                <c:pt idx="77">
                  <c:v>4.1704755083396119E-2</c:v>
                </c:pt>
                <c:pt idx="78">
                  <c:v>0.78071503844267676</c:v>
                </c:pt>
                <c:pt idx="79">
                  <c:v>0.84463081336695889</c:v>
                </c:pt>
                <c:pt idx="80">
                  <c:v>0.76344558465929513</c:v>
                </c:pt>
                <c:pt idx="81">
                  <c:v>0.44315126125815008</c:v>
                </c:pt>
                <c:pt idx="82">
                  <c:v>0.74115455211620507</c:v>
                </c:pt>
                <c:pt idx="83">
                  <c:v>0.70696275126514618</c:v>
                </c:pt>
                <c:pt idx="84">
                  <c:v>0.74924086956671343</c:v>
                </c:pt>
                <c:pt idx="85">
                  <c:v>0.45525702206133689</c:v>
                </c:pt>
                <c:pt idx="86">
                  <c:v>0.9469520877044737</c:v>
                </c:pt>
                <c:pt idx="87">
                  <c:v>0.40224709685271265</c:v>
                </c:pt>
                <c:pt idx="88">
                  <c:v>0.49077117329227621</c:v>
                </c:pt>
                <c:pt idx="89">
                  <c:v>0.50867178422843851</c:v>
                </c:pt>
                <c:pt idx="90">
                  <c:v>0.97584026711710015</c:v>
                </c:pt>
                <c:pt idx="91">
                  <c:v>0.93032282266750654</c:v>
                </c:pt>
                <c:pt idx="92">
                  <c:v>0.40865867106674558</c:v>
                </c:pt>
                <c:pt idx="93">
                  <c:v>0.50935975486785101</c:v>
                </c:pt>
                <c:pt idx="94">
                  <c:v>0.67207936637623478</c:v>
                </c:pt>
                <c:pt idx="95">
                  <c:v>0.49447890603534173</c:v>
                </c:pt>
                <c:pt idx="96">
                  <c:v>0.42599769655660613</c:v>
                </c:pt>
                <c:pt idx="97">
                  <c:v>0.85726618006923827</c:v>
                </c:pt>
                <c:pt idx="98">
                  <c:v>0.19576229868606537</c:v>
                </c:pt>
                <c:pt idx="99">
                  <c:v>0.85830707073811618</c:v>
                </c:pt>
              </c:numCache>
            </c:numRef>
          </c:xVal>
          <c:yVal>
            <c:numRef>
              <c:f>Copulas!$C$19:$C$118</c:f>
              <c:numCache>
                <c:formatCode>General</c:formatCode>
                <c:ptCount val="100"/>
                <c:pt idx="0">
                  <c:v>0.46195522407776868</c:v>
                </c:pt>
                <c:pt idx="1">
                  <c:v>0.65919143607616648</c:v>
                </c:pt>
                <c:pt idx="2">
                  <c:v>0.80527876615578586</c:v>
                </c:pt>
                <c:pt idx="3">
                  <c:v>6.6528524996629521E-2</c:v>
                </c:pt>
                <c:pt idx="4">
                  <c:v>0.53919808155597193</c:v>
                </c:pt>
                <c:pt idx="5">
                  <c:v>8.5601087185294245E-2</c:v>
                </c:pt>
                <c:pt idx="6">
                  <c:v>0.35985214317431996</c:v>
                </c:pt>
                <c:pt idx="7">
                  <c:v>0.91128593829118065</c:v>
                </c:pt>
                <c:pt idx="8">
                  <c:v>8.9990996556025021E-2</c:v>
                </c:pt>
                <c:pt idx="9">
                  <c:v>0.39774815550146897</c:v>
                </c:pt>
                <c:pt idx="10">
                  <c:v>8.7739956392008739E-2</c:v>
                </c:pt>
                <c:pt idx="11">
                  <c:v>0.12984347522109552</c:v>
                </c:pt>
                <c:pt idx="12">
                  <c:v>0.1606373365308062</c:v>
                </c:pt>
                <c:pt idx="13">
                  <c:v>0.61938200844577795</c:v>
                </c:pt>
                <c:pt idx="14">
                  <c:v>0.93405075846931329</c:v>
                </c:pt>
                <c:pt idx="15">
                  <c:v>0.73643185346968809</c:v>
                </c:pt>
                <c:pt idx="16">
                  <c:v>0.27584254767168803</c:v>
                </c:pt>
                <c:pt idx="17">
                  <c:v>0.58774301216616442</c:v>
                </c:pt>
                <c:pt idx="18">
                  <c:v>0.70706902724885867</c:v>
                </c:pt>
                <c:pt idx="19">
                  <c:v>0.72240976551077185</c:v>
                </c:pt>
                <c:pt idx="20">
                  <c:v>0.43230838885043366</c:v>
                </c:pt>
                <c:pt idx="21">
                  <c:v>0.43041773965292951</c:v>
                </c:pt>
                <c:pt idx="22">
                  <c:v>0.52400964343159939</c:v>
                </c:pt>
                <c:pt idx="23">
                  <c:v>0.59143003523854143</c:v>
                </c:pt>
                <c:pt idx="24">
                  <c:v>0.32390687683627778</c:v>
                </c:pt>
                <c:pt idx="25">
                  <c:v>0.8227263519634882</c:v>
                </c:pt>
                <c:pt idx="26">
                  <c:v>0.284866846728624</c:v>
                </c:pt>
                <c:pt idx="27">
                  <c:v>0.55851973459715509</c:v>
                </c:pt>
                <c:pt idx="28">
                  <c:v>0.51506002792986205</c:v>
                </c:pt>
                <c:pt idx="29">
                  <c:v>0.20287663860483746</c:v>
                </c:pt>
                <c:pt idx="30">
                  <c:v>0.62429172309777792</c:v>
                </c:pt>
                <c:pt idx="31">
                  <c:v>0.63964003241386991</c:v>
                </c:pt>
                <c:pt idx="32">
                  <c:v>0.49917505730289963</c:v>
                </c:pt>
                <c:pt idx="33">
                  <c:v>0.71576361649787135</c:v>
                </c:pt>
                <c:pt idx="34">
                  <c:v>0.60609688919311755</c:v>
                </c:pt>
                <c:pt idx="35">
                  <c:v>0.33328062045512363</c:v>
                </c:pt>
                <c:pt idx="36">
                  <c:v>0.34941757225754327</c:v>
                </c:pt>
                <c:pt idx="37">
                  <c:v>0.64205944556265515</c:v>
                </c:pt>
                <c:pt idx="38">
                  <c:v>3.9552918602916244E-2</c:v>
                </c:pt>
                <c:pt idx="39">
                  <c:v>0.27941008326891309</c:v>
                </c:pt>
                <c:pt idx="40">
                  <c:v>0.67103027191657971</c:v>
                </c:pt>
                <c:pt idx="41">
                  <c:v>0.72631240812049747</c:v>
                </c:pt>
                <c:pt idx="42">
                  <c:v>0.71936826246677543</c:v>
                </c:pt>
                <c:pt idx="43">
                  <c:v>7.002099861039264E-2</c:v>
                </c:pt>
                <c:pt idx="44">
                  <c:v>0.39791060501190229</c:v>
                </c:pt>
                <c:pt idx="45">
                  <c:v>0.89667058883328687</c:v>
                </c:pt>
                <c:pt idx="46">
                  <c:v>0.93425340036763249</c:v>
                </c:pt>
                <c:pt idx="47">
                  <c:v>4.1956719116226976E-2</c:v>
                </c:pt>
                <c:pt idx="48">
                  <c:v>0.38810128268668254</c:v>
                </c:pt>
                <c:pt idx="49">
                  <c:v>5.6281069639571357E-2</c:v>
                </c:pt>
                <c:pt idx="50">
                  <c:v>0.26265719926445608</c:v>
                </c:pt>
                <c:pt idx="51">
                  <c:v>0.2976066408504135</c:v>
                </c:pt>
                <c:pt idx="52">
                  <c:v>0.18989133187032653</c:v>
                </c:pt>
                <c:pt idx="53">
                  <c:v>0.15966429488555667</c:v>
                </c:pt>
                <c:pt idx="54">
                  <c:v>0.32647604059569935</c:v>
                </c:pt>
                <c:pt idx="55">
                  <c:v>1.1987220590385461E-2</c:v>
                </c:pt>
                <c:pt idx="56">
                  <c:v>0.41878878322631263</c:v>
                </c:pt>
                <c:pt idx="57">
                  <c:v>0.18350798916501743</c:v>
                </c:pt>
                <c:pt idx="58">
                  <c:v>0.92976759667623532</c:v>
                </c:pt>
                <c:pt idx="59">
                  <c:v>0.19386047639224785</c:v>
                </c:pt>
                <c:pt idx="60">
                  <c:v>7.6731086063858284E-2</c:v>
                </c:pt>
                <c:pt idx="61">
                  <c:v>0.40855591253839341</c:v>
                </c:pt>
                <c:pt idx="62">
                  <c:v>0.26938423272552003</c:v>
                </c:pt>
                <c:pt idx="63">
                  <c:v>0.851686991236142</c:v>
                </c:pt>
                <c:pt idx="64">
                  <c:v>0.83979261273060102</c:v>
                </c:pt>
                <c:pt idx="65">
                  <c:v>0.96332415172773833</c:v>
                </c:pt>
                <c:pt idx="66">
                  <c:v>0.917049285673738</c:v>
                </c:pt>
                <c:pt idx="67">
                  <c:v>0.39638086391032124</c:v>
                </c:pt>
                <c:pt idx="68">
                  <c:v>0.4504096460188165</c:v>
                </c:pt>
                <c:pt idx="69">
                  <c:v>0.64072537206356173</c:v>
                </c:pt>
                <c:pt idx="70">
                  <c:v>0.96734536290575535</c:v>
                </c:pt>
                <c:pt idx="71">
                  <c:v>0.70070261862248706</c:v>
                </c:pt>
                <c:pt idx="72">
                  <c:v>0.33184430171733492</c:v>
                </c:pt>
                <c:pt idx="73">
                  <c:v>0.72274914144907221</c:v>
                </c:pt>
                <c:pt idx="74">
                  <c:v>0.1589954390930941</c:v>
                </c:pt>
                <c:pt idx="75">
                  <c:v>5.9953801281156641E-2</c:v>
                </c:pt>
                <c:pt idx="76">
                  <c:v>0.55237551744852142</c:v>
                </c:pt>
                <c:pt idx="77">
                  <c:v>7.7343823186975344E-2</c:v>
                </c:pt>
                <c:pt idx="78">
                  <c:v>0.79171148737331576</c:v>
                </c:pt>
                <c:pt idx="79">
                  <c:v>0.92791611535911755</c:v>
                </c:pt>
                <c:pt idx="80">
                  <c:v>0.75364400557014899</c:v>
                </c:pt>
                <c:pt idx="81">
                  <c:v>0.46009455354225387</c:v>
                </c:pt>
                <c:pt idx="82">
                  <c:v>0.45417069461559334</c:v>
                </c:pt>
                <c:pt idx="83">
                  <c:v>0.63097140211211322</c:v>
                </c:pt>
                <c:pt idx="84">
                  <c:v>0.82381329516599922</c:v>
                </c:pt>
                <c:pt idx="85">
                  <c:v>0.28305195980814213</c:v>
                </c:pt>
                <c:pt idx="86">
                  <c:v>0.95272493570011063</c:v>
                </c:pt>
                <c:pt idx="87">
                  <c:v>9.4715925026447288E-3</c:v>
                </c:pt>
                <c:pt idx="88">
                  <c:v>0.41015495608566543</c:v>
                </c:pt>
                <c:pt idx="89">
                  <c:v>0.43142792586197576</c:v>
                </c:pt>
                <c:pt idx="90">
                  <c:v>0.97610400306122669</c:v>
                </c:pt>
                <c:pt idx="91">
                  <c:v>0.90975415668889492</c:v>
                </c:pt>
                <c:pt idx="92">
                  <c:v>0.35462760003208882</c:v>
                </c:pt>
                <c:pt idx="93">
                  <c:v>0.52166379150090225</c:v>
                </c:pt>
                <c:pt idx="94">
                  <c:v>0.68542106753333498</c:v>
                </c:pt>
                <c:pt idx="95">
                  <c:v>0.62554595092189458</c:v>
                </c:pt>
                <c:pt idx="96">
                  <c:v>0.57829838068970496</c:v>
                </c:pt>
                <c:pt idx="97">
                  <c:v>0.48488240099105329</c:v>
                </c:pt>
                <c:pt idx="98">
                  <c:v>0.31778286857392624</c:v>
                </c:pt>
                <c:pt idx="99">
                  <c:v>0.85417586196831818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F0-4E68-9150-D4D7622CF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U1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U2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Gaussian Copula: U1 vs U2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prstDash val="solid"/>
              </a:ln>
            </c:spPr>
          </c:marker>
          <c:xVal>
            <c:numRef>
              <c:f>Copulas!$B$132:$B$181</c:f>
              <c:numCache>
                <c:formatCode>General</c:formatCode>
                <c:ptCount val="50"/>
                <c:pt idx="0">
                  <c:v>0.65850557510982255</c:v>
                </c:pt>
                <c:pt idx="1">
                  <c:v>0.23142073535325788</c:v>
                </c:pt>
                <c:pt idx="2">
                  <c:v>0.25442014072571006</c:v>
                </c:pt>
                <c:pt idx="3">
                  <c:v>0.52511995141536694</c:v>
                </c:pt>
                <c:pt idx="4">
                  <c:v>0.50806485272851265</c:v>
                </c:pt>
                <c:pt idx="5">
                  <c:v>0.37427505488439028</c:v>
                </c:pt>
                <c:pt idx="6">
                  <c:v>0.90850149094091104</c:v>
                </c:pt>
                <c:pt idx="7">
                  <c:v>4.3309082070903442E-2</c:v>
                </c:pt>
                <c:pt idx="8">
                  <c:v>0.92031023414570468</c:v>
                </c:pt>
                <c:pt idx="9">
                  <c:v>0.2287950334315991</c:v>
                </c:pt>
                <c:pt idx="10">
                  <c:v>0.99313661643266671</c:v>
                </c:pt>
                <c:pt idx="11">
                  <c:v>0.92528984306834172</c:v>
                </c:pt>
                <c:pt idx="12">
                  <c:v>0.37139471545479796</c:v>
                </c:pt>
                <c:pt idx="13">
                  <c:v>2.418178481987822E-3</c:v>
                </c:pt>
                <c:pt idx="14">
                  <c:v>0.53502594471399378</c:v>
                </c:pt>
                <c:pt idx="15">
                  <c:v>0.54888612941915149</c:v>
                </c:pt>
                <c:pt idx="16">
                  <c:v>0.38117830319449691</c:v>
                </c:pt>
                <c:pt idx="17">
                  <c:v>0.39205245161352131</c:v>
                </c:pt>
                <c:pt idx="18">
                  <c:v>0.61863973203273182</c:v>
                </c:pt>
                <c:pt idx="19">
                  <c:v>0.17376784132877465</c:v>
                </c:pt>
                <c:pt idx="20">
                  <c:v>8.5961867274672726E-2</c:v>
                </c:pt>
                <c:pt idx="21">
                  <c:v>0.87161128633561735</c:v>
                </c:pt>
                <c:pt idx="22">
                  <c:v>0.51030468084884306</c:v>
                </c:pt>
                <c:pt idx="23">
                  <c:v>0.41855014179853411</c:v>
                </c:pt>
                <c:pt idx="24">
                  <c:v>0.43495885534454887</c:v>
                </c:pt>
                <c:pt idx="25">
                  <c:v>0.21107332586545435</c:v>
                </c:pt>
                <c:pt idx="26">
                  <c:v>4.0079652526064255E-2</c:v>
                </c:pt>
                <c:pt idx="27">
                  <c:v>0.17808946784858165</c:v>
                </c:pt>
                <c:pt idx="28">
                  <c:v>0.97505501369864556</c:v>
                </c:pt>
                <c:pt idx="29">
                  <c:v>0.9314842792459227</c:v>
                </c:pt>
                <c:pt idx="30">
                  <c:v>0.46138924070512555</c:v>
                </c:pt>
                <c:pt idx="31">
                  <c:v>0.58847249568071192</c:v>
                </c:pt>
                <c:pt idx="32">
                  <c:v>0.39773381118489071</c:v>
                </c:pt>
                <c:pt idx="33">
                  <c:v>0.56014517092751703</c:v>
                </c:pt>
                <c:pt idx="34">
                  <c:v>0.10366925766946872</c:v>
                </c:pt>
                <c:pt idx="35">
                  <c:v>0.38124591945927783</c:v>
                </c:pt>
                <c:pt idx="36">
                  <c:v>0.22540080978454158</c:v>
                </c:pt>
                <c:pt idx="37">
                  <c:v>0.21524232508647048</c:v>
                </c:pt>
                <c:pt idx="38">
                  <c:v>0.75334571247962268</c:v>
                </c:pt>
                <c:pt idx="39">
                  <c:v>0.11159833738426965</c:v>
                </c:pt>
                <c:pt idx="40">
                  <c:v>0.43681819990781762</c:v>
                </c:pt>
                <c:pt idx="41">
                  <c:v>0.74047833742859004</c:v>
                </c:pt>
                <c:pt idx="42">
                  <c:v>0.64021624011972988</c:v>
                </c:pt>
                <c:pt idx="43">
                  <c:v>0.17607976244877346</c:v>
                </c:pt>
                <c:pt idx="44">
                  <c:v>1.6640628954934192E-2</c:v>
                </c:pt>
                <c:pt idx="45">
                  <c:v>0.79362406103461947</c:v>
                </c:pt>
                <c:pt idx="46">
                  <c:v>0.45233469459284581</c:v>
                </c:pt>
                <c:pt idx="47">
                  <c:v>0.76624856946543707</c:v>
                </c:pt>
                <c:pt idx="48">
                  <c:v>0.19240805706344236</c:v>
                </c:pt>
                <c:pt idx="49">
                  <c:v>0.10099506153489017</c:v>
                </c:pt>
              </c:numCache>
            </c:numRef>
          </c:xVal>
          <c:yVal>
            <c:numRef>
              <c:f>Copulas!$C$132:$C$181</c:f>
              <c:numCache>
                <c:formatCode>General</c:formatCode>
                <c:ptCount val="50"/>
                <c:pt idx="0">
                  <c:v>0.31626137322295622</c:v>
                </c:pt>
                <c:pt idx="1">
                  <c:v>0.77668672115223369</c:v>
                </c:pt>
                <c:pt idx="2">
                  <c:v>0.14286449210295765</c:v>
                </c:pt>
                <c:pt idx="3">
                  <c:v>0.32349811160082714</c:v>
                </c:pt>
                <c:pt idx="4">
                  <c:v>0.82366865525551758</c:v>
                </c:pt>
                <c:pt idx="5">
                  <c:v>0.27391673633084435</c:v>
                </c:pt>
                <c:pt idx="6">
                  <c:v>0.98981637450791582</c:v>
                </c:pt>
                <c:pt idx="7">
                  <c:v>0.13927213058372739</c:v>
                </c:pt>
                <c:pt idx="8">
                  <c:v>0.88290087378290538</c:v>
                </c:pt>
                <c:pt idx="9">
                  <c:v>7.0537384167467576E-2</c:v>
                </c:pt>
                <c:pt idx="10">
                  <c:v>0.90307311120399447</c:v>
                </c:pt>
                <c:pt idx="11">
                  <c:v>0.67175183621900914</c:v>
                </c:pt>
                <c:pt idx="12">
                  <c:v>0.21766833387225257</c:v>
                </c:pt>
                <c:pt idx="13">
                  <c:v>2.4272128135403623E-2</c:v>
                </c:pt>
                <c:pt idx="14">
                  <c:v>0.33346651137069644</c:v>
                </c:pt>
                <c:pt idx="15">
                  <c:v>0.43469282497464445</c:v>
                </c:pt>
                <c:pt idx="16">
                  <c:v>0.63390214277677714</c:v>
                </c:pt>
                <c:pt idx="17">
                  <c:v>0.58671596881853871</c:v>
                </c:pt>
                <c:pt idx="18">
                  <c:v>0.71652412987612757</c:v>
                </c:pt>
                <c:pt idx="19">
                  <c:v>0.12581106924051402</c:v>
                </c:pt>
                <c:pt idx="20">
                  <c:v>0.17101290730430166</c:v>
                </c:pt>
                <c:pt idx="21">
                  <c:v>0.93587659606086604</c:v>
                </c:pt>
                <c:pt idx="22">
                  <c:v>0.51444186948426185</c:v>
                </c:pt>
                <c:pt idx="23">
                  <c:v>0.13148857744748751</c:v>
                </c:pt>
                <c:pt idx="24">
                  <c:v>0.27099424950602918</c:v>
                </c:pt>
                <c:pt idx="25">
                  <c:v>0.38573802211069652</c:v>
                </c:pt>
                <c:pt idx="26">
                  <c:v>0.42871562850643746</c:v>
                </c:pt>
                <c:pt idx="27">
                  <c:v>9.8857923976316556E-2</c:v>
                </c:pt>
                <c:pt idx="28">
                  <c:v>0.94914158341343835</c:v>
                </c:pt>
                <c:pt idx="29">
                  <c:v>0.96112810696746864</c:v>
                </c:pt>
                <c:pt idx="30">
                  <c:v>7.6339698458754324E-2</c:v>
                </c:pt>
                <c:pt idx="31">
                  <c:v>0.14904667522598122</c:v>
                </c:pt>
                <c:pt idx="32">
                  <c:v>5.3282913713020193E-2</c:v>
                </c:pt>
                <c:pt idx="33">
                  <c:v>0.73309366262939601</c:v>
                </c:pt>
                <c:pt idx="34">
                  <c:v>0.21226681439470277</c:v>
                </c:pt>
                <c:pt idx="35">
                  <c:v>0.57363099725590661</c:v>
                </c:pt>
                <c:pt idx="36">
                  <c:v>0.58752600359835572</c:v>
                </c:pt>
                <c:pt idx="37">
                  <c:v>0.34122032538029512</c:v>
                </c:pt>
                <c:pt idx="38">
                  <c:v>0.370243632295157</c:v>
                </c:pt>
                <c:pt idx="39">
                  <c:v>0.19853408656809174</c:v>
                </c:pt>
                <c:pt idx="40">
                  <c:v>4.9664073511543172E-2</c:v>
                </c:pt>
                <c:pt idx="41">
                  <c:v>0.71214888489646466</c:v>
                </c:pt>
                <c:pt idx="42">
                  <c:v>0.45145004819634371</c:v>
                </c:pt>
                <c:pt idx="43">
                  <c:v>0.53309114466330043</c:v>
                </c:pt>
                <c:pt idx="44">
                  <c:v>0.25836582054883311</c:v>
                </c:pt>
                <c:pt idx="45">
                  <c:v>0.94304617205478636</c:v>
                </c:pt>
                <c:pt idx="46">
                  <c:v>0.2518156222133584</c:v>
                </c:pt>
                <c:pt idx="47">
                  <c:v>0.24078655707003466</c:v>
                </c:pt>
                <c:pt idx="48">
                  <c:v>0.23840408353171536</c:v>
                </c:pt>
                <c:pt idx="49">
                  <c:v>0.14815135605783755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40-4837-B73E-ACFD5C27B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U1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U2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Clayton Copula (lower tail): U1 vs U2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prstDash val="solid"/>
              </a:ln>
            </c:spPr>
          </c:marker>
          <c:xVal>
            <c:numRef>
              <c:f>Copulas!$B$191:$B$240</c:f>
              <c:numCache>
                <c:formatCode>General</c:formatCode>
                <c:ptCount val="50"/>
                <c:pt idx="0">
                  <c:v>0.66810646591154232</c:v>
                </c:pt>
                <c:pt idx="1">
                  <c:v>0.12551828945312568</c:v>
                </c:pt>
                <c:pt idx="2">
                  <c:v>0.16843422416990353</c:v>
                </c:pt>
                <c:pt idx="3">
                  <c:v>0.72440836472642067</c:v>
                </c:pt>
                <c:pt idx="4">
                  <c:v>0.17365117053205667</c:v>
                </c:pt>
                <c:pt idx="5">
                  <c:v>0.23458845831201805</c:v>
                </c:pt>
                <c:pt idx="6">
                  <c:v>0.50560354464948343</c:v>
                </c:pt>
                <c:pt idx="7">
                  <c:v>0.38096961350225361</c:v>
                </c:pt>
                <c:pt idx="8">
                  <c:v>0.51745109982669868</c:v>
                </c:pt>
                <c:pt idx="9">
                  <c:v>0.8141373758270114</c:v>
                </c:pt>
                <c:pt idx="10">
                  <c:v>0.3974705140094601</c:v>
                </c:pt>
                <c:pt idx="11">
                  <c:v>9.0112610296398679E-2</c:v>
                </c:pt>
                <c:pt idx="12">
                  <c:v>0.81618194971987135</c:v>
                </c:pt>
                <c:pt idx="13">
                  <c:v>4.414713803871867E-2</c:v>
                </c:pt>
                <c:pt idx="14">
                  <c:v>0.14776126628171712</c:v>
                </c:pt>
                <c:pt idx="15">
                  <c:v>0.69258972289626941</c:v>
                </c:pt>
                <c:pt idx="16">
                  <c:v>0.18637845627329241</c:v>
                </c:pt>
                <c:pt idx="17">
                  <c:v>0.30819966285871325</c:v>
                </c:pt>
                <c:pt idx="18">
                  <c:v>0.82106515198064278</c:v>
                </c:pt>
                <c:pt idx="19">
                  <c:v>0.53572202079730202</c:v>
                </c:pt>
                <c:pt idx="20">
                  <c:v>0.74835892708430019</c:v>
                </c:pt>
                <c:pt idx="21">
                  <c:v>0.14911907173186498</c:v>
                </c:pt>
                <c:pt idx="22">
                  <c:v>5.1009009150326724E-2</c:v>
                </c:pt>
                <c:pt idx="23">
                  <c:v>0.62645638437311002</c:v>
                </c:pt>
                <c:pt idx="24">
                  <c:v>0.24996082822324747</c:v>
                </c:pt>
                <c:pt idx="25">
                  <c:v>0.28960667890012576</c:v>
                </c:pt>
                <c:pt idx="26">
                  <c:v>0.14364648477344144</c:v>
                </c:pt>
                <c:pt idx="27">
                  <c:v>0.6045592839850854</c:v>
                </c:pt>
                <c:pt idx="28">
                  <c:v>5.0794688077082248E-2</c:v>
                </c:pt>
                <c:pt idx="29">
                  <c:v>0.70658232630536999</c:v>
                </c:pt>
                <c:pt idx="30">
                  <c:v>0.2184455372479025</c:v>
                </c:pt>
                <c:pt idx="31">
                  <c:v>0.36516152525561002</c:v>
                </c:pt>
                <c:pt idx="32">
                  <c:v>6.8660835767472547E-2</c:v>
                </c:pt>
                <c:pt idx="33">
                  <c:v>7.0942941620453698E-2</c:v>
                </c:pt>
                <c:pt idx="34">
                  <c:v>1.2033524462968822E-2</c:v>
                </c:pt>
                <c:pt idx="35">
                  <c:v>0.43917948307431282</c:v>
                </c:pt>
                <c:pt idx="36">
                  <c:v>0.49959679669681789</c:v>
                </c:pt>
                <c:pt idx="37">
                  <c:v>0.82883792688550328</c:v>
                </c:pt>
                <c:pt idx="38">
                  <c:v>3.0740085072228727E-3</c:v>
                </c:pt>
                <c:pt idx="39">
                  <c:v>0.65414312093245941</c:v>
                </c:pt>
                <c:pt idx="40">
                  <c:v>0.91351419776376064</c:v>
                </c:pt>
                <c:pt idx="41">
                  <c:v>0.46119376153740743</c:v>
                </c:pt>
                <c:pt idx="42">
                  <c:v>0.61660608072607126</c:v>
                </c:pt>
                <c:pt idx="43">
                  <c:v>0.37276722927240991</c:v>
                </c:pt>
                <c:pt idx="44">
                  <c:v>0.43695068240023716</c:v>
                </c:pt>
                <c:pt idx="45">
                  <c:v>0.53236559849808252</c:v>
                </c:pt>
                <c:pt idx="46">
                  <c:v>0.29737253454391499</c:v>
                </c:pt>
                <c:pt idx="47">
                  <c:v>0.58673892942571026</c:v>
                </c:pt>
                <c:pt idx="48">
                  <c:v>1.9412166448036287E-2</c:v>
                </c:pt>
                <c:pt idx="49">
                  <c:v>0.95767867842581067</c:v>
                </c:pt>
              </c:numCache>
            </c:numRef>
          </c:xVal>
          <c:yVal>
            <c:numRef>
              <c:f>Copulas!$C$191:$C$240</c:f>
              <c:numCache>
                <c:formatCode>General</c:formatCode>
                <c:ptCount val="50"/>
                <c:pt idx="0">
                  <c:v>0.37707317946576074</c:v>
                </c:pt>
                <c:pt idx="1">
                  <c:v>0.1682225097277352</c:v>
                </c:pt>
                <c:pt idx="2">
                  <c:v>0.13906443909650526</c:v>
                </c:pt>
                <c:pt idx="3">
                  <c:v>0.69532840995069756</c:v>
                </c:pt>
                <c:pt idx="4">
                  <c:v>0.36240049030815841</c:v>
                </c:pt>
                <c:pt idx="5">
                  <c:v>0.18984922774115573</c:v>
                </c:pt>
                <c:pt idx="6">
                  <c:v>0.42852880880980798</c:v>
                </c:pt>
                <c:pt idx="7">
                  <c:v>0.30133282101571801</c:v>
                </c:pt>
                <c:pt idx="8">
                  <c:v>0.17688871621577085</c:v>
                </c:pt>
                <c:pt idx="9">
                  <c:v>0.77437752276095206</c:v>
                </c:pt>
                <c:pt idx="10">
                  <c:v>0.24342733852355206</c:v>
                </c:pt>
                <c:pt idx="11">
                  <c:v>0.17330355818765295</c:v>
                </c:pt>
                <c:pt idx="12">
                  <c:v>0.75320415220590053</c:v>
                </c:pt>
                <c:pt idx="13">
                  <c:v>8.7069195391189333E-2</c:v>
                </c:pt>
                <c:pt idx="14">
                  <c:v>0.49338612697115153</c:v>
                </c:pt>
                <c:pt idx="15">
                  <c:v>0.68134993970336999</c:v>
                </c:pt>
                <c:pt idx="16">
                  <c:v>6.8625464562499697E-2</c:v>
                </c:pt>
                <c:pt idx="17">
                  <c:v>0.42429000617188112</c:v>
                </c:pt>
                <c:pt idx="18">
                  <c:v>0.13037615016207391</c:v>
                </c:pt>
                <c:pt idx="19">
                  <c:v>0.80542962222120629</c:v>
                </c:pt>
                <c:pt idx="20">
                  <c:v>0.6212657547602326</c:v>
                </c:pt>
                <c:pt idx="21">
                  <c:v>4.6422502679715288E-2</c:v>
                </c:pt>
                <c:pt idx="22">
                  <c:v>0.1198647226050169</c:v>
                </c:pt>
                <c:pt idx="23">
                  <c:v>0.32940485439129391</c:v>
                </c:pt>
                <c:pt idx="24">
                  <c:v>0.49959269988129068</c:v>
                </c:pt>
                <c:pt idx="25">
                  <c:v>0.44735884180174529</c:v>
                </c:pt>
                <c:pt idx="26">
                  <c:v>5.4354899027452212E-2</c:v>
                </c:pt>
                <c:pt idx="27">
                  <c:v>0.63026905255579624</c:v>
                </c:pt>
                <c:pt idx="28">
                  <c:v>5.7344470880749732E-2</c:v>
                </c:pt>
                <c:pt idx="29">
                  <c:v>0.76095087761301017</c:v>
                </c:pt>
                <c:pt idx="30">
                  <c:v>5.3132180008972241E-2</c:v>
                </c:pt>
                <c:pt idx="31">
                  <c:v>0.29402455102822878</c:v>
                </c:pt>
                <c:pt idx="32">
                  <c:v>0.13686876891893118</c:v>
                </c:pt>
                <c:pt idx="33">
                  <c:v>8.6458587539478549E-2</c:v>
                </c:pt>
                <c:pt idx="34">
                  <c:v>2.9836334796561618E-2</c:v>
                </c:pt>
                <c:pt idx="35">
                  <c:v>0.50633088200152387</c:v>
                </c:pt>
                <c:pt idx="36">
                  <c:v>0.10545882829825906</c:v>
                </c:pt>
                <c:pt idx="37">
                  <c:v>0.19606552650905451</c:v>
                </c:pt>
                <c:pt idx="38">
                  <c:v>1.3397170035086758E-3</c:v>
                </c:pt>
                <c:pt idx="39">
                  <c:v>0.21980364583432399</c:v>
                </c:pt>
                <c:pt idx="40">
                  <c:v>0.97113519480681965</c:v>
                </c:pt>
                <c:pt idx="41">
                  <c:v>0.43298151688444414</c:v>
                </c:pt>
                <c:pt idx="42">
                  <c:v>0.22743521385337176</c:v>
                </c:pt>
                <c:pt idx="43">
                  <c:v>0.22217506831482361</c:v>
                </c:pt>
                <c:pt idx="44">
                  <c:v>0.72942451675411479</c:v>
                </c:pt>
                <c:pt idx="45">
                  <c:v>0.50230187136181037</c:v>
                </c:pt>
                <c:pt idx="46">
                  <c:v>0.75419148465574404</c:v>
                </c:pt>
                <c:pt idx="47">
                  <c:v>0.77580469993662604</c:v>
                </c:pt>
                <c:pt idx="48">
                  <c:v>6.5456402551597181E-2</c:v>
                </c:pt>
                <c:pt idx="49">
                  <c:v>0.67729774935131126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2C-450B-8879-24E81AFD7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U1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U2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Frank Copula (symmetric): U1 vs U2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prstDash val="solid"/>
              </a:ln>
            </c:spPr>
          </c:marker>
          <c:xVal>
            <c:numRef>
              <c:f>Copulas!$B$250:$B$299</c:f>
              <c:numCache>
                <c:formatCode>General</c:formatCode>
                <c:ptCount val="50"/>
                <c:pt idx="0">
                  <c:v>0.66810646591154232</c:v>
                </c:pt>
                <c:pt idx="1">
                  <c:v>0.12551828945312568</c:v>
                </c:pt>
                <c:pt idx="2">
                  <c:v>0.16843422416990353</c:v>
                </c:pt>
                <c:pt idx="3">
                  <c:v>0.72440836472642067</c:v>
                </c:pt>
                <c:pt idx="4">
                  <c:v>0.17365117053205667</c:v>
                </c:pt>
                <c:pt idx="5">
                  <c:v>0.23458845831201805</c:v>
                </c:pt>
                <c:pt idx="6">
                  <c:v>0.50560354464948343</c:v>
                </c:pt>
                <c:pt idx="7">
                  <c:v>0.38096961350225361</c:v>
                </c:pt>
                <c:pt idx="8">
                  <c:v>0.51745109982669868</c:v>
                </c:pt>
                <c:pt idx="9">
                  <c:v>0.8141373758270114</c:v>
                </c:pt>
                <c:pt idx="10">
                  <c:v>0.3974705140094601</c:v>
                </c:pt>
                <c:pt idx="11">
                  <c:v>9.0112610296398679E-2</c:v>
                </c:pt>
                <c:pt idx="12">
                  <c:v>0.81618194971987135</c:v>
                </c:pt>
                <c:pt idx="13">
                  <c:v>4.414713803871867E-2</c:v>
                </c:pt>
                <c:pt idx="14">
                  <c:v>0.14776126628171712</c:v>
                </c:pt>
                <c:pt idx="15">
                  <c:v>0.69258972289626941</c:v>
                </c:pt>
                <c:pt idx="16">
                  <c:v>0.18637845627329241</c:v>
                </c:pt>
                <c:pt idx="17">
                  <c:v>0.30819966285871325</c:v>
                </c:pt>
                <c:pt idx="18">
                  <c:v>0.82106515198064278</c:v>
                </c:pt>
                <c:pt idx="19">
                  <c:v>0.53572202079730202</c:v>
                </c:pt>
                <c:pt idx="20">
                  <c:v>0.74835892708430019</c:v>
                </c:pt>
                <c:pt idx="21">
                  <c:v>0.14911907173186498</c:v>
                </c:pt>
                <c:pt idx="22">
                  <c:v>5.1009009150326724E-2</c:v>
                </c:pt>
                <c:pt idx="23">
                  <c:v>0.62645638437311002</c:v>
                </c:pt>
                <c:pt idx="24">
                  <c:v>0.24996082822324747</c:v>
                </c:pt>
                <c:pt idx="25">
                  <c:v>0.28960667890012576</c:v>
                </c:pt>
                <c:pt idx="26">
                  <c:v>0.14364648477344144</c:v>
                </c:pt>
                <c:pt idx="27">
                  <c:v>0.6045592839850854</c:v>
                </c:pt>
                <c:pt idx="28">
                  <c:v>5.0794688077082248E-2</c:v>
                </c:pt>
                <c:pt idx="29">
                  <c:v>0.70658232630536999</c:v>
                </c:pt>
                <c:pt idx="30">
                  <c:v>0.2184455372479025</c:v>
                </c:pt>
                <c:pt idx="31">
                  <c:v>0.36516152525561002</c:v>
                </c:pt>
                <c:pt idx="32">
                  <c:v>6.8660835767472547E-2</c:v>
                </c:pt>
                <c:pt idx="33">
                  <c:v>7.0942941620453698E-2</c:v>
                </c:pt>
                <c:pt idx="34">
                  <c:v>1.2033524462968822E-2</c:v>
                </c:pt>
                <c:pt idx="35">
                  <c:v>0.43917948307431282</c:v>
                </c:pt>
                <c:pt idx="36">
                  <c:v>0.49959679669681789</c:v>
                </c:pt>
                <c:pt idx="37">
                  <c:v>0.82883792688550328</c:v>
                </c:pt>
                <c:pt idx="38">
                  <c:v>3.0740085072228727E-3</c:v>
                </c:pt>
                <c:pt idx="39">
                  <c:v>0.65414312093245941</c:v>
                </c:pt>
                <c:pt idx="40">
                  <c:v>0.91351419776376064</c:v>
                </c:pt>
                <c:pt idx="41">
                  <c:v>0.46119376153740743</c:v>
                </c:pt>
                <c:pt idx="42">
                  <c:v>0.61660608072607126</c:v>
                </c:pt>
                <c:pt idx="43">
                  <c:v>0.37276722927240991</c:v>
                </c:pt>
                <c:pt idx="44">
                  <c:v>0.43695068240023716</c:v>
                </c:pt>
                <c:pt idx="45">
                  <c:v>0.53236559849808252</c:v>
                </c:pt>
                <c:pt idx="46">
                  <c:v>0.29737253454391499</c:v>
                </c:pt>
                <c:pt idx="47">
                  <c:v>0.58673892942571026</c:v>
                </c:pt>
                <c:pt idx="48">
                  <c:v>1.9412166448036287E-2</c:v>
                </c:pt>
                <c:pt idx="49">
                  <c:v>0.95767867842581067</c:v>
                </c:pt>
              </c:numCache>
            </c:numRef>
          </c:xVal>
          <c:yVal>
            <c:numRef>
              <c:f>Copulas!$C$250:$C$299</c:f>
              <c:numCache>
                <c:formatCode>General</c:formatCode>
                <c:ptCount val="50"/>
                <c:pt idx="0">
                  <c:v>0.33950971409739183</c:v>
                </c:pt>
                <c:pt idx="1">
                  <c:v>0.22039949194715622</c:v>
                </c:pt>
                <c:pt idx="2">
                  <c:v>0.11938661804445225</c:v>
                </c:pt>
                <c:pt idx="3">
                  <c:v>0.69267316743663843</c:v>
                </c:pt>
                <c:pt idx="4">
                  <c:v>0.42030684110048666</c:v>
                </c:pt>
                <c:pt idx="5">
                  <c:v>0.14874584863349793</c:v>
                </c:pt>
                <c:pt idx="6">
                  <c:v>0.37856710442651492</c:v>
                </c:pt>
                <c:pt idx="7">
                  <c:v>0.23943745512597564</c:v>
                </c:pt>
                <c:pt idx="8">
                  <c:v>7.8655755347589104E-2</c:v>
                </c:pt>
                <c:pt idx="9">
                  <c:v>0.79265057193651933</c:v>
                </c:pt>
                <c:pt idx="10">
                  <c:v>0.16567208668793698</c:v>
                </c:pt>
                <c:pt idx="11">
                  <c:v>0.30675470505447683</c:v>
                </c:pt>
                <c:pt idx="12">
                  <c:v>0.77427750243428806</c:v>
                </c:pt>
                <c:pt idx="13">
                  <c:v>0.27664197776262955</c:v>
                </c:pt>
                <c:pt idx="14">
                  <c:v>0.58550689387516741</c:v>
                </c:pt>
                <c:pt idx="15">
                  <c:v>0.67017056984177292</c:v>
                </c:pt>
                <c:pt idx="16">
                  <c:v>2.0718740214559387E-2</c:v>
                </c:pt>
                <c:pt idx="17">
                  <c:v>0.39522537439829547</c:v>
                </c:pt>
                <c:pt idx="18">
                  <c:v>4.2837314240079111E-2</c:v>
                </c:pt>
                <c:pt idx="19">
                  <c:v>0.75472700001716775</c:v>
                </c:pt>
                <c:pt idx="20">
                  <c:v>0.62908079260829408</c:v>
                </c:pt>
                <c:pt idx="21">
                  <c:v>1.1013431037420706E-2</c:v>
                </c:pt>
                <c:pt idx="22">
                  <c:v>0.33912220401915666</c:v>
                </c:pt>
                <c:pt idx="23">
                  <c:v>0.27248959354831948</c:v>
                </c:pt>
                <c:pt idx="24">
                  <c:v>0.49522902116721801</c:v>
                </c:pt>
                <c:pt idx="25">
                  <c:v>0.42551063762863411</c:v>
                </c:pt>
                <c:pt idx="26">
                  <c:v>1.8114859393203009E-2</c:v>
                </c:pt>
                <c:pt idx="27">
                  <c:v>0.59869709999168508</c:v>
                </c:pt>
                <c:pt idx="28">
                  <c:v>0.13075700226314435</c:v>
                </c:pt>
                <c:pt idx="29">
                  <c:v>0.74926469131516771</c:v>
                </c:pt>
                <c:pt idx="30">
                  <c:v>7.7976822595444886E-3</c:v>
                </c:pt>
                <c:pt idx="31">
                  <c:v>0.2337007412435354</c:v>
                </c:pt>
                <c:pt idx="32">
                  <c:v>0.30008338399286222</c:v>
                </c:pt>
                <c:pt idx="33">
                  <c:v>0.15916586378441511</c:v>
                </c:pt>
                <c:pt idx="34">
                  <c:v>0.32379812524231538</c:v>
                </c:pt>
                <c:pt idx="35">
                  <c:v>0.45763014061182672</c:v>
                </c:pt>
                <c:pt idx="36">
                  <c:v>2.0693851644244667E-2</c:v>
                </c:pt>
                <c:pt idx="37">
                  <c:v>0.11909731884255739</c:v>
                </c:pt>
                <c:pt idx="38">
                  <c:v>1.3283744496062802E-2</c:v>
                </c:pt>
                <c:pt idx="39">
                  <c:v>0.13147347059110281</c:v>
                </c:pt>
                <c:pt idx="40">
                  <c:v>0.97788179039611356</c:v>
                </c:pt>
                <c:pt idx="41">
                  <c:v>0.38204206521100681</c:v>
                </c:pt>
                <c:pt idx="42">
                  <c:v>0.13876805114802387</c:v>
                </c:pt>
                <c:pt idx="43">
                  <c:v>0.14370789579838578</c:v>
                </c:pt>
                <c:pt idx="44">
                  <c:v>0.66936796186114556</c:v>
                </c:pt>
                <c:pt idx="45">
                  <c:v>0.45921462981902456</c:v>
                </c:pt>
                <c:pt idx="46">
                  <c:v>0.70689465046113242</c:v>
                </c:pt>
                <c:pt idx="47">
                  <c:v>0.73443399182295366</c:v>
                </c:pt>
                <c:pt idx="48">
                  <c:v>0.43331470958775292</c:v>
                </c:pt>
                <c:pt idx="49">
                  <c:v>0.75408310048626148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42-44A3-B1CB-A88D18B53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U1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U2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Gumbel Copula (upper tail): U1 vs U2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prstDash val="solid"/>
              </a:ln>
            </c:spPr>
          </c:marker>
          <c:xVal>
            <c:numRef>
              <c:f>Copulas!$B$309:$B$358</c:f>
              <c:numCache>
                <c:formatCode>General</c:formatCode>
                <c:ptCount val="50"/>
                <c:pt idx="0">
                  <c:v>0.24161808133885282</c:v>
                </c:pt>
                <c:pt idx="1">
                  <c:v>0.40810347568068145</c:v>
                </c:pt>
                <c:pt idx="2">
                  <c:v>0.42463282830797527</c:v>
                </c:pt>
                <c:pt idx="3">
                  <c:v>0.35380375198453229</c:v>
                </c:pt>
                <c:pt idx="4">
                  <c:v>0.44659383954294735</c:v>
                </c:pt>
                <c:pt idx="5">
                  <c:v>8.6954598031043023E-2</c:v>
                </c:pt>
                <c:pt idx="6">
                  <c:v>0.57212783464419481</c:v>
                </c:pt>
                <c:pt idx="7">
                  <c:v>0.76969366695865649</c:v>
                </c:pt>
                <c:pt idx="8">
                  <c:v>7.277763298840724E-2</c:v>
                </c:pt>
                <c:pt idx="9">
                  <c:v>0.48240512140673203</c:v>
                </c:pt>
                <c:pt idx="10">
                  <c:v>0.47981103795813163</c:v>
                </c:pt>
                <c:pt idx="11">
                  <c:v>0.61971719766214506</c:v>
                </c:pt>
                <c:pt idx="12">
                  <c:v>0.47753858216269895</c:v>
                </c:pt>
                <c:pt idx="13">
                  <c:v>0.17816571521258681</c:v>
                </c:pt>
                <c:pt idx="14">
                  <c:v>0.46143678635757968</c:v>
                </c:pt>
                <c:pt idx="15">
                  <c:v>6.2075925998325183E-2</c:v>
                </c:pt>
                <c:pt idx="16">
                  <c:v>0.26824245401096436</c:v>
                </c:pt>
                <c:pt idx="17">
                  <c:v>0.54357104394870581</c:v>
                </c:pt>
                <c:pt idx="18">
                  <c:v>0.39004337327792121</c:v>
                </c:pt>
                <c:pt idx="19">
                  <c:v>0.21685710289832774</c:v>
                </c:pt>
                <c:pt idx="20">
                  <c:v>0.95529346513775448</c:v>
                </c:pt>
                <c:pt idx="21">
                  <c:v>0.24555112998804596</c:v>
                </c:pt>
                <c:pt idx="22">
                  <c:v>0.65762039550905083</c:v>
                </c:pt>
                <c:pt idx="23">
                  <c:v>0.75002701169456498</c:v>
                </c:pt>
                <c:pt idx="24">
                  <c:v>0.90094564909568009</c:v>
                </c:pt>
                <c:pt idx="25">
                  <c:v>0.28322747485087885</c:v>
                </c:pt>
                <c:pt idx="26">
                  <c:v>0.42676890218387303</c:v>
                </c:pt>
                <c:pt idx="27">
                  <c:v>0.4540078439435094</c:v>
                </c:pt>
                <c:pt idx="28">
                  <c:v>0.83076194713190998</c:v>
                </c:pt>
                <c:pt idx="29">
                  <c:v>0.9411708803019796</c:v>
                </c:pt>
                <c:pt idx="30">
                  <c:v>0.53585192670235593</c:v>
                </c:pt>
                <c:pt idx="31">
                  <c:v>5.5656592104526927E-2</c:v>
                </c:pt>
                <c:pt idx="32">
                  <c:v>0.87055017268865587</c:v>
                </c:pt>
                <c:pt idx="33">
                  <c:v>0.2064067318500403</c:v>
                </c:pt>
                <c:pt idx="34">
                  <c:v>0.22869542480125921</c:v>
                </c:pt>
                <c:pt idx="35">
                  <c:v>0.92648333849798803</c:v>
                </c:pt>
                <c:pt idx="36">
                  <c:v>0.51050373743944277</c:v>
                </c:pt>
                <c:pt idx="37">
                  <c:v>0.14401509733294554</c:v>
                </c:pt>
                <c:pt idx="38">
                  <c:v>0.96172356733895836</c:v>
                </c:pt>
                <c:pt idx="39">
                  <c:v>0.53227798252744796</c:v>
                </c:pt>
                <c:pt idx="40">
                  <c:v>0.66897781437292358</c:v>
                </c:pt>
                <c:pt idx="41">
                  <c:v>0.74993408867750988</c:v>
                </c:pt>
                <c:pt idx="42">
                  <c:v>0.81599207376916993</c:v>
                </c:pt>
                <c:pt idx="43">
                  <c:v>0.92663635310036785</c:v>
                </c:pt>
                <c:pt idx="44">
                  <c:v>0.63249097136274224</c:v>
                </c:pt>
                <c:pt idx="45">
                  <c:v>0.45346654511648077</c:v>
                </c:pt>
                <c:pt idx="46">
                  <c:v>0.98717286791597914</c:v>
                </c:pt>
                <c:pt idx="47">
                  <c:v>0.5133870553055353</c:v>
                </c:pt>
                <c:pt idx="48">
                  <c:v>0.78895601060478726</c:v>
                </c:pt>
                <c:pt idx="49">
                  <c:v>0.58910356867594604</c:v>
                </c:pt>
              </c:numCache>
            </c:numRef>
          </c:xVal>
          <c:yVal>
            <c:numRef>
              <c:f>Copulas!$C$309:$C$358</c:f>
              <c:numCache>
                <c:formatCode>General</c:formatCode>
                <c:ptCount val="50"/>
                <c:pt idx="0">
                  <c:v>0.45199575757442828</c:v>
                </c:pt>
                <c:pt idx="1">
                  <c:v>0.27535063563325585</c:v>
                </c:pt>
                <c:pt idx="2">
                  <c:v>0.43659012860129937</c:v>
                </c:pt>
                <c:pt idx="3">
                  <c:v>0.29313042827675378</c:v>
                </c:pt>
                <c:pt idx="4">
                  <c:v>0.26771098674491789</c:v>
                </c:pt>
                <c:pt idx="5">
                  <c:v>0.39434836380485444</c:v>
                </c:pt>
                <c:pt idx="6">
                  <c:v>0.83146982750142528</c:v>
                </c:pt>
                <c:pt idx="7">
                  <c:v>0.70390961610108094</c:v>
                </c:pt>
                <c:pt idx="8">
                  <c:v>0.16970292266270964</c:v>
                </c:pt>
                <c:pt idx="9">
                  <c:v>0.65082192511163561</c:v>
                </c:pt>
                <c:pt idx="10">
                  <c:v>0.36233721981024825</c:v>
                </c:pt>
                <c:pt idx="11">
                  <c:v>0.35749680362871122</c:v>
                </c:pt>
                <c:pt idx="12">
                  <c:v>0.64583102110609503</c:v>
                </c:pt>
                <c:pt idx="13">
                  <c:v>0.13831562759230631</c:v>
                </c:pt>
                <c:pt idx="14">
                  <c:v>0.40885439806055379</c:v>
                </c:pt>
                <c:pt idx="15">
                  <c:v>4.1579720691850515E-2</c:v>
                </c:pt>
                <c:pt idx="16">
                  <c:v>0.49224311435411761</c:v>
                </c:pt>
                <c:pt idx="17">
                  <c:v>0.57773613931726764</c:v>
                </c:pt>
                <c:pt idx="18">
                  <c:v>1.0754097987615438E-2</c:v>
                </c:pt>
                <c:pt idx="19">
                  <c:v>1.3510270453784924E-2</c:v>
                </c:pt>
                <c:pt idx="20">
                  <c:v>0.94983688142276068</c:v>
                </c:pt>
                <c:pt idx="21">
                  <c:v>0.13870552160293764</c:v>
                </c:pt>
                <c:pt idx="22">
                  <c:v>0.60361747146042077</c:v>
                </c:pt>
                <c:pt idx="23">
                  <c:v>0.80369712894477241</c:v>
                </c:pt>
                <c:pt idx="24">
                  <c:v>0.59089103472603888</c:v>
                </c:pt>
                <c:pt idx="25">
                  <c:v>0.4744073239447395</c:v>
                </c:pt>
                <c:pt idx="26">
                  <c:v>0.41765444192433909</c:v>
                </c:pt>
                <c:pt idx="27">
                  <c:v>0.89543780263343742</c:v>
                </c:pt>
                <c:pt idx="28">
                  <c:v>0.70020295171573343</c:v>
                </c:pt>
                <c:pt idx="29">
                  <c:v>0.83656446627490888</c:v>
                </c:pt>
                <c:pt idx="30">
                  <c:v>0.66737916881430226</c:v>
                </c:pt>
                <c:pt idx="31">
                  <c:v>0.1847278792652482</c:v>
                </c:pt>
                <c:pt idx="32">
                  <c:v>8.2915248513072831E-2</c:v>
                </c:pt>
                <c:pt idx="33">
                  <c:v>0.451622863826391</c:v>
                </c:pt>
                <c:pt idx="34">
                  <c:v>0.70784828439554293</c:v>
                </c:pt>
                <c:pt idx="35">
                  <c:v>0.89308108113158069</c:v>
                </c:pt>
                <c:pt idx="36">
                  <c:v>0.50509787790445482</c:v>
                </c:pt>
                <c:pt idx="37">
                  <c:v>6.1403171916247806E-2</c:v>
                </c:pt>
                <c:pt idx="38">
                  <c:v>0.84179786840587534</c:v>
                </c:pt>
                <c:pt idx="39">
                  <c:v>0.5839152486106145</c:v>
                </c:pt>
                <c:pt idx="40">
                  <c:v>0.36729917258691819</c:v>
                </c:pt>
                <c:pt idx="41">
                  <c:v>0.48320005730329307</c:v>
                </c:pt>
                <c:pt idx="42">
                  <c:v>0.83422977784295305</c:v>
                </c:pt>
                <c:pt idx="43">
                  <c:v>0.92363445309107906</c:v>
                </c:pt>
                <c:pt idx="44">
                  <c:v>0.34714235395328497</c:v>
                </c:pt>
                <c:pt idx="45">
                  <c:v>0.30375921584382476</c:v>
                </c:pt>
                <c:pt idx="46">
                  <c:v>0.95098650868012169</c:v>
                </c:pt>
                <c:pt idx="47">
                  <c:v>0.79198967771909479</c:v>
                </c:pt>
                <c:pt idx="48">
                  <c:v>0.80374775908528129</c:v>
                </c:pt>
                <c:pt idx="49">
                  <c:v>0.85706032201183613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6F-4540-B98F-D513A8A64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U1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U2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Aggregate Claims PMF - Poisson(lambda=2) + Exp(rate=1)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'Aggregate Claims'!$C$41</c:f>
              <c:strCache>
                <c:ptCount val="1"/>
                <c:pt idx="0">
                  <c:v>PMF P(S=s*h)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'Aggregate Claims'!$B$42:$B$71</c:f>
              <c:numCache>
                <c:formatCode>General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</c:numCache>
            </c:numRef>
          </c:cat>
          <c:val>
            <c:numRef>
              <c:f>'Aggregate Claims'!$C$42:$C$71</c:f>
              <c:numCache>
                <c:formatCode>0.000000</c:formatCode>
                <c:ptCount val="30"/>
                <c:pt idx="0">
                  <c:v>0.2106406735543411</c:v>
                </c:pt>
                <c:pt idx="1">
                  <c:v>0.12909502535379899</c:v>
                </c:pt>
                <c:pt idx="2">
                  <c:v>0.11785922562723239</c:v>
                </c:pt>
                <c:pt idx="3">
                  <c:v>0.10356057729709545</c:v>
                </c:pt>
                <c:pt idx="4">
                  <c:v>8.8407257770323266E-2</c:v>
                </c:pt>
                <c:pt idx="5">
                  <c:v>7.3772459420229738E-2</c:v>
                </c:pt>
                <c:pt idx="6">
                  <c:v>6.0428758019267573E-2</c:v>
                </c:pt>
                <c:pt idx="7">
                  <c:v>4.8737251112089118E-2</c:v>
                </c:pt>
                <c:pt idx="8">
                  <c:v>3.8791932081921082E-2</c:v>
                </c:pt>
                <c:pt idx="9">
                  <c:v>3.0524917921386178E-2</c:v>
                </c:pt>
                <c:pt idx="10">
                  <c:v>2.3779909996979737E-2</c:v>
                </c:pt>
                <c:pt idx="11">
                  <c:v>1.8361221734680983E-2</c:v>
                </c:pt>
                <c:pt idx="12">
                  <c:v>1.406481501612303E-2</c:v>
                </c:pt>
                <c:pt idx="13">
                  <c:v>1.0696600181446362E-2</c:v>
                </c:pt>
                <c:pt idx="14">
                  <c:v>8.0820677507773345E-3</c:v>
                </c:pt>
                <c:pt idx="15">
                  <c:v>6.0702724220109954E-3</c:v>
                </c:pt>
                <c:pt idx="16">
                  <c:v>4.5343310419051416E-3</c:v>
                </c:pt>
                <c:pt idx="17">
                  <c:v>3.3699275078077117E-3</c:v>
                </c:pt>
                <c:pt idx="18">
                  <c:v>2.4928175344744066E-3</c:v>
                </c:pt>
                <c:pt idx="19">
                  <c:v>1.8359652061651923E-3</c:v>
                </c:pt>
                <c:pt idx="20">
                  <c:v>1.3370280268761537E-3</c:v>
                </c:pt>
                <c:pt idx="21">
                  <c:v>9.7225776100605627E-4</c:v>
                </c:pt>
                <c:pt idx="22">
                  <c:v>7.0392048380846282E-4</c:v>
                </c:pt>
                <c:pt idx="23">
                  <c:v>5.075359909829933E-4</c:v>
                </c:pt>
                <c:pt idx="24">
                  <c:v>3.645032417033692E-4</c:v>
                </c:pt>
                <c:pt idx="25">
                  <c:v>2.6080088546721707E-4</c:v>
                </c:pt>
                <c:pt idx="26">
                  <c:v>1.8593627932325443E-4</c:v>
                </c:pt>
                <c:pt idx="27">
                  <c:v>1.3210954314702323E-4</c:v>
                </c:pt>
                <c:pt idx="28">
                  <c:v>9.3557963677087862E-5</c:v>
                </c:pt>
                <c:pt idx="29">
                  <c:v>6.6048040285987452E-5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1-43A4-8F5C-CB66CA817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Aggregate Loss (s * h)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Probability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low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Exceedance Probability Curve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'Return Periods'!$A$7:$A$11</c:f>
              <c:numCache>
                <c:formatCode>General</c:formatCode>
                <c:ptCount val="5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</c:numCache>
            </c:numRef>
          </c:xVal>
          <c:yVal>
            <c:numRef>
              <c:f>'Return Periods'!$B$7:$B$11</c:f>
              <c:numCache>
                <c:formatCode>#,##0</c:formatCode>
                <c:ptCount val="5"/>
                <c:pt idx="0">
                  <c:v>100000</c:v>
                </c:pt>
                <c:pt idx="1">
                  <c:v>250000</c:v>
                </c:pt>
                <c:pt idx="2">
                  <c:v>500000</c:v>
                </c:pt>
                <c:pt idx="3">
                  <c:v>1000000</c:v>
                </c:pt>
                <c:pt idx="4">
                  <c:v>2500000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3C-45D0-9379-17477E3E7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Return Period (years)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OEP Loss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low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288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19</xdr:row>
      <xdr:rowOff>0</xdr:rowOff>
    </xdr:from>
    <xdr:ext cx="2880000" cy="21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34</xdr:row>
      <xdr:rowOff>0</xdr:rowOff>
    </xdr:from>
    <xdr:ext cx="2880000" cy="21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49</xdr:row>
      <xdr:rowOff>0</xdr:rowOff>
    </xdr:from>
    <xdr:ext cx="2880000" cy="21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64</xdr:row>
      <xdr:rowOff>0</xdr:rowOff>
    </xdr:from>
    <xdr:ext cx="2880000" cy="21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5</xdr:col>
      <xdr:colOff>0</xdr:colOff>
      <xdr:row>79</xdr:row>
      <xdr:rowOff>0</xdr:rowOff>
    </xdr:from>
    <xdr:ext cx="2880000" cy="21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94</xdr:row>
      <xdr:rowOff>0</xdr:rowOff>
    </xdr:from>
    <xdr:ext cx="2880000" cy="21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5</xdr:col>
      <xdr:colOff>0</xdr:colOff>
      <xdr:row>109</xdr:row>
      <xdr:rowOff>0</xdr:rowOff>
    </xdr:from>
    <xdr:ext cx="2880000" cy="216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124</xdr:row>
      <xdr:rowOff>0</xdr:rowOff>
    </xdr:from>
    <xdr:ext cx="2880000" cy="216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5</xdr:col>
      <xdr:colOff>0</xdr:colOff>
      <xdr:row>139</xdr:row>
      <xdr:rowOff>0</xdr:rowOff>
    </xdr:from>
    <xdr:ext cx="2880000" cy="216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154</xdr:row>
      <xdr:rowOff>0</xdr:rowOff>
    </xdr:from>
    <xdr:ext cx="2880000" cy="216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5</xdr:col>
      <xdr:colOff>0</xdr:colOff>
      <xdr:row>169</xdr:row>
      <xdr:rowOff>0</xdr:rowOff>
    </xdr:from>
    <xdr:ext cx="2880000" cy="216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0</xdr:colOff>
      <xdr:row>184</xdr:row>
      <xdr:rowOff>0</xdr:rowOff>
    </xdr:from>
    <xdr:ext cx="2880000" cy="216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5</xdr:col>
      <xdr:colOff>0</xdr:colOff>
      <xdr:row>199</xdr:row>
      <xdr:rowOff>0</xdr:rowOff>
    </xdr:from>
    <xdr:ext cx="2880000" cy="216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5</xdr:col>
      <xdr:colOff>0</xdr:colOff>
      <xdr:row>214</xdr:row>
      <xdr:rowOff>0</xdr:rowOff>
    </xdr:from>
    <xdr:ext cx="2880000" cy="2160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5</xdr:col>
      <xdr:colOff>0</xdr:colOff>
      <xdr:row>229</xdr:row>
      <xdr:rowOff>0</xdr:rowOff>
    </xdr:from>
    <xdr:ext cx="2880000" cy="2160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5</xdr:col>
      <xdr:colOff>0</xdr:colOff>
      <xdr:row>244</xdr:row>
      <xdr:rowOff>0</xdr:rowOff>
    </xdr:from>
    <xdr:ext cx="2880000" cy="216000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5</xdr:col>
      <xdr:colOff>0</xdr:colOff>
      <xdr:row>259</xdr:row>
      <xdr:rowOff>0</xdr:rowOff>
    </xdr:from>
    <xdr:ext cx="2880000" cy="216000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5</xdr:col>
      <xdr:colOff>0</xdr:colOff>
      <xdr:row>274</xdr:row>
      <xdr:rowOff>0</xdr:rowOff>
    </xdr:from>
    <xdr:ext cx="2880000" cy="216000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5</xdr:col>
      <xdr:colOff>0</xdr:colOff>
      <xdr:row>289</xdr:row>
      <xdr:rowOff>0</xdr:rowOff>
    </xdr:from>
    <xdr:ext cx="2880000" cy="216000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5</xdr:col>
      <xdr:colOff>0</xdr:colOff>
      <xdr:row>304</xdr:row>
      <xdr:rowOff>0</xdr:rowOff>
    </xdr:from>
    <xdr:ext cx="2880000" cy="2160000"/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5</xdr:col>
      <xdr:colOff>0</xdr:colOff>
      <xdr:row>319</xdr:row>
      <xdr:rowOff>0</xdr:rowOff>
    </xdr:from>
    <xdr:ext cx="2880000" cy="2160000"/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  <xdr:oneCellAnchor>
    <xdr:from>
      <xdr:col>5</xdr:col>
      <xdr:colOff>0</xdr:colOff>
      <xdr:row>334</xdr:row>
      <xdr:rowOff>0</xdr:rowOff>
    </xdr:from>
    <xdr:ext cx="2880000" cy="2160000"/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oneCellAnchor>
  <xdr:oneCellAnchor>
    <xdr:from>
      <xdr:col>5</xdr:col>
      <xdr:colOff>0</xdr:colOff>
      <xdr:row>349</xdr:row>
      <xdr:rowOff>0</xdr:rowOff>
    </xdr:from>
    <xdr:ext cx="2880000" cy="2160000"/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oneCellAnchor>
  <xdr:oneCellAnchor>
    <xdr:from>
      <xdr:col>5</xdr:col>
      <xdr:colOff>0</xdr:colOff>
      <xdr:row>364</xdr:row>
      <xdr:rowOff>0</xdr:rowOff>
    </xdr:from>
    <xdr:ext cx="2880000" cy="2160000"/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50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19</xdr:row>
      <xdr:rowOff>0</xdr:rowOff>
    </xdr:from>
    <xdr:ext cx="43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35</xdr:row>
      <xdr:rowOff>0</xdr:rowOff>
    </xdr:from>
    <xdr:ext cx="432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36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122</xdr:row>
      <xdr:rowOff>0</xdr:rowOff>
    </xdr:from>
    <xdr:ext cx="36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183</xdr:row>
      <xdr:rowOff>0</xdr:rowOff>
    </xdr:from>
    <xdr:ext cx="360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242</xdr:row>
      <xdr:rowOff>0</xdr:rowOff>
    </xdr:from>
    <xdr:ext cx="360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301</xdr:row>
      <xdr:rowOff>0</xdr:rowOff>
    </xdr:from>
    <xdr:ext cx="360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50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5" x14ac:dyDescent="0.25"/>
  <cols>
    <col min="1" max="1" width="22" customWidth="1"/>
    <col min="2" max="2" width="55" customWidth="1"/>
    <col min="3" max="3" width="70" customWidth="1"/>
    <col min="4" max="4" width="15" customWidth="1"/>
  </cols>
  <sheetData>
    <row r="1" spans="1:3" ht="18.75" x14ac:dyDescent="0.3">
      <c r="A1" s="1" t="s">
        <v>0</v>
      </c>
    </row>
    <row r="3" spans="1:3" x14ac:dyDescent="0.25">
      <c r="A3" s="2" t="s">
        <v>1</v>
      </c>
      <c r="B3" t="str">
        <f>_xll.ACT_VERSION()</f>
        <v>0.8.0</v>
      </c>
    </row>
    <row r="4" spans="1:3" x14ac:dyDescent="0.25">
      <c r="A4" s="2" t="s">
        <v>2</v>
      </c>
      <c r="B4" t="str">
        <f>_xll.ACT_BUILD_DATE()</f>
        <v>2026-05-05</v>
      </c>
    </row>
    <row r="5" spans="1:3" x14ac:dyDescent="0.25">
      <c r="A5" s="2" t="s">
        <v>3</v>
      </c>
      <c r="B5" t="str">
        <f>_xll.ACT_GITHUB_URL()</f>
        <v>https://github.com/mdevans21/actuarial_add_in</v>
      </c>
    </row>
    <row r="7" spans="1:3" x14ac:dyDescent="0.25">
      <c r="A7" s="2" t="s">
        <v>4</v>
      </c>
    </row>
    <row r="8" spans="1:3" x14ac:dyDescent="0.25">
      <c r="A8" t="s">
        <v>5</v>
      </c>
      <c r="B8" t="str">
        <f>_xll.ACT_VERSION()</f>
        <v>0.8.0</v>
      </c>
    </row>
    <row r="9" spans="1:3" x14ac:dyDescent="0.25">
      <c r="A9" t="s">
        <v>6</v>
      </c>
      <c r="B9" t="str">
        <f>_xll.ACT_BUILD_DATE()</f>
        <v>2026-05-05</v>
      </c>
    </row>
    <row r="10" spans="1:3" x14ac:dyDescent="0.25">
      <c r="A10" t="s">
        <v>7</v>
      </c>
      <c r="B10" t="str">
        <f>_xll.ACT_GITHUB_URL()</f>
        <v>https://github.com/mdevans21/actuarial_add_in</v>
      </c>
    </row>
    <row r="11" spans="1:3" x14ac:dyDescent="0.25">
      <c r="A11" t="s">
        <v>8</v>
      </c>
      <c r="B11">
        <f>_xll.ACT_COMMIT_COUNT()</f>
        <v>16</v>
      </c>
    </row>
    <row r="12" spans="1:3" x14ac:dyDescent="0.25">
      <c r="A12" t="s">
        <v>9</v>
      </c>
      <c r="B12" t="str">
        <f>_xll.ACT_COMMIT_INFO(1, "message")</f>
        <v>Multi-target net48 + net8.0-windows. Default release asset (`AddIn64-packed.xll`) now targets .NET Framework 4.8 — preinstalled on every Windows 10 1903+ / Windows 11, so installing the add-in no longer requires a runtime download. A .NET 8 perf variant ships alongside as `AddIn64-packed-net8.xll` for users who install the .NET 8 Desktop Runtime; same C# code, modern JIT and SIMD codegen on heavy stochastic workloads. Root cause of the long-standing v0.5.x .NET 8 hosting failure identified: ExcelDna 1.9.0's host shim formats its own runtimeconfig.json from the `.dna` file's RuntimeVersion attribute, which was set to `v4.0` (causing the host to launch .NET 6 and reject the net8 user assembly). MSBuild XmlPoke target now rewrites it to `v8.0` for the net8 build only.</v>
      </c>
    </row>
    <row r="14" spans="1:3" x14ac:dyDescent="0.25">
      <c r="A14" s="2" t="s">
        <v>10</v>
      </c>
    </row>
    <row r="15" spans="1:3" x14ac:dyDescent="0.25">
      <c r="A15" s="3" t="str" cm="1">
        <f t="array" ref="A15:C31">_xll.ACT_COMMIT_HISTORY()</f>
        <v>Commit</v>
      </c>
      <c r="B15" t="str">
        <v>Date</v>
      </c>
      <c r="C15" t="str">
        <v>Message</v>
      </c>
    </row>
    <row r="16" spans="1:3" x14ac:dyDescent="0.25">
      <c r="A16" t="str">
        <v>v0.8.0</v>
      </c>
      <c r="B16" t="str">
        <v>2026-05-05</v>
      </c>
      <c r="C16" t="str">
        <v>Multi-target net48 + net8.0-windows. Default release asset (`AddIn64-packed.xll`) now targets .NET Framework 4.8 — preinstalled on every Windows 10 1903+ / Windows 11, so installing the add-in no longer requires a runtime download. A .NET 8 perf variant ships alongside as `AddIn64-packed-net8.xll` for users who install the .NET 8 Desktop Runtime; same C# code, modern JIT and SIMD codegen on heavy stochastic workloads. Root cause of the long-standing v0.5.x .NET 8 hosting failure identified: ExcelDna 1.9.0's host shim formats its own runtimeconfig.json from the `.dna` file's RuntimeVersion attribute, which was set to `v4.0` (causing the host to launch .NET 6 and reject the net8 user assembly). MSBuild XmlPoke target now rewrites it to `v8.0` for the net8 build only.</v>
      </c>
    </row>
    <row r="17" spans="1:3" x14ac:dyDescent="0.25">
      <c r="A17" t="str">
        <v>v0.7.3</v>
      </c>
      <c r="B17" t="str">
        <v>2026-05-04</v>
      </c>
      <c r="C17" t="str">
        <v>Bundles five post-v0.7.2 fixes for the public surface: Cat Modeling SPILL collision (OEP/AEP curves now sit side-by-side with full 1000-row clearance, confused static Example 2 dropped); dump-iteration ordering (post-Formula2 errors now surface in dump JSON instead of silently shipping); Versions tab spills `=ACT_COMMIT_HISTORY()` live from the XLL instead of a stale `git log` snapshot; CHANGELOG.md / CONTRIBUTING.md / docs/DEVELOPING.md pulled out of the public repo (release notes live in this method + GitHub Releases).</v>
      </c>
    </row>
    <row r="18" spans="1:3" x14ac:dyDescent="0.25">
      <c r="A18" t="str">
        <v>v0.7.2</v>
      </c>
      <c r="B18" t="str">
        <v>2026-05-04</v>
      </c>
      <c r="C18" t="str">
        <v>Workbook polish + Experimental retagging. Mack-SE reference column corrected; Cat Modeling EP-curve table populated; Latest Cumulative restored as a formula; Copulas sheet gains Gaussian/Clayton/Frank/Gumbel sections; Interpolation chart shows interpolated overlay; all charts switched from smooth to straight lines; array formulas promoted via Formula2 to spill correctly. `Actuarial.Aggregate`/`Reinsurance` cat-modelling and return-period functions retagged Experimental to match Copulas/Bootstrap.</v>
      </c>
    </row>
    <row r="19" spans="1:3" x14ac:dyDescent="0.25">
      <c r="A19" t="str">
        <v>v0.7.1</v>
      </c>
      <c r="B19" t="str">
        <v>2026-05-04</v>
      </c>
      <c r="C19" t="str">
        <v>Patch: replace `int? seed = null` with `object seed = null` + ResolveSeed helper across 13 stochastic functions. ExcelDna 1.9.0 mis-marshals `int?` parameters from Excel even though direct C# calls work — every cell calling the affected functions returned #VALUE! pre-fix (373 cells in the dump test).</v>
      </c>
    </row>
    <row r="20" spans="1:3" x14ac:dyDescent="0.25">
      <c r="A20" t="str">
        <v>v0.7.0</v>
      </c>
      <c r="B20" t="str">
        <v>2026-05-04</v>
      </c>
      <c r="C20" t="str">
        <v>Breaking: dropped Cape Cod, triangle-utility, calendar-adjust, weighted-average functions (9 in total). Added Mack factor SE / BF / CL_LATEST formulas to spreadsheet; harness now exercises every C# function (174); notebook reconciles every non-trivial function against scipy/Klugman/Bernegger references.</v>
      </c>
    </row>
    <row r="21" spans="1:3" x14ac:dyDescent="0.25">
      <c r="A21" t="str">
        <v>v0.6.0</v>
      </c>
      <c r="B21" t="str">
        <v>2026-05-04</v>
      </c>
      <c r="C21" t="str">
        <v>Internal cleanups: split Distributions.cs (1686 lines) and ChainLadder.cs (1510 lines) into focused partial-class files; standardised inline string-error returns to ExcelError.ExcelErrorValue (24 sites); test harness now exits non-zero on assertion failures.</v>
      </c>
    </row>
    <row r="22" spans="1:3" x14ac:dyDescent="0.25">
      <c r="A22" t="str">
        <v>v0.5.4</v>
      </c>
      <c r="B22" t="str">
        <v>2026-05-04</v>
      </c>
      <c r="C22" t="str">
        <v>Patch: ACT_EXPOSURE_MBBEFD numerical stability — rewrote without explicit `a` to fix NaN at SwissRe c=5 (b&lt;1, b^g underflow) and a 4th-decimal precision loss at c=3.</v>
      </c>
    </row>
    <row r="23" spans="1:3" x14ac:dyDescent="0.25">
      <c r="A23" t="str">
        <v>v0.5.3</v>
      </c>
      <c r="B23" t="str">
        <v>2026-05-04</v>
      </c>
      <c r="C23" t="str">
        <v>Patch: revert to net6.0-windows — neither ExcelDna 1.9.0 nor 1.10-preview4 reliably hosted .NET 8 in Excel. Keeps int? from 1.9; net6 path is known-good.</v>
      </c>
    </row>
    <row r="24" spans="1:3" x14ac:dyDescent="0.25">
      <c r="A24" t="str">
        <v>v0.5.2</v>
      </c>
      <c r="B24" t="str">
        <v>2026-05-04</v>
      </c>
      <c r="C24" t="str">
        <v>Patch: tried ExcelDna.AddIn 1.10-preview4 to fix .NET 8 hosting (didn't work).</v>
      </c>
    </row>
    <row r="25" spans="1:3" x14ac:dyDescent="0.25">
      <c r="A25" t="str">
        <v>v0.5.1</v>
      </c>
      <c r="B25" t="str">
        <v>2026-05-03</v>
      </c>
      <c r="C25" t="str">
        <v>Patch: drop legacy RuntimeVersion="v4.0" from .dna manifest (necessary but not sufficient — see v0.5.2).</v>
      </c>
    </row>
    <row r="26" spans="1:3" x14ac:dyDescent="0.25">
      <c r="A26" t="str">
        <v>v0.5.0</v>
      </c>
      <c r="B26" t="str">
        <v>2026-05-03</v>
      </c>
      <c r="C26" t="str">
        <v>Numerical fixes (LAYER_RATE, ILF_PARETO with xm, SWISSRE→Bernegger, AGGREGATE_TVAR); ExcelDna 1.9 + net8.0-windows; nullable seed; copula error handling.</v>
      </c>
    </row>
    <row r="27" spans="1:3" x14ac:dyDescent="0.25">
      <c r="A27" t="str">
        <v>v0.4.0</v>
      </c>
      <c r="B27" t="str">
        <v>2026-05-02</v>
      </c>
      <c r="C27" t="str">
        <v>GLM hat matrix bootstrap; Aggregate Claims formula fix; broader disclaimers.</v>
      </c>
    </row>
    <row r="28" spans="1:3" x14ac:dyDescent="0.25">
      <c r="A28" t="str">
        <v>v0.3.1</v>
      </c>
      <c r="B28" t="str">
        <v>2026-02-21</v>
      </c>
      <c r="C28" t="str">
        <v>Aggregate Claims tab; spreadsheet rebuilt as .xlsx with full coverage.</v>
      </c>
    </row>
    <row r="29" spans="1:3" x14ac:dyDescent="0.25">
      <c r="A29" t="str">
        <v>v0.3.0</v>
      </c>
      <c r="B29" t="str">
        <v>2026-02-21</v>
      </c>
      <c r="C29" t="str">
        <v>Enhanced ODP Bootstrap (E&amp;V 2002); Cape Cod method; credibility removed.</v>
      </c>
    </row>
    <row r="30" spans="1:3" x14ac:dyDescent="0.25">
      <c r="A30" t="str">
        <v>v0.2.0</v>
      </c>
      <c r="B30" t="str">
        <v>2026-02-04</v>
      </c>
      <c r="C30" t="str">
        <v>Panjer recursion; ZT/ZM distributions; Pareto III/IV; Inverse Gaussian; Loglogistic; cat modelling.</v>
      </c>
    </row>
    <row r="31" spans="1:3" x14ac:dyDescent="0.25">
      <c r="A31" t="str">
        <v>v0.1.0</v>
      </c>
      <c r="B31" t="str">
        <v>2026-01-31</v>
      </c>
      <c r="C31" t="str">
        <v>Initial tagged release: distributions, LEV, chain ladder, Mack, exposure curves.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7"/>
  <sheetViews>
    <sheetView workbookViewId="0"/>
  </sheetViews>
  <sheetFormatPr defaultRowHeight="15" x14ac:dyDescent="0.25"/>
  <cols>
    <col min="1" max="1" width="35" customWidth="1"/>
    <col min="2" max="2" width="100" customWidth="1"/>
    <col min="3" max="3" width="30" customWidth="1"/>
  </cols>
  <sheetData>
    <row r="1" spans="1:3" ht="18.75" x14ac:dyDescent="0.3">
      <c r="A1" s="1" t="s">
        <v>11</v>
      </c>
    </row>
    <row r="3" spans="1:3" x14ac:dyDescent="0.25">
      <c r="A3" s="2" t="s">
        <v>12</v>
      </c>
    </row>
    <row r="5" spans="1:3" x14ac:dyDescent="0.25">
      <c r="A5" s="4" t="s">
        <v>13</v>
      </c>
    </row>
    <row r="6" spans="1:3" x14ac:dyDescent="0.25">
      <c r="A6" t="s">
        <v>14</v>
      </c>
      <c r="B6">
        <f>_xll.ACT_DIST_POISSON_PDF(3, 5)</f>
        <v>0.1403738958142805</v>
      </c>
      <c r="C6" t="s">
        <v>15</v>
      </c>
    </row>
    <row r="7" spans="1:3" x14ac:dyDescent="0.25">
      <c r="A7" t="s">
        <v>16</v>
      </c>
      <c r="B7">
        <f>_xll.ACT_DIST_POISSON_CDF(3, 5)</f>
        <v>0.26502591529736219</v>
      </c>
      <c r="C7" t="s">
        <v>17</v>
      </c>
    </row>
    <row r="8" spans="1:3" x14ac:dyDescent="0.25">
      <c r="A8" t="s">
        <v>18</v>
      </c>
      <c r="B8">
        <f>_xll.ACT_DIST_POISSON_INV(0.5, 5)</f>
        <v>5</v>
      </c>
      <c r="C8" t="s">
        <v>19</v>
      </c>
    </row>
    <row r="9" spans="1:3" x14ac:dyDescent="0.25">
      <c r="A9" t="s">
        <v>20</v>
      </c>
      <c r="B9" cm="1">
        <f t="array" ref="B9">_xll.ACT_DIST_POISSON_FIT({1,2,3,4,5,6,7})</f>
        <v>4</v>
      </c>
      <c r="C9" t="s">
        <v>21</v>
      </c>
    </row>
    <row r="11" spans="1:3" x14ac:dyDescent="0.25">
      <c r="A11" s="4" t="s">
        <v>22</v>
      </c>
    </row>
    <row r="12" spans="1:3" x14ac:dyDescent="0.25">
      <c r="A12" t="s">
        <v>23</v>
      </c>
      <c r="B12">
        <f>_xll.ACT_DIST_NEGBIN_PDF(5, 5, 0.3)</f>
        <v>5.1459672600000235E-2</v>
      </c>
      <c r="C12" t="s">
        <v>24</v>
      </c>
    </row>
    <row r="13" spans="1:3" x14ac:dyDescent="0.25">
      <c r="A13" t="s">
        <v>25</v>
      </c>
      <c r="B13">
        <f>_xll.ACT_DIST_NEGBIN_CDF(5, 5, 0.3)</f>
        <v>0.1502683326000005</v>
      </c>
      <c r="C13" t="s">
        <v>26</v>
      </c>
    </row>
    <row r="14" spans="1:3" x14ac:dyDescent="0.25">
      <c r="A14" t="s">
        <v>27</v>
      </c>
      <c r="B14">
        <f>_xll.ACT_DIST_NEGBIN_INV(0.5, 5, 0.3)</f>
        <v>11</v>
      </c>
      <c r="C14" t="s">
        <v>19</v>
      </c>
    </row>
    <row r="15" spans="1:3" x14ac:dyDescent="0.25">
      <c r="A15" t="s">
        <v>28</v>
      </c>
      <c r="B15" cm="1">
        <f t="array" ref="B15:B16">TRANSPOSE(_xll.ACT_DIST_NEGBIN_FIT({1,2,3,4,5,6,7,8,9,10}))</f>
        <v>8.2500000000000018</v>
      </c>
      <c r="C15" t="s">
        <v>29</v>
      </c>
    </row>
    <row r="16" spans="1:3" x14ac:dyDescent="0.25">
      <c r="B16">
        <v>0.60000000000000009</v>
      </c>
      <c r="C16" t="s">
        <v>30</v>
      </c>
    </row>
    <row r="18" spans="1:3" x14ac:dyDescent="0.25">
      <c r="A18" s="2" t="s">
        <v>31</v>
      </c>
    </row>
    <row r="20" spans="1:3" x14ac:dyDescent="0.25">
      <c r="A20" s="4" t="s">
        <v>32</v>
      </c>
    </row>
    <row r="21" spans="1:3" x14ac:dyDescent="0.25">
      <c r="A21" t="s">
        <v>33</v>
      </c>
      <c r="B21">
        <f>_xll.ACT_DIST_ZTPOISSON_PDF(2, 3)</f>
        <v>0.23578063421065179</v>
      </c>
      <c r="C21" t="s">
        <v>34</v>
      </c>
    </row>
    <row r="22" spans="1:3" x14ac:dyDescent="0.25">
      <c r="A22" t="s">
        <v>35</v>
      </c>
      <c r="B22">
        <f>_xll.ACT_DIST_ZTPOISSON_CDF(2, 3)</f>
        <v>0.39296772368442162</v>
      </c>
      <c r="C22" t="s">
        <v>36</v>
      </c>
    </row>
    <row r="23" spans="1:3" x14ac:dyDescent="0.25">
      <c r="A23" t="s">
        <v>37</v>
      </c>
      <c r="B23">
        <f>_xll.ACT_DIST_ZTPOISSON_INV(0.5, 3)</f>
        <v>3</v>
      </c>
      <c r="C23" t="s">
        <v>19</v>
      </c>
    </row>
    <row r="24" spans="1:3" x14ac:dyDescent="0.25">
      <c r="A24" t="s">
        <v>38</v>
      </c>
      <c r="B24">
        <f>_xll.ACT_DIST_ZTPOISSON_MEAN(3)</f>
        <v>3.1571870894737679</v>
      </c>
      <c r="C24" t="s">
        <v>39</v>
      </c>
    </row>
    <row r="26" spans="1:3" x14ac:dyDescent="0.25">
      <c r="A26" s="4" t="s">
        <v>40</v>
      </c>
    </row>
    <row r="27" spans="1:3" x14ac:dyDescent="0.25">
      <c r="A27" t="s">
        <v>41</v>
      </c>
      <c r="B27">
        <f>_xll.ACT_DIST_ZTNEGBIN_PDF(3, 5, 0.3)</f>
        <v>2.9243211002735654E-2</v>
      </c>
      <c r="C27" t="s">
        <v>42</v>
      </c>
    </row>
    <row r="28" spans="1:3" x14ac:dyDescent="0.25">
      <c r="A28" t="s">
        <v>43</v>
      </c>
      <c r="B28">
        <f>_xll.ACT_DIST_ZTNEGBIN_CDF(3, 5, 0.3)</f>
        <v>5.5672935232616183E-2</v>
      </c>
      <c r="C28" t="s">
        <v>44</v>
      </c>
    </row>
    <row r="29" spans="1:3" x14ac:dyDescent="0.25">
      <c r="A29" t="s">
        <v>45</v>
      </c>
      <c r="B29">
        <f>_xll.ACT_DIST_ZTNEGBIN_INV(0.5, 5, 0.3)</f>
        <v>11</v>
      </c>
      <c r="C29" t="s">
        <v>19</v>
      </c>
    </row>
    <row r="30" spans="1:3" x14ac:dyDescent="0.25">
      <c r="A30" t="s">
        <v>46</v>
      </c>
      <c r="B30">
        <f>_xll.ACT_DIST_ZTNEGBIN_MEAN(5, 0.3)</f>
        <v>11.695085724978366</v>
      </c>
      <c r="C30" t="s">
        <v>39</v>
      </c>
    </row>
    <row r="32" spans="1:3" x14ac:dyDescent="0.25">
      <c r="A32" s="4" t="s">
        <v>47</v>
      </c>
    </row>
    <row r="33" spans="1:3" x14ac:dyDescent="0.25">
      <c r="A33" t="s">
        <v>48</v>
      </c>
      <c r="B33">
        <f>_xll.ACT_DIST_ZTBINOM_PDF(3, 10, 0.3)</f>
        <v>0.27458425765526495</v>
      </c>
      <c r="C33" t="s">
        <v>42</v>
      </c>
    </row>
    <row r="34" spans="1:3" x14ac:dyDescent="0.25">
      <c r="A34" t="s">
        <v>49</v>
      </c>
      <c r="B34">
        <f>_xll.ACT_DIST_ZTBINOM_CDF(3, 10, 0.3)</f>
        <v>0.63942537778054698</v>
      </c>
      <c r="C34" t="s">
        <v>44</v>
      </c>
    </row>
    <row r="35" spans="1:3" x14ac:dyDescent="0.25">
      <c r="A35" t="s">
        <v>50</v>
      </c>
      <c r="B35">
        <f>_xll.ACT_DIST_ZTBINOM_INV(0.5, 10, 0.3)</f>
        <v>3</v>
      </c>
      <c r="C35" t="s">
        <v>19</v>
      </c>
    </row>
    <row r="36" spans="1:3" x14ac:dyDescent="0.25">
      <c r="A36" t="s">
        <v>51</v>
      </c>
      <c r="B36">
        <f>_xll.ACT_DIST_ZTBINOM_MEAN(10, 0.3)</f>
        <v>3.0872059262738478</v>
      </c>
      <c r="C36" t="s">
        <v>39</v>
      </c>
    </row>
    <row r="38" spans="1:3" x14ac:dyDescent="0.25">
      <c r="A38" s="4" t="s">
        <v>52</v>
      </c>
    </row>
    <row r="39" spans="1:3" x14ac:dyDescent="0.25">
      <c r="A39" t="s">
        <v>53</v>
      </c>
      <c r="B39">
        <f>_xll.ACT_DIST_ZTGEOM_PDF(2, 0.3)</f>
        <v>0.21</v>
      </c>
      <c r="C39" t="s">
        <v>34</v>
      </c>
    </row>
    <row r="40" spans="1:3" x14ac:dyDescent="0.25">
      <c r="A40" t="s">
        <v>54</v>
      </c>
      <c r="B40">
        <f>_xll.ACT_DIST_ZTGEOM_CDF(2, 0.3)</f>
        <v>0.51</v>
      </c>
      <c r="C40" t="s">
        <v>36</v>
      </c>
    </row>
    <row r="41" spans="1:3" x14ac:dyDescent="0.25">
      <c r="A41" t="s">
        <v>55</v>
      </c>
      <c r="B41">
        <f>_xll.ACT_DIST_ZTGEOM_INV(0.5, 0.3)</f>
        <v>2</v>
      </c>
      <c r="C41" t="s">
        <v>19</v>
      </c>
    </row>
    <row r="42" spans="1:3" x14ac:dyDescent="0.25">
      <c r="A42" t="s">
        <v>56</v>
      </c>
      <c r="B42">
        <f>_xll.ACT_DIST_ZTGEOM_MEAN(0.3)</f>
        <v>3.3333333333333335</v>
      </c>
      <c r="C42" t="s">
        <v>39</v>
      </c>
    </row>
    <row r="44" spans="1:3" x14ac:dyDescent="0.25">
      <c r="A44" s="2" t="s">
        <v>57</v>
      </c>
    </row>
    <row r="46" spans="1:3" x14ac:dyDescent="0.25">
      <c r="A46" s="4" t="s">
        <v>58</v>
      </c>
    </row>
    <row r="47" spans="1:3" x14ac:dyDescent="0.25">
      <c r="A47" t="s">
        <v>59</v>
      </c>
      <c r="B47">
        <f>_xll.ACT_DIST_ZMPOISSON_PDF(2, 3, 0.2)</f>
        <v>0.17923344612431022</v>
      </c>
      <c r="C47" t="s">
        <v>60</v>
      </c>
    </row>
    <row r="48" spans="1:3" x14ac:dyDescent="0.25">
      <c r="A48" t="s">
        <v>61</v>
      </c>
      <c r="B48">
        <f>_xll.ACT_DIST_ZMPOISSON_CDF(2, 3, 0.2)</f>
        <v>0.53855206490147634</v>
      </c>
      <c r="C48" t="s">
        <v>62</v>
      </c>
    </row>
    <row r="49" spans="1:3" x14ac:dyDescent="0.25">
      <c r="A49" t="s">
        <v>63</v>
      </c>
      <c r="B49">
        <f>_xll.ACT_DIST_ZMPOISSON_INV(0.5, 3, 0.2)</f>
        <v>2</v>
      </c>
      <c r="C49" t="s">
        <v>19</v>
      </c>
    </row>
    <row r="50" spans="1:3" x14ac:dyDescent="0.25">
      <c r="A50" t="s">
        <v>64</v>
      </c>
      <c r="B50">
        <f>_xll.ACT_DIST_ZMPOISSON_MEAN(3, 0.2)</f>
        <v>2.4000000000000004</v>
      </c>
      <c r="C50" t="s">
        <v>65</v>
      </c>
    </row>
    <row r="51" spans="1:3" x14ac:dyDescent="0.25">
      <c r="A51" t="s">
        <v>66</v>
      </c>
      <c r="B51">
        <f>_xll.ACT_DIST_ZMPOISSON_VAR(3, 0.2)</f>
        <v>3.8400000000000007</v>
      </c>
      <c r="C51" t="s">
        <v>67</v>
      </c>
    </row>
    <row r="53" spans="1:3" x14ac:dyDescent="0.25">
      <c r="A53" s="4" t="s">
        <v>68</v>
      </c>
    </row>
    <row r="54" spans="1:3" x14ac:dyDescent="0.25">
      <c r="A54" t="s">
        <v>69</v>
      </c>
      <c r="B54">
        <f>_xll.ACT_DIST_ZMNEGBIN_PDF(3, 5, 0.3, 0.2)</f>
        <v>2.3337719999999205E-2</v>
      </c>
      <c r="C54" t="s">
        <v>70</v>
      </c>
    </row>
    <row r="55" spans="1:3" x14ac:dyDescent="0.25">
      <c r="A55" t="s">
        <v>71</v>
      </c>
      <c r="B55">
        <f>_xll.ACT_DIST_ZMNEGBIN_CDF(3, 5, 0.3, 0.2)</f>
        <v>0.24637412000000075</v>
      </c>
      <c r="C55" t="s">
        <v>17</v>
      </c>
    </row>
    <row r="56" spans="1:3" x14ac:dyDescent="0.25">
      <c r="A56" t="s">
        <v>72</v>
      </c>
      <c r="B56">
        <f>_xll.ACT_DIST_ZMNEGBIN_INV(0.5, 5, 0.3, 0.2)</f>
        <v>9</v>
      </c>
      <c r="C56" t="s">
        <v>19</v>
      </c>
    </row>
    <row r="57" spans="1:3" x14ac:dyDescent="0.25">
      <c r="A57" t="s">
        <v>73</v>
      </c>
      <c r="B57">
        <f>_xll.ACT_DIST_ZMNEGBIN_MEAN(5, 0.3, 0.2)</f>
        <v>9.3333333333333339</v>
      </c>
      <c r="C57" t="s">
        <v>65</v>
      </c>
    </row>
    <row r="58" spans="1:3" x14ac:dyDescent="0.25">
      <c r="A58" t="s">
        <v>74</v>
      </c>
      <c r="B58">
        <f>_xll.ACT_DIST_ZMNEGBIN_VAR(5, 0.3, 0.2)</f>
        <v>52.888888888888893</v>
      </c>
      <c r="C58" t="s">
        <v>67</v>
      </c>
    </row>
    <row r="60" spans="1:3" x14ac:dyDescent="0.25">
      <c r="A60" s="2" t="s">
        <v>75</v>
      </c>
    </row>
    <row r="62" spans="1:3" x14ac:dyDescent="0.25">
      <c r="A62" s="4" t="s">
        <v>76</v>
      </c>
    </row>
    <row r="63" spans="1:3" x14ac:dyDescent="0.25">
      <c r="A63" t="s">
        <v>77</v>
      </c>
      <c r="B63">
        <f>_xll.ACT_DIST_LOGNORM_PDF(1, 0, 1)</f>
        <v>0.39894228040143265</v>
      </c>
      <c r="C63" t="s">
        <v>78</v>
      </c>
    </row>
    <row r="64" spans="1:3" x14ac:dyDescent="0.25">
      <c r="A64" t="s">
        <v>79</v>
      </c>
      <c r="B64">
        <f>_xll.ACT_DIST_LOGNORM_CDF(1, 0, 1)</f>
        <v>0.5</v>
      </c>
      <c r="C64" t="s">
        <v>80</v>
      </c>
    </row>
    <row r="65" spans="1:3" x14ac:dyDescent="0.25">
      <c r="A65" t="s">
        <v>81</v>
      </c>
      <c r="B65">
        <f>_xll.ACT_DIST_LOGNORM_INV(0.5, 0, 1)</f>
        <v>1</v>
      </c>
      <c r="C65" t="s">
        <v>82</v>
      </c>
    </row>
    <row r="66" spans="1:3" x14ac:dyDescent="0.25">
      <c r="A66" t="s">
        <v>83</v>
      </c>
      <c r="B66" cm="1">
        <f t="array" ref="B66:B67">TRANSPOSE(_xll.ACT_DIST_LOGNORM_FIT({1,2,3,4,5}))</f>
        <v>0.95749834855640914</v>
      </c>
      <c r="C66" t="s">
        <v>84</v>
      </c>
    </row>
    <row r="67" spans="1:3" x14ac:dyDescent="0.25">
      <c r="B67">
        <v>0.63550943874630406</v>
      </c>
      <c r="C67" t="s">
        <v>85</v>
      </c>
    </row>
    <row r="69" spans="1:3" x14ac:dyDescent="0.25">
      <c r="A69" s="4" t="s">
        <v>86</v>
      </c>
    </row>
    <row r="70" spans="1:3" x14ac:dyDescent="0.25">
      <c r="A70" t="s">
        <v>87</v>
      </c>
      <c r="B70">
        <f>_xll.ACT_DIST_GAMMA_PDF(1, 2, 1)</f>
        <v>0.36787944117144233</v>
      </c>
      <c r="C70" t="s">
        <v>78</v>
      </c>
    </row>
    <row r="71" spans="1:3" x14ac:dyDescent="0.25">
      <c r="A71" t="s">
        <v>88</v>
      </c>
      <c r="B71">
        <f>_xll.ACT_DIST_GAMMA_CDF(1, 2, 1)</f>
        <v>0.26424111765711528</v>
      </c>
      <c r="C71" t="s">
        <v>80</v>
      </c>
    </row>
    <row r="72" spans="1:3" x14ac:dyDescent="0.25">
      <c r="A72" t="s">
        <v>89</v>
      </c>
      <c r="B72">
        <f>_xll.ACT_DIST_GAMMA_INV(0.5, 2, 1)</f>
        <v>1.6783469900166605</v>
      </c>
      <c r="C72" t="s">
        <v>19</v>
      </c>
    </row>
    <row r="73" spans="1:3" x14ac:dyDescent="0.25">
      <c r="A73" t="s">
        <v>90</v>
      </c>
      <c r="B73" cm="1">
        <f t="array" ref="B73:B74">TRANSPOSE(_xll.ACT_DIST_GAMMA_FIT({1,2,3,4,5}))</f>
        <v>3.5999999999999996</v>
      </c>
      <c r="C73" t="s">
        <v>91</v>
      </c>
    </row>
    <row r="74" spans="1:3" x14ac:dyDescent="0.25">
      <c r="B74">
        <v>1.2</v>
      </c>
      <c r="C74" t="s">
        <v>92</v>
      </c>
    </row>
    <row r="76" spans="1:3" x14ac:dyDescent="0.25">
      <c r="A76" s="4" t="s">
        <v>93</v>
      </c>
    </row>
    <row r="77" spans="1:3" x14ac:dyDescent="0.25">
      <c r="A77" t="s">
        <v>94</v>
      </c>
      <c r="B77">
        <f>_xll.ACT_DIST_PARETO_PDF(2, 2, 1)</f>
        <v>0.25</v>
      </c>
      <c r="C77" t="s">
        <v>95</v>
      </c>
    </row>
    <row r="78" spans="1:3" x14ac:dyDescent="0.25">
      <c r="A78" t="s">
        <v>96</v>
      </c>
      <c r="B78">
        <f>_xll.ACT_DIST_PARETO_CDF(2, 2, 1)</f>
        <v>0.75</v>
      </c>
      <c r="C78" t="s">
        <v>97</v>
      </c>
    </row>
    <row r="79" spans="1:3" x14ac:dyDescent="0.25">
      <c r="A79" t="s">
        <v>98</v>
      </c>
      <c r="B79">
        <f>_xll.ACT_DIST_PARETO_INV(0.5, 2, 1)</f>
        <v>1.4142135623730951</v>
      </c>
      <c r="C79" t="s">
        <v>19</v>
      </c>
    </row>
    <row r="80" spans="1:3" x14ac:dyDescent="0.25">
      <c r="A80" t="s">
        <v>99</v>
      </c>
      <c r="B80" cm="1">
        <f t="array" ref="B80:B81">TRANSPOSE(_xll.ACT_DIST_PARETO_FIT({1.5,2,2.5,3,4,5}, 1))</f>
        <v>0.98211766976467296</v>
      </c>
      <c r="C80" t="s">
        <v>100</v>
      </c>
    </row>
    <row r="81" spans="1:3" x14ac:dyDescent="0.25">
      <c r="B81">
        <v>1</v>
      </c>
      <c r="C81" t="s">
        <v>101</v>
      </c>
    </row>
    <row r="83" spans="1:3" x14ac:dyDescent="0.25">
      <c r="A83" s="4" t="s">
        <v>102</v>
      </c>
    </row>
    <row r="84" spans="1:3" x14ac:dyDescent="0.25">
      <c r="A84" t="s">
        <v>103</v>
      </c>
      <c r="B84">
        <f>_xll.ACT_DIST_WEIBULL_PDF(0.5, 2, 1)</f>
        <v>0.77880078307140488</v>
      </c>
      <c r="C84" t="s">
        <v>104</v>
      </c>
    </row>
    <row r="85" spans="1:3" x14ac:dyDescent="0.25">
      <c r="A85" t="s">
        <v>105</v>
      </c>
      <c r="B85">
        <f>_xll.ACT_DIST_WEIBULL_CDF(0.5, 2, 1)</f>
        <v>0.22119921692859512</v>
      </c>
      <c r="C85" t="s">
        <v>106</v>
      </c>
    </row>
    <row r="86" spans="1:3" x14ac:dyDescent="0.25">
      <c r="A86" t="s">
        <v>107</v>
      </c>
      <c r="B86">
        <f>_xll.ACT_DIST_WEIBULL_INV(0.5, 2, 1)</f>
        <v>0.83255461115769769</v>
      </c>
      <c r="C86" t="s">
        <v>19</v>
      </c>
    </row>
    <row r="87" spans="1:3" x14ac:dyDescent="0.25">
      <c r="A87" t="s">
        <v>108</v>
      </c>
      <c r="B87" cm="1">
        <f t="array" ref="B87:B88">TRANSPOSE(_xll.ACT_DIST_WEIBULL_FIT({0.5,1,1.5,2,2.5}))</f>
        <v>1.9817850145759779</v>
      </c>
      <c r="C87" t="s">
        <v>109</v>
      </c>
    </row>
    <row r="88" spans="1:3" x14ac:dyDescent="0.25">
      <c r="B88">
        <v>1.6922682595881258</v>
      </c>
      <c r="C88" t="s">
        <v>110</v>
      </c>
    </row>
    <row r="90" spans="1:3" x14ac:dyDescent="0.25">
      <c r="A90" s="4" t="s">
        <v>111</v>
      </c>
    </row>
    <row r="91" spans="1:3" x14ac:dyDescent="0.25">
      <c r="A91" t="s">
        <v>112</v>
      </c>
      <c r="B91">
        <f>_xll.ACT_DIST_BETA_PDF(0.3, 2, 5)</f>
        <v>2.1608999999999954</v>
      </c>
      <c r="C91" t="s">
        <v>113</v>
      </c>
    </row>
    <row r="92" spans="1:3" x14ac:dyDescent="0.25">
      <c r="A92" t="s">
        <v>114</v>
      </c>
      <c r="B92">
        <f>_xll.ACT_DIST_BETA_CDF(0.3, 2, 5)</f>
        <v>0.57982499999999859</v>
      </c>
      <c r="C92" t="s">
        <v>115</v>
      </c>
    </row>
    <row r="93" spans="1:3" x14ac:dyDescent="0.25">
      <c r="A93" t="s">
        <v>116</v>
      </c>
      <c r="B93">
        <f>_xll.ACT_DIST_BETA_INV(0.5, 2, 5)</f>
        <v>0.26444998329566033</v>
      </c>
      <c r="C93" t="s">
        <v>19</v>
      </c>
    </row>
    <row r="94" spans="1:3" x14ac:dyDescent="0.25">
      <c r="A94" t="s">
        <v>117</v>
      </c>
      <c r="B94" cm="1">
        <f t="array" ref="B94:B95">TRANSPOSE(_xll.ACT_DIST_BETA_FIT({0.1,0.2,0.3,0.4}))</f>
        <v>2.5625</v>
      </c>
      <c r="C94" t="s">
        <v>100</v>
      </c>
    </row>
    <row r="95" spans="1:3" x14ac:dyDescent="0.25">
      <c r="B95">
        <v>7.6875</v>
      </c>
      <c r="C95" t="s">
        <v>118</v>
      </c>
    </row>
    <row r="97" spans="1:3" x14ac:dyDescent="0.25">
      <c r="A97" s="4" t="s">
        <v>119</v>
      </c>
    </row>
    <row r="98" spans="1:3" x14ac:dyDescent="0.25">
      <c r="A98" t="s">
        <v>120</v>
      </c>
      <c r="B98">
        <f>_xll.ACT_DIST_EXP_PDF(1, 0.5)</f>
        <v>0.30326532985631671</v>
      </c>
      <c r="C98" t="s">
        <v>78</v>
      </c>
    </row>
    <row r="99" spans="1:3" x14ac:dyDescent="0.25">
      <c r="A99" t="s">
        <v>121</v>
      </c>
      <c r="B99">
        <f>_xll.ACT_DIST_EXP_CDF(1, 0.5)</f>
        <v>0.39346934028736658</v>
      </c>
      <c r="C99" t="s">
        <v>80</v>
      </c>
    </row>
    <row r="100" spans="1:3" x14ac:dyDescent="0.25">
      <c r="A100" t="s">
        <v>122</v>
      </c>
      <c r="B100">
        <f>_xll.ACT_DIST_EXP_INV(0.5, 0.5)</f>
        <v>1.3862943611198906</v>
      </c>
      <c r="C100" t="s">
        <v>19</v>
      </c>
    </row>
    <row r="101" spans="1:3" x14ac:dyDescent="0.25">
      <c r="A101" t="s">
        <v>123</v>
      </c>
      <c r="B101" cm="1">
        <f t="array" ref="B101">_xll.ACT_DIST_EXP_FIT({1,2,3,4,5})</f>
        <v>0.33333333333333331</v>
      </c>
      <c r="C101" t="s">
        <v>21</v>
      </c>
    </row>
    <row r="103" spans="1:3" x14ac:dyDescent="0.25">
      <c r="A103" s="4" t="s">
        <v>124</v>
      </c>
    </row>
    <row r="104" spans="1:3" x14ac:dyDescent="0.25">
      <c r="A104" t="s">
        <v>125</v>
      </c>
      <c r="B104">
        <f>_xll.ACT_DIST_GPD_PDF(1, 0.5, 1)</f>
        <v>0.29629629629629628</v>
      </c>
      <c r="C104" t="s">
        <v>78</v>
      </c>
    </row>
    <row r="105" spans="1:3" x14ac:dyDescent="0.25">
      <c r="A105" t="s">
        <v>126</v>
      </c>
      <c r="B105">
        <f>_xll.ACT_DIST_GPD_CDF(1, 0.5, 1)</f>
        <v>0.55555555555555558</v>
      </c>
      <c r="C105" t="s">
        <v>80</v>
      </c>
    </row>
    <row r="106" spans="1:3" x14ac:dyDescent="0.25">
      <c r="A106" t="s">
        <v>127</v>
      </c>
      <c r="B106">
        <f>_xll.ACT_DIST_GPD_INV(0.5, 0.5, 1)</f>
        <v>0.82842712474619029</v>
      </c>
      <c r="C106" t="s">
        <v>19</v>
      </c>
    </row>
    <row r="107" spans="1:3" x14ac:dyDescent="0.25">
      <c r="A107" t="s">
        <v>128</v>
      </c>
      <c r="B107" cm="1">
        <f t="array" ref="B107:B108">TRANSPOSE(_xll.ACT_DIST_GPD_FIT({1,2,3,4,5,6,7,8,9,10,12,15}))</f>
        <v>-0.79069767441860339</v>
      </c>
      <c r="C107" t="s">
        <v>129</v>
      </c>
    </row>
    <row r="108" spans="1:3" x14ac:dyDescent="0.25">
      <c r="B108">
        <v>12.236434108527124</v>
      </c>
      <c r="C108" t="s">
        <v>130</v>
      </c>
    </row>
    <row r="110" spans="1:3" x14ac:dyDescent="0.25">
      <c r="A110" s="4" t="s">
        <v>131</v>
      </c>
    </row>
    <row r="111" spans="1:3" x14ac:dyDescent="0.25">
      <c r="A111" t="s">
        <v>132</v>
      </c>
      <c r="B111">
        <f>_xll.ACT_DIST_BURR_PDF(1, 2, 3, 1)</f>
        <v>0.375</v>
      </c>
      <c r="C111" t="s">
        <v>78</v>
      </c>
    </row>
    <row r="112" spans="1:3" x14ac:dyDescent="0.25">
      <c r="A112" t="s">
        <v>133</v>
      </c>
      <c r="B112">
        <f>_xll.ACT_DIST_BURR_CDF(1, 2, 3, 1)</f>
        <v>0.875</v>
      </c>
      <c r="C112" t="s">
        <v>80</v>
      </c>
    </row>
    <row r="113" spans="1:3" x14ac:dyDescent="0.25">
      <c r="A113" t="s">
        <v>134</v>
      </c>
      <c r="B113">
        <f>_xll.ACT_DIST_BURR_INV(0.5, 2, 3, 1)</f>
        <v>0.50982452853395865</v>
      </c>
      <c r="C113" t="s">
        <v>19</v>
      </c>
    </row>
    <row r="114" spans="1:3" x14ac:dyDescent="0.25">
      <c r="A114" t="s">
        <v>135</v>
      </c>
      <c r="B114" cm="1">
        <f t="array" ref="B114:B116">TRANSPOSE(_xll.ACT_DIST_BURR_FIT({0.5,1,1.5,2,3}))</f>
        <v>3</v>
      </c>
      <c r="C114" t="s">
        <v>136</v>
      </c>
    </row>
    <row r="115" spans="1:3" x14ac:dyDescent="0.25">
      <c r="B115">
        <v>3</v>
      </c>
      <c r="C115" t="s">
        <v>137</v>
      </c>
    </row>
    <row r="116" spans="1:3" x14ac:dyDescent="0.25">
      <c r="B116">
        <v>2.3817408282221408</v>
      </c>
      <c r="C116" t="s">
        <v>21</v>
      </c>
    </row>
    <row r="118" spans="1:3" x14ac:dyDescent="0.25">
      <c r="A118" s="4" t="s">
        <v>138</v>
      </c>
    </row>
    <row r="119" spans="1:3" x14ac:dyDescent="0.25">
      <c r="A119" t="s">
        <v>139</v>
      </c>
      <c r="B119">
        <f>_xll.ACT_DIST_NORMAL_PDF(0, 0, 1)</f>
        <v>0.39894228040143265</v>
      </c>
      <c r="C119" t="s">
        <v>140</v>
      </c>
    </row>
    <row r="120" spans="1:3" x14ac:dyDescent="0.25">
      <c r="A120" t="s">
        <v>141</v>
      </c>
      <c r="B120">
        <f>_xll.ACT_DIST_NORMAL_CDF(0, 0, 1)</f>
        <v>0.5</v>
      </c>
      <c r="C120" t="s">
        <v>142</v>
      </c>
    </row>
    <row r="121" spans="1:3" x14ac:dyDescent="0.25">
      <c r="A121" t="s">
        <v>143</v>
      </c>
      <c r="B121">
        <f>_xll.ACT_DIST_NORMAL_INV(0.975, 0, 1)</f>
        <v>1.9599639845400538</v>
      </c>
      <c r="C121" t="s">
        <v>144</v>
      </c>
    </row>
    <row r="123" spans="1:3" x14ac:dyDescent="0.25">
      <c r="A123" s="4" t="s">
        <v>145</v>
      </c>
    </row>
    <row r="124" spans="1:3" x14ac:dyDescent="0.25">
      <c r="A124" t="s">
        <v>146</v>
      </c>
      <c r="B124">
        <f>_xll.ACT_DIST_INVGAUSS_PDF(1, 1, 2)</f>
        <v>0.56418958354775628</v>
      </c>
      <c r="C124" t="s">
        <v>78</v>
      </c>
    </row>
    <row r="125" spans="1:3" x14ac:dyDescent="0.25">
      <c r="A125" t="s">
        <v>147</v>
      </c>
      <c r="B125">
        <f>_xll.ACT_DIST_INVGAUSS_CDF(1, 1, 2)</f>
        <v>0.62769783815525282</v>
      </c>
      <c r="C125" t="s">
        <v>80</v>
      </c>
    </row>
    <row r="126" spans="1:3" x14ac:dyDescent="0.25">
      <c r="A126" t="s">
        <v>148</v>
      </c>
      <c r="B126">
        <f>_xll.ACT_DIST_INVGAUSS_INV(0.5, 1, 2)</f>
        <v>0.80433904129600164</v>
      </c>
      <c r="C126" t="s">
        <v>19</v>
      </c>
    </row>
    <row r="128" spans="1:3" x14ac:dyDescent="0.25">
      <c r="A128" s="4" t="s">
        <v>149</v>
      </c>
    </row>
    <row r="129" spans="1:3" x14ac:dyDescent="0.25">
      <c r="A129" t="s">
        <v>150</v>
      </c>
      <c r="B129">
        <f>_xll.ACT_DIST_LOGLOGISTIC_PDF(1, 2, 1)</f>
        <v>0.22222222222222221</v>
      </c>
      <c r="C129" t="s">
        <v>78</v>
      </c>
    </row>
    <row r="130" spans="1:3" x14ac:dyDescent="0.25">
      <c r="A130" t="s">
        <v>151</v>
      </c>
      <c r="B130">
        <f>_xll.ACT_DIST_LOGLOGISTIC_CDF(1, 2, 1)</f>
        <v>0.33333333333333331</v>
      </c>
      <c r="C130" t="s">
        <v>80</v>
      </c>
    </row>
    <row r="131" spans="1:3" x14ac:dyDescent="0.25">
      <c r="A131" t="s">
        <v>152</v>
      </c>
      <c r="B131">
        <f>_xll.ACT_DIST_LOGLOGISTIC_INV(0.5, 2, 1)</f>
        <v>2</v>
      </c>
      <c r="C131" t="s">
        <v>19</v>
      </c>
    </row>
    <row r="133" spans="1:3" x14ac:dyDescent="0.25">
      <c r="A133" s="4" t="s">
        <v>153</v>
      </c>
    </row>
    <row r="134" spans="1:3" x14ac:dyDescent="0.25">
      <c r="A134" t="s">
        <v>154</v>
      </c>
      <c r="B134">
        <f>_xll.ACT_DIST_LOMAX_PDF(1, 2, 1)</f>
        <v>0.25</v>
      </c>
      <c r="C134" t="s">
        <v>78</v>
      </c>
    </row>
    <row r="135" spans="1:3" x14ac:dyDescent="0.25">
      <c r="A135" t="s">
        <v>155</v>
      </c>
      <c r="B135">
        <f>_xll.ACT_DIST_LOMAX_CDF(1, 2, 1)</f>
        <v>0.75</v>
      </c>
      <c r="C135" t="s">
        <v>156</v>
      </c>
    </row>
    <row r="136" spans="1:3" x14ac:dyDescent="0.25">
      <c r="A136" t="s">
        <v>157</v>
      </c>
      <c r="B136">
        <f>_xll.ACT_DIST_LOMAX_INV(0.5, 2, 1)</f>
        <v>0.41421356237309515</v>
      </c>
      <c r="C136" t="s">
        <v>19</v>
      </c>
    </row>
    <row r="138" spans="1:3" x14ac:dyDescent="0.25">
      <c r="A138" s="4" t="s">
        <v>158</v>
      </c>
    </row>
    <row r="139" spans="1:3" x14ac:dyDescent="0.25">
      <c r="A139" t="s">
        <v>159</v>
      </c>
      <c r="B139">
        <f>_xll.ACT_DIST_PARETO3_PDF(1, 0, 1, 2)</f>
        <v>0.25</v>
      </c>
      <c r="C139" t="s">
        <v>78</v>
      </c>
    </row>
    <row r="140" spans="1:3" x14ac:dyDescent="0.25">
      <c r="A140" t="s">
        <v>160</v>
      </c>
      <c r="B140">
        <f>_xll.ACT_DIST_PARETO3_CDF(1, 0, 1, 2)</f>
        <v>0.75</v>
      </c>
      <c r="C140" t="s">
        <v>80</v>
      </c>
    </row>
    <row r="141" spans="1:3" x14ac:dyDescent="0.25">
      <c r="A141" t="s">
        <v>161</v>
      </c>
      <c r="B141">
        <f>_xll.ACT_DIST_PARETO3_INV(0.5, 0, 1, 2)</f>
        <v>0.41421356237309515</v>
      </c>
      <c r="C141" t="s">
        <v>19</v>
      </c>
    </row>
    <row r="142" spans="1:3" x14ac:dyDescent="0.25">
      <c r="A142" t="s">
        <v>162</v>
      </c>
      <c r="B142">
        <f>_xll.ACT_DIST_PARETO3_MEAN(0, 1, 2)</f>
        <v>1</v>
      </c>
      <c r="C142" t="s">
        <v>163</v>
      </c>
    </row>
    <row r="144" spans="1:3" x14ac:dyDescent="0.25">
      <c r="A144" s="4" t="s">
        <v>164</v>
      </c>
    </row>
    <row r="145" spans="1:3" x14ac:dyDescent="0.25">
      <c r="A145" t="s">
        <v>165</v>
      </c>
      <c r="B145">
        <f>_xll.ACT_DIST_PARETO4_PDF(1, 0, 1, 2, 3)</f>
        <v>9.375E-2</v>
      </c>
      <c r="C145" t="s">
        <v>78</v>
      </c>
    </row>
    <row r="146" spans="1:3" x14ac:dyDescent="0.25">
      <c r="A146" t="s">
        <v>166</v>
      </c>
      <c r="B146">
        <f>_xll.ACT_DIST_PARETO4_CDF(1, 0, 1, 2, 3)</f>
        <v>0.875</v>
      </c>
      <c r="C146" t="s">
        <v>80</v>
      </c>
    </row>
    <row r="147" spans="1:3" x14ac:dyDescent="0.25">
      <c r="A147" t="s">
        <v>167</v>
      </c>
      <c r="B147">
        <f>_xll.ACT_DIST_PARETO4_INV(0.5, 0, 1, 2, 3)</f>
        <v>6.755895217845316E-2</v>
      </c>
      <c r="C147" t="s">
        <v>19</v>
      </c>
    </row>
    <row r="149" spans="1:3" x14ac:dyDescent="0.25">
      <c r="A149" s="4" t="s">
        <v>168</v>
      </c>
    </row>
    <row r="150" spans="1:3" x14ac:dyDescent="0.25">
      <c r="A150" t="s">
        <v>169</v>
      </c>
      <c r="B150">
        <f>_xll.ACT_DIST_LNPARETO_PDF(5, 0, 1, 10)</f>
        <v>2.18507148303272E-2</v>
      </c>
      <c r="C150" t="s">
        <v>170</v>
      </c>
    </row>
    <row r="151" spans="1:3" x14ac:dyDescent="0.25">
      <c r="A151" t="s">
        <v>171</v>
      </c>
      <c r="B151">
        <f>_xll.ACT_DIST_LNPARETO_CDF(5, 0, 1, 10)</f>
        <v>0.94623968954833682</v>
      </c>
      <c r="C151" t="s">
        <v>172</v>
      </c>
    </row>
    <row r="152" spans="1:3" x14ac:dyDescent="0.25">
      <c r="A152" t="s">
        <v>173</v>
      </c>
      <c r="B152">
        <f>_xll.ACT_DIST_LNPARETO_ALPHA(0, 1, 10)</f>
        <v>2.6437664318162253</v>
      </c>
      <c r="C152" t="s">
        <v>174</v>
      </c>
    </row>
    <row r="153" spans="1:3" x14ac:dyDescent="0.25">
      <c r="A153" t="s">
        <v>175</v>
      </c>
      <c r="B153">
        <f>_xll.ACT_DIST_EXPPARETO_PDF(5, 0.5, 10)</f>
        <v>4.10424993119494E-2</v>
      </c>
      <c r="C153" t="s">
        <v>176</v>
      </c>
    </row>
    <row r="154" spans="1:3" x14ac:dyDescent="0.25">
      <c r="A154" t="s">
        <v>177</v>
      </c>
      <c r="B154">
        <f>_xll.ACT_DIST_EXPPARETO_CDF(5, 0.5, 10)</f>
        <v>0.91791500137610116</v>
      </c>
      <c r="C154" t="s">
        <v>178</v>
      </c>
    </row>
    <row r="155" spans="1:3" x14ac:dyDescent="0.25">
      <c r="A155" t="s">
        <v>179</v>
      </c>
      <c r="B155">
        <f>_xll.ACT_DIST_EXPPARETO_ALPHA(0.5, 10)</f>
        <v>5</v>
      </c>
      <c r="C155" t="s">
        <v>180</v>
      </c>
    </row>
    <row r="156" spans="1:3" x14ac:dyDescent="0.25">
      <c r="A156" t="s">
        <v>181</v>
      </c>
      <c r="B156">
        <f>_xll.ACT_DIST_POWPARETO_PDF(5, 2, 0.5, 10)</f>
        <v>5.656854249492381E-2</v>
      </c>
      <c r="C156" t="s">
        <v>182</v>
      </c>
    </row>
    <row r="157" spans="1:3" x14ac:dyDescent="0.25">
      <c r="A157" t="s">
        <v>183</v>
      </c>
      <c r="B157">
        <f>_xll.ACT_DIST_POWPARETO_CDF(5, 2, 0.5, 10)</f>
        <v>0.56568542494923812</v>
      </c>
      <c r="C157" t="s">
        <v>184</v>
      </c>
    </row>
    <row r="159" spans="1:3" x14ac:dyDescent="0.25">
      <c r="A159" s="2" t="s">
        <v>185</v>
      </c>
    </row>
    <row r="161" spans="1:3" x14ac:dyDescent="0.25">
      <c r="A161" s="4" t="s">
        <v>186</v>
      </c>
    </row>
    <row r="162" spans="1:3" x14ac:dyDescent="0.25">
      <c r="A162" t="s">
        <v>187</v>
      </c>
      <c r="B162">
        <f>_xll.ACT_DIST_POISSON_LEV(5, 5)</f>
        <v>4.1226631511607437</v>
      </c>
      <c r="C162" t="s">
        <v>188</v>
      </c>
    </row>
    <row r="164" spans="1:3" x14ac:dyDescent="0.25">
      <c r="A164" s="4" t="s">
        <v>189</v>
      </c>
    </row>
    <row r="165" spans="1:3" x14ac:dyDescent="0.25">
      <c r="A165" t="s">
        <v>190</v>
      </c>
      <c r="B165">
        <f>_xll.ACT_DIST_NEGBIN_LEV(10, 5, 0.3)</f>
        <v>8.4026604565508922</v>
      </c>
      <c r="C165" t="s">
        <v>191</v>
      </c>
    </row>
    <row r="167" spans="1:3" x14ac:dyDescent="0.25">
      <c r="A167" s="4" t="s">
        <v>192</v>
      </c>
    </row>
    <row r="168" spans="1:3" x14ac:dyDescent="0.25">
      <c r="A168" t="s">
        <v>193</v>
      </c>
      <c r="B168">
        <f>_xll.ACT_DIST_EXP_LEV(2, 0.5)</f>
        <v>1.2642411176571153</v>
      </c>
      <c r="C168" t="s">
        <v>194</v>
      </c>
    </row>
    <row r="170" spans="1:3" x14ac:dyDescent="0.25">
      <c r="A170" s="4" t="s">
        <v>195</v>
      </c>
    </row>
    <row r="171" spans="1:3" x14ac:dyDescent="0.25">
      <c r="A171" t="s">
        <v>196</v>
      </c>
      <c r="B171">
        <f>_xll.ACT_DIST_LOGNORM_LEV(2, 0, 1)</f>
        <v>1.1138701491642353</v>
      </c>
      <c r="C171" t="s">
        <v>197</v>
      </c>
    </row>
    <row r="173" spans="1:3" x14ac:dyDescent="0.25">
      <c r="A173" s="4" t="s">
        <v>198</v>
      </c>
    </row>
    <row r="174" spans="1:3" x14ac:dyDescent="0.25">
      <c r="A174" t="s">
        <v>199</v>
      </c>
      <c r="B174">
        <f>_xll.ACT_DIST_GAMMA_LEV(2, 2, 1)</f>
        <v>1.4586588670535474</v>
      </c>
      <c r="C174" t="s">
        <v>200</v>
      </c>
    </row>
    <row r="176" spans="1:3" x14ac:dyDescent="0.25">
      <c r="A176" s="4" t="s">
        <v>201</v>
      </c>
    </row>
    <row r="177" spans="1:3" x14ac:dyDescent="0.25">
      <c r="A177" t="s">
        <v>202</v>
      </c>
      <c r="B177">
        <f>_xll.ACT_DIST_PARETO_LEV(2, 2, 1)</f>
        <v>1.5</v>
      </c>
      <c r="C177" t="s">
        <v>203</v>
      </c>
    </row>
    <row r="179" spans="1:3" x14ac:dyDescent="0.25">
      <c r="A179" s="4" t="s">
        <v>204</v>
      </c>
    </row>
    <row r="180" spans="1:3" x14ac:dyDescent="0.25">
      <c r="A180" t="s">
        <v>205</v>
      </c>
      <c r="B180">
        <f>_xll.ACT_DIST_LOMAX_LEV(2, 2, 1)</f>
        <v>0.66666666666666674</v>
      </c>
      <c r="C180" t="s">
        <v>206</v>
      </c>
    </row>
    <row r="182" spans="1:3" x14ac:dyDescent="0.25">
      <c r="A182" s="4" t="s">
        <v>207</v>
      </c>
    </row>
    <row r="183" spans="1:3" x14ac:dyDescent="0.25">
      <c r="A183" t="s">
        <v>208</v>
      </c>
      <c r="B183">
        <f>_xll.ACT_DIST_GPD_LEV(2, 0.5, 1)</f>
        <v>1</v>
      </c>
      <c r="C183" t="s">
        <v>209</v>
      </c>
    </row>
    <row r="185" spans="1:3" x14ac:dyDescent="0.25">
      <c r="A185" s="4" t="s">
        <v>210</v>
      </c>
    </row>
    <row r="186" spans="1:3" x14ac:dyDescent="0.25">
      <c r="A186" t="s">
        <v>211</v>
      </c>
      <c r="B186">
        <f>_xll.ACT_DIST_WEIBULL_LEV(1, 2, 1)</f>
        <v>0.74682413281242699</v>
      </c>
      <c r="C186" t="s">
        <v>212</v>
      </c>
    </row>
    <row r="188" spans="1:3" x14ac:dyDescent="0.25">
      <c r="A188" s="4" t="s">
        <v>213</v>
      </c>
    </row>
    <row r="189" spans="1:3" x14ac:dyDescent="0.25">
      <c r="A189" t="s">
        <v>214</v>
      </c>
      <c r="B189">
        <f>_xll.ACT_DIST_BETA_LEV(0.5, 2, 5)</f>
        <v>0.27566964285714529</v>
      </c>
      <c r="C189" t="s">
        <v>215</v>
      </c>
    </row>
    <row r="191" spans="1:3" x14ac:dyDescent="0.25">
      <c r="A191" s="4" t="s">
        <v>216</v>
      </c>
    </row>
    <row r="192" spans="1:3" x14ac:dyDescent="0.25">
      <c r="A192" t="s">
        <v>217</v>
      </c>
      <c r="B192">
        <f>_xll.ACT_DIST_BURR_LEV(1, 2, 3, 1)</f>
        <v>0.54452431127404766</v>
      </c>
      <c r="C192" t="s">
        <v>218</v>
      </c>
    </row>
    <row r="194" spans="1:3" x14ac:dyDescent="0.25">
      <c r="A194" s="4" t="s">
        <v>219</v>
      </c>
    </row>
    <row r="195" spans="1:3" x14ac:dyDescent="0.25">
      <c r="A195" t="s">
        <v>220</v>
      </c>
      <c r="B195">
        <f>_xll.ACT_DIST_INVGAUSS_LEV(1, 1, 2)</f>
        <v>0.74460432368948881</v>
      </c>
      <c r="C195" t="s">
        <v>221</v>
      </c>
    </row>
    <row r="197" spans="1:3" x14ac:dyDescent="0.25">
      <c r="A197" s="4" t="s">
        <v>222</v>
      </c>
    </row>
    <row r="198" spans="1:3" x14ac:dyDescent="0.25">
      <c r="A198" t="s">
        <v>223</v>
      </c>
      <c r="B198">
        <f>_xll.ACT_DIST_LOGLOGISTIC_LEV(2, 2, 1)</f>
        <v>1.386294361119951</v>
      </c>
      <c r="C198" t="s">
        <v>224</v>
      </c>
    </row>
    <row r="200" spans="1:3" x14ac:dyDescent="0.25">
      <c r="A200" s="2" t="s">
        <v>225</v>
      </c>
    </row>
    <row r="202" spans="1:3" x14ac:dyDescent="0.25">
      <c r="A202" t="s">
        <v>226</v>
      </c>
      <c r="B202">
        <f>_xll.ACT_EXPOSURE_MBBEFD(0.5, 2, 3)</f>
        <v>0.59570401563352471</v>
      </c>
      <c r="C202" t="s">
        <v>227</v>
      </c>
    </row>
    <row r="203" spans="1:3" x14ac:dyDescent="0.25">
      <c r="A203" t="s">
        <v>228</v>
      </c>
      <c r="B203">
        <f>_xll.ACT_EXPOSURE_SWISSRE(0.5, 1)</f>
        <v>0.87357700106537017</v>
      </c>
      <c r="C203" t="s">
        <v>229</v>
      </c>
    </row>
    <row r="204" spans="1:3" x14ac:dyDescent="0.25">
      <c r="A204" t="s">
        <v>228</v>
      </c>
      <c r="B204">
        <f>_xll.ACT_EXPOSURE_SWISSRE(0.5, 3)</f>
        <v>0.97133932405449286</v>
      </c>
      <c r="C204" t="s">
        <v>230</v>
      </c>
    </row>
    <row r="205" spans="1:3" x14ac:dyDescent="0.25">
      <c r="A205" t="s">
        <v>228</v>
      </c>
      <c r="B205">
        <f>_xll.ACT_EXPOSURE_SWISSRE(0.5, 5)</f>
        <v>0.66827198771258944</v>
      </c>
      <c r="C205" t="s">
        <v>231</v>
      </c>
    </row>
    <row r="206" spans="1:3" x14ac:dyDescent="0.25">
      <c r="A206" t="s">
        <v>232</v>
      </c>
      <c r="B206">
        <f>_xll.ACT_EXPOSURE_LLOYDS(0.5, 1)</f>
        <v>0.64644660940672627</v>
      </c>
      <c r="C206" t="s">
        <v>233</v>
      </c>
    </row>
    <row r="207" spans="1:3" x14ac:dyDescent="0.25">
      <c r="A207" t="s">
        <v>232</v>
      </c>
      <c r="B207">
        <f>_xll.ACT_EXPOSURE_LLOYDS(0.5, 2)</f>
        <v>0.75</v>
      </c>
      <c r="C207" t="s">
        <v>234</v>
      </c>
    </row>
    <row r="208" spans="1:3" x14ac:dyDescent="0.25">
      <c r="A208" t="s">
        <v>232</v>
      </c>
      <c r="B208">
        <f>_xll.ACT_EXPOSURE_LLOYDS(0.5, 3)</f>
        <v>0.875</v>
      </c>
      <c r="C208" t="s">
        <v>235</v>
      </c>
    </row>
    <row r="209" spans="1:3" x14ac:dyDescent="0.25">
      <c r="A209" t="s">
        <v>232</v>
      </c>
      <c r="B209">
        <f>_xll.ACT_EXPOSURE_LLOYDS(0.5, 4)</f>
        <v>0.9375</v>
      </c>
      <c r="C209" t="s">
        <v>236</v>
      </c>
    </row>
    <row r="210" spans="1:3" x14ac:dyDescent="0.25">
      <c r="A210" t="s">
        <v>237</v>
      </c>
      <c r="B210">
        <f>_xll.ACT_EXPOSURE_POWER(0.5, 2)</f>
        <v>0.25</v>
      </c>
      <c r="C210" t="s">
        <v>238</v>
      </c>
    </row>
    <row r="211" spans="1:3" x14ac:dyDescent="0.25">
      <c r="A211" t="s">
        <v>239</v>
      </c>
      <c r="B211">
        <f>_xll.ACT_EXPOSURE_INVERSE_POWER(0.5, 2)</f>
        <v>0.75</v>
      </c>
      <c r="C211" t="s">
        <v>240</v>
      </c>
    </row>
    <row r="212" spans="1:3" x14ac:dyDescent="0.25">
      <c r="A212" t="s">
        <v>241</v>
      </c>
      <c r="B212">
        <f>_xll.ACT_EXPOSURE_PARETO(0.5, 2)</f>
        <v>0.29289321881345243</v>
      </c>
      <c r="C212" t="s">
        <v>242</v>
      </c>
    </row>
    <row r="213" spans="1:3" x14ac:dyDescent="0.25">
      <c r="A213" t="s">
        <v>243</v>
      </c>
      <c r="B213">
        <f>_xll.ACT_EXPOSURE_RIEBESELL(0.5, 0.8)</f>
        <v>0.65947934199881397</v>
      </c>
      <c r="C213" t="s">
        <v>244</v>
      </c>
    </row>
    <row r="214" spans="1:3" x14ac:dyDescent="0.25">
      <c r="A214" t="s">
        <v>245</v>
      </c>
      <c r="B214">
        <f>_xll.ACT_EXPOSURE_RIEBESELL_INV(0.7, 0.8)</f>
        <v>0.53793097181669658</v>
      </c>
      <c r="C214" t="s">
        <v>246</v>
      </c>
    </row>
    <row r="216" spans="1:3" x14ac:dyDescent="0.25">
      <c r="A216" s="2" t="s">
        <v>247</v>
      </c>
    </row>
    <row r="218" spans="1:3" x14ac:dyDescent="0.25">
      <c r="A218" t="s">
        <v>248</v>
      </c>
      <c r="B218">
        <f>_xll.ACT_XOL_LAYER_LOSS(5000000, 1000000, 4000000)</f>
        <v>4000000</v>
      </c>
      <c r="C218" t="s">
        <v>249</v>
      </c>
    </row>
    <row r="219" spans="1:3" x14ac:dyDescent="0.25">
      <c r="A219" t="s">
        <v>250</v>
      </c>
      <c r="B219">
        <f>_xll.ACT_XOL_EXPECTED_LOSS(1000000, 4000000, 2, 100000, 0.1)</f>
        <v>0</v>
      </c>
      <c r="C219" t="s">
        <v>251</v>
      </c>
    </row>
    <row r="220" spans="1:3" x14ac:dyDescent="0.25">
      <c r="A220" t="s">
        <v>252</v>
      </c>
      <c r="B220">
        <f>_xll.ACT_ILF_PARETO(2000000, 1000000, 2)</f>
        <v>1.000000250000125</v>
      </c>
      <c r="C220" t="s">
        <v>253</v>
      </c>
    </row>
    <row r="221" spans="1:3" x14ac:dyDescent="0.25">
      <c r="A221" t="s">
        <v>254</v>
      </c>
      <c r="B221">
        <f>_xll.ACT_EXPOSURE_LAYER_RATE(0.1, 0.5, 0.05, 2, 3)</f>
        <v>2.2335159284056889E-2</v>
      </c>
      <c r="C221" t="s">
        <v>255</v>
      </c>
    </row>
    <row r="223" spans="1:3" x14ac:dyDescent="0.25">
      <c r="A223" s="2" t="s">
        <v>256</v>
      </c>
    </row>
    <row r="225" spans="1:3" x14ac:dyDescent="0.25">
      <c r="A225" t="s">
        <v>257</v>
      </c>
      <c r="B225" t="str">
        <f>INDEX(_xll.ACT_CAT_ELT_TO_YLT({0.01,0.02,0.05,0.1}, {1000000,500000,200000,50000}, 100, 42), 1, 1)</f>
        <v>Year</v>
      </c>
      <c r="C225" t="s">
        <v>258</v>
      </c>
    </row>
    <row r="226" spans="1:3" x14ac:dyDescent="0.25">
      <c r="A226" t="s">
        <v>259</v>
      </c>
      <c r="B226" t="str">
        <f>INDEX(_xll.ACT_CAT_YLT_OEP_CURVE({500000,200000,0,100000,300000}), 1, 1)</f>
        <v>Return Period</v>
      </c>
      <c r="C226" t="s">
        <v>260</v>
      </c>
    </row>
    <row r="227" spans="1:3" x14ac:dyDescent="0.25">
      <c r="A227" t="s">
        <v>261</v>
      </c>
      <c r="B227" t="str">
        <f>INDEX(_xll.ACT_CAT_YLT_AEP_CURVE({500000,200000,0,100000,300000}), 1, 1)</f>
        <v>Return Period</v>
      </c>
      <c r="C227" t="s">
        <v>262</v>
      </c>
    </row>
    <row r="228" spans="1:3" x14ac:dyDescent="0.25">
      <c r="A228" t="s">
        <v>263</v>
      </c>
      <c r="B228" t="str">
        <f>INDEX(_xll.ACT_CAT_OEP_CURVE_RP({500000,200000,0,100000,300000}, {5,10,25}), 1, 1)</f>
        <v>Return Period</v>
      </c>
      <c r="C228" t="s">
        <v>264</v>
      </c>
    </row>
    <row r="229" spans="1:3" x14ac:dyDescent="0.25">
      <c r="A229" t="s">
        <v>265</v>
      </c>
      <c r="B229" t="str">
        <f>INDEX(_xll.ACT_CAT_AEP_CURVE_RP({500000,200000,0,100000,300000}, {5,10,25}), 1, 1)</f>
        <v>Return Period</v>
      </c>
      <c r="C229" t="s">
        <v>266</v>
      </c>
    </row>
    <row r="231" spans="1:3" x14ac:dyDescent="0.25">
      <c r="A231" s="2" t="s">
        <v>267</v>
      </c>
    </row>
    <row r="233" spans="1:3" x14ac:dyDescent="0.25">
      <c r="A233" t="s">
        <v>268</v>
      </c>
      <c r="B233">
        <f>_xll.ACT_VAR_FROM_SAMPLES({100,200,300,400,500,600,700,800,900,1000}, 0.95)</f>
        <v>1000</v>
      </c>
      <c r="C233" t="s">
        <v>269</v>
      </c>
    </row>
    <row r="234" spans="1:3" x14ac:dyDescent="0.25">
      <c r="A234" t="s">
        <v>270</v>
      </c>
      <c r="B234">
        <f>_xll.ACT_TVAR_FROM_SAMPLES({100,200,300,400,500,600,700,800,900,1000}, 0.95)</f>
        <v>1000</v>
      </c>
      <c r="C234" t="s">
        <v>271</v>
      </c>
    </row>
    <row r="236" spans="1:3" x14ac:dyDescent="0.25">
      <c r="A236" s="4" t="s">
        <v>272</v>
      </c>
    </row>
    <row r="237" spans="1:3" x14ac:dyDescent="0.25">
      <c r="A237" t="s">
        <v>273</v>
      </c>
      <c r="B237">
        <f>_xll.ACT_RETURN_PERIOD_LOSS({100,50,25,10,5}, {1000000,2000000,3000000,5000000,10000000}, 20, "LOG")</f>
        <v>3487058.4052679399</v>
      </c>
      <c r="C237" t="s">
        <v>274</v>
      </c>
    </row>
    <row r="238" spans="1:3" x14ac:dyDescent="0.25">
      <c r="A238" t="s">
        <v>275</v>
      </c>
      <c r="B238">
        <f>INDEX(_xll.ACT_RETURN_PERIOD_TABLE({100,50,25,10,5}, {1000000,2000000,3000000,5000000,10000000}, {10,25,50,100}), 1, 1)</f>
        <v>10</v>
      </c>
      <c r="C238" t="s">
        <v>276</v>
      </c>
    </row>
    <row r="239" spans="1:3" x14ac:dyDescent="0.25">
      <c r="A239" t="s">
        <v>277</v>
      </c>
      <c r="B239">
        <f>_xll.ACT_AAL_FROM_OEP({100,50,25,10,5}, {1000000,2000000,3000000,5000000,10000000})</f>
        <v>3055000</v>
      </c>
      <c r="C239" t="s">
        <v>278</v>
      </c>
    </row>
    <row r="241" spans="1:3" x14ac:dyDescent="0.25">
      <c r="A241" s="2" t="s">
        <v>279</v>
      </c>
    </row>
    <row r="243" spans="1:3" x14ac:dyDescent="0.25">
      <c r="A243" t="s">
        <v>280</v>
      </c>
      <c r="B243">
        <f>_xll.ACT_INTERP({1,2,3,4,5}, {10,20,35,55,80}, 2.5, "LINEAR")</f>
        <v>27.5</v>
      </c>
      <c r="C243" t="s">
        <v>281</v>
      </c>
    </row>
    <row r="244" spans="1:3" x14ac:dyDescent="0.25">
      <c r="A244" t="s">
        <v>280</v>
      </c>
      <c r="B244">
        <f>_xll.ACT_INTERP({1,2,3,4,5}, {10,20,35,55,80}, 0.5, "FLAT")</f>
        <v>10</v>
      </c>
      <c r="C244" t="s">
        <v>282</v>
      </c>
    </row>
    <row r="245" spans="1:3" x14ac:dyDescent="0.25">
      <c r="A245" t="s">
        <v>280</v>
      </c>
      <c r="B245">
        <f>_xll.ACT_INTERP({1,2,3,4,5}, {10,20,35,55,80}, 6, "GRADIENT")</f>
        <v>105</v>
      </c>
      <c r="C245" t="s">
        <v>283</v>
      </c>
    </row>
    <row r="246" spans="1:3" x14ac:dyDescent="0.25">
      <c r="A246" t="s">
        <v>284</v>
      </c>
      <c r="B246">
        <f>_xll.ACT_INTERP_LOG({1,2,3,4,5}, {10,20,35,55,80}, 2.5)</f>
        <v>28.255095698198126</v>
      </c>
      <c r="C246" t="s">
        <v>285</v>
      </c>
    </row>
    <row r="247" spans="1:3" x14ac:dyDescent="0.25">
      <c r="A247" t="s">
        <v>286</v>
      </c>
      <c r="B247">
        <f>_xll.ACT_INTERP2D({1,2,3}, {10,20,30}, {100,200,300;110,220,330;120,240,360}, 1.5, 15)</f>
        <v>157.5</v>
      </c>
      <c r="C247" t="s">
        <v>287</v>
      </c>
    </row>
    <row r="249" spans="1:3" x14ac:dyDescent="0.25">
      <c r="A249" s="2" t="s">
        <v>288</v>
      </c>
    </row>
    <row r="251" spans="1:3" x14ac:dyDescent="0.25">
      <c r="A251" t="s">
        <v>289</v>
      </c>
      <c r="B251">
        <f>INDEX(_xll.ACT_COPULA_GAUSSIAN({1,0.5;0.5,1}, 5, 42), 1, 1)</f>
        <v>0.65850557510982255</v>
      </c>
      <c r="C251" t="s">
        <v>290</v>
      </c>
    </row>
    <row r="252" spans="1:3" x14ac:dyDescent="0.25">
      <c r="A252" t="s">
        <v>291</v>
      </c>
      <c r="B252">
        <f>INDEX(_xll.ACT_COPULA_GAUSSIAN_SINGLE({1,0.5;0.5,1}, 42), 1, 1)</f>
        <v>0.65850557510982255</v>
      </c>
      <c r="C252" t="s">
        <v>292</v>
      </c>
    </row>
    <row r="254" spans="1:3" x14ac:dyDescent="0.25">
      <c r="A254" s="2" t="s">
        <v>293</v>
      </c>
    </row>
    <row r="255" spans="1:3" x14ac:dyDescent="0.25">
      <c r="A255" t="s">
        <v>294</v>
      </c>
      <c r="B255">
        <f>INDEX(_xll.ACT_COPULA_STUDENT_T({1,0.5;0.5,1}, 5, 5, 42), 1, 1)</f>
        <v>0.65170123690316561</v>
      </c>
      <c r="C255" t="s">
        <v>295</v>
      </c>
    </row>
    <row r="256" spans="1:3" x14ac:dyDescent="0.25">
      <c r="A256" t="s">
        <v>296</v>
      </c>
      <c r="B256">
        <f>INDEX(_xll.ACT_COPULA_STUDENT_T_SINGLE({1,0.5;0.5,1}, 5, 42), 1, 1)</f>
        <v>0.65170123690316561</v>
      </c>
      <c r="C256" t="s">
        <v>297</v>
      </c>
    </row>
    <row r="258" spans="1:3" x14ac:dyDescent="0.25">
      <c r="A258" s="2" t="s">
        <v>298</v>
      </c>
    </row>
    <row r="259" spans="1:3" x14ac:dyDescent="0.25">
      <c r="A259" t="s">
        <v>299</v>
      </c>
      <c r="B259">
        <f>INDEX(_xll.ACT_COPULA_CLAYTON(2, 5, 42), 1, 1)</f>
        <v>0.66810646591154232</v>
      </c>
      <c r="C259" t="s">
        <v>300</v>
      </c>
    </row>
    <row r="260" spans="1:3" x14ac:dyDescent="0.25">
      <c r="A260" t="s">
        <v>301</v>
      </c>
      <c r="B260">
        <f>INDEX(_xll.ACT_COPULA_CLAYTON_SINGLE(2, 42), 1, 1)</f>
        <v>0.66810646591154232</v>
      </c>
      <c r="C260" t="s">
        <v>302</v>
      </c>
    </row>
    <row r="261" spans="1:3" x14ac:dyDescent="0.25">
      <c r="A261" t="s">
        <v>303</v>
      </c>
      <c r="B261">
        <f>_xll.ACT_COPULA_CLAYTON_CDF(0.5, 0.5, 2)</f>
        <v>0.37796447300922725</v>
      </c>
      <c r="C261" t="s">
        <v>304</v>
      </c>
    </row>
    <row r="263" spans="1:3" x14ac:dyDescent="0.25">
      <c r="A263" s="2" t="s">
        <v>305</v>
      </c>
    </row>
    <row r="264" spans="1:3" x14ac:dyDescent="0.25">
      <c r="A264" t="s">
        <v>306</v>
      </c>
      <c r="B264">
        <f>INDEX(_xll.ACT_COPULA_FRANK(5, 5, 42), 1, 1)</f>
        <v>0.66810646591154232</v>
      </c>
      <c r="C264" t="s">
        <v>307</v>
      </c>
    </row>
    <row r="265" spans="1:3" x14ac:dyDescent="0.25">
      <c r="A265" t="s">
        <v>308</v>
      </c>
      <c r="B265">
        <f>INDEX(_xll.ACT_COPULA_FRANK_SINGLE(5, 42), 1, 1)</f>
        <v>0.66810646591154232</v>
      </c>
      <c r="C265" t="s">
        <v>309</v>
      </c>
    </row>
    <row r="266" spans="1:3" x14ac:dyDescent="0.25">
      <c r="A266" t="s">
        <v>310</v>
      </c>
      <c r="B266">
        <f>_xll.ACT_COPULA_FRANK_CDF(0.5, 0.5, 5)</f>
        <v>0.37714851074652073</v>
      </c>
      <c r="C266" t="s">
        <v>311</v>
      </c>
    </row>
    <row r="268" spans="1:3" x14ac:dyDescent="0.25">
      <c r="A268" s="2" t="s">
        <v>312</v>
      </c>
    </row>
    <row r="269" spans="1:3" x14ac:dyDescent="0.25">
      <c r="A269" t="s">
        <v>313</v>
      </c>
      <c r="B269">
        <f>INDEX(_xll.ACT_COPULA_GUMBEL(2, 5, 42), 1, 1)</f>
        <v>0.24161808133885282</v>
      </c>
      <c r="C269" t="s">
        <v>314</v>
      </c>
    </row>
    <row r="270" spans="1:3" x14ac:dyDescent="0.25">
      <c r="A270" t="s">
        <v>315</v>
      </c>
      <c r="B270">
        <f>INDEX(_xll.ACT_COPULA_GUMBEL_SINGLE(2, 42), 1, 1)</f>
        <v>0.24161808133885282</v>
      </c>
      <c r="C270" t="s">
        <v>316</v>
      </c>
    </row>
    <row r="271" spans="1:3" x14ac:dyDescent="0.25">
      <c r="A271" t="s">
        <v>317</v>
      </c>
      <c r="B271">
        <f>_xll.ACT_COPULA_GUMBEL_CDF(0.5, 0.5, 2)</f>
        <v>0.37521422724648179</v>
      </c>
      <c r="C271" t="s">
        <v>318</v>
      </c>
    </row>
    <row r="273" spans="1:3" x14ac:dyDescent="0.25">
      <c r="A273" s="2" t="s">
        <v>319</v>
      </c>
    </row>
    <row r="274" spans="1:3" x14ac:dyDescent="0.25">
      <c r="A274" t="s">
        <v>320</v>
      </c>
      <c r="B274">
        <f>_xll.ACT_COPULA_TAU_TO_THETA(0.5, "CLAYTON")</f>
        <v>2</v>
      </c>
      <c r="C274" t="s">
        <v>321</v>
      </c>
    </row>
    <row r="275" spans="1:3" x14ac:dyDescent="0.25">
      <c r="A275" t="s">
        <v>322</v>
      </c>
      <c r="B275">
        <f>_xll.ACT_COPULA_TAIL_LOWER("CLAYTON", 2)</f>
        <v>0.70710678118654757</v>
      </c>
      <c r="C275" t="s">
        <v>323</v>
      </c>
    </row>
    <row r="276" spans="1:3" x14ac:dyDescent="0.25">
      <c r="A276" t="s">
        <v>324</v>
      </c>
      <c r="B276">
        <f>_xll.ACT_COPULA_TAIL_UPPER("GUMBEL", 2)</f>
        <v>0.58578643762690485</v>
      </c>
      <c r="C276" t="s">
        <v>325</v>
      </c>
    </row>
    <row r="277" spans="1:3" x14ac:dyDescent="0.25">
      <c r="A277" t="s">
        <v>322</v>
      </c>
      <c r="B277">
        <f>_xll.ACT_COPULA_TAIL_LOWER("STUDENT_T", 0.5, 5)</f>
        <v>0.20703125000000355</v>
      </c>
      <c r="C277" t="s">
        <v>326</v>
      </c>
    </row>
    <row r="278" spans="1:3" x14ac:dyDescent="0.25">
      <c r="A278" t="s">
        <v>324</v>
      </c>
      <c r="B278">
        <f>_xll.ACT_COPULA_TAIL_UPPER("STUDENT_T", 0.5, 5)</f>
        <v>0.20703125000000355</v>
      </c>
      <c r="C278" t="s">
        <v>327</v>
      </c>
    </row>
    <row r="280" spans="1:3" x14ac:dyDescent="0.25">
      <c r="A280" s="2" t="s">
        <v>328</v>
      </c>
    </row>
    <row r="282" spans="1:3" x14ac:dyDescent="0.25">
      <c r="A282" t="s">
        <v>329</v>
      </c>
    </row>
    <row r="283" spans="1:3" x14ac:dyDescent="0.25">
      <c r="A283" t="s">
        <v>330</v>
      </c>
    </row>
    <row r="284" spans="1:3" x14ac:dyDescent="0.25">
      <c r="A284" t="s">
        <v>331</v>
      </c>
    </row>
    <row r="285" spans="1:3" x14ac:dyDescent="0.25">
      <c r="A285" t="s">
        <v>332</v>
      </c>
    </row>
    <row r="286" spans="1:3" x14ac:dyDescent="0.25">
      <c r="A286" t="s">
        <v>333</v>
      </c>
    </row>
    <row r="287" spans="1:3" x14ac:dyDescent="0.25">
      <c r="A287" t="s">
        <v>334</v>
      </c>
    </row>
    <row r="288" spans="1:3" x14ac:dyDescent="0.25">
      <c r="A288" t="s">
        <v>335</v>
      </c>
    </row>
    <row r="289" spans="1:3" x14ac:dyDescent="0.25">
      <c r="A289" t="s">
        <v>336</v>
      </c>
    </row>
    <row r="290" spans="1:3" x14ac:dyDescent="0.25">
      <c r="A290" t="s">
        <v>337</v>
      </c>
    </row>
    <row r="291" spans="1:3" x14ac:dyDescent="0.25">
      <c r="A291" t="s">
        <v>338</v>
      </c>
    </row>
    <row r="292" spans="1:3" x14ac:dyDescent="0.25">
      <c r="A292" t="s">
        <v>339</v>
      </c>
    </row>
    <row r="293" spans="1:3" x14ac:dyDescent="0.25">
      <c r="A293" t="s">
        <v>340</v>
      </c>
    </row>
    <row r="294" spans="1:3" x14ac:dyDescent="0.25">
      <c r="A294" t="s">
        <v>341</v>
      </c>
    </row>
    <row r="295" spans="1:3" x14ac:dyDescent="0.25">
      <c r="A295" t="s">
        <v>342</v>
      </c>
    </row>
    <row r="296" spans="1:3" x14ac:dyDescent="0.25">
      <c r="A296" t="s">
        <v>343</v>
      </c>
    </row>
    <row r="297" spans="1:3" x14ac:dyDescent="0.25">
      <c r="A297" t="s">
        <v>344</v>
      </c>
    </row>
    <row r="298" spans="1:3" x14ac:dyDescent="0.25">
      <c r="A298" t="s">
        <v>345</v>
      </c>
    </row>
    <row r="299" spans="1:3" x14ac:dyDescent="0.25">
      <c r="A299" t="s">
        <v>346</v>
      </c>
    </row>
    <row r="300" spans="1:3" x14ac:dyDescent="0.25">
      <c r="A300" t="s">
        <v>347</v>
      </c>
    </row>
    <row r="302" spans="1:3" x14ac:dyDescent="0.25">
      <c r="A302" s="2" t="s">
        <v>348</v>
      </c>
    </row>
    <row r="304" spans="1:3" x14ac:dyDescent="0.25">
      <c r="A304" t="s">
        <v>349</v>
      </c>
      <c r="B304" t="str">
        <f>_xll.ACT_VERSION()</f>
        <v>0.8.0</v>
      </c>
      <c r="C304" t="s">
        <v>350</v>
      </c>
    </row>
    <row r="305" spans="1:12" x14ac:dyDescent="0.25">
      <c r="A305" t="s">
        <v>351</v>
      </c>
      <c r="B305" t="str">
        <f>_xll.ACT_BUILD_DATE()</f>
        <v>2026-05-05</v>
      </c>
      <c r="C305" t="s">
        <v>352</v>
      </c>
    </row>
    <row r="306" spans="1:12" x14ac:dyDescent="0.25">
      <c r="A306" t="s">
        <v>353</v>
      </c>
      <c r="B306" t="str">
        <f>_xll.ACT_GITHUB_URL()</f>
        <v>https://github.com/mdevans21/actuarial_add_in</v>
      </c>
      <c r="C306" t="s">
        <v>354</v>
      </c>
    </row>
    <row r="307" spans="1:12" x14ac:dyDescent="0.25">
      <c r="A307" t="s">
        <v>355</v>
      </c>
      <c r="B307">
        <f>_xll.ACT_COMMIT_COUNT()</f>
        <v>16</v>
      </c>
      <c r="C307" t="s">
        <v>356</v>
      </c>
    </row>
    <row r="308" spans="1:12" x14ac:dyDescent="0.25">
      <c r="A308" t="s">
        <v>357</v>
      </c>
      <c r="B308" t="str">
        <f>_xll.ACT_COMMIT_INFO(1, "hash")</f>
        <v>v0.8.0</v>
      </c>
      <c r="C308" t="s">
        <v>358</v>
      </c>
    </row>
    <row r="309" spans="1:12" x14ac:dyDescent="0.25">
      <c r="A309" t="s">
        <v>357</v>
      </c>
      <c r="B309" t="str">
        <f>_xll.ACT_COMMIT_INFO(1, "date")</f>
        <v>2026-05-05</v>
      </c>
      <c r="C309" t="s">
        <v>359</v>
      </c>
    </row>
    <row r="310" spans="1:12" x14ac:dyDescent="0.25">
      <c r="A310" t="s">
        <v>357</v>
      </c>
      <c r="B310" t="str">
        <f>_xll.ACT_COMMIT_INFO(1, "message")</f>
        <v>Multi-target net48 + net8.0-windows. Default release asset (`AddIn64-packed.xll`) now targets .NET Framework 4.8 — preinstalled on every Windows 10 1903+ / Windows 11, so installing the add-in no longer requires a runtime download. A .NET 8 perf variant ships alongside as `AddIn64-packed-net8.xll` for users who install the .NET 8 Desktop Runtime; same C# code, modern JIT and SIMD codegen on heavy stochastic workloads. Root cause of the long-standing v0.5.x .NET 8 hosting failure identified: ExcelDna 1.9.0's host shim formats its own runtimeconfig.json from the `.dna` file's RuntimeVersion attribute, which was set to `v4.0` (causing the host to launch .NET 6 and reject the net8 user assembly). MSBuild XmlPoke target now rewrites it to `v8.0` for the net8 build only.</v>
      </c>
      <c r="C310" t="s">
        <v>360</v>
      </c>
    </row>
    <row r="311" spans="1:12" x14ac:dyDescent="0.25">
      <c r="A311" t="s">
        <v>361</v>
      </c>
      <c r="B311" t="str">
        <f>INDEX(_xll.ACT_COMMIT_HISTORY(), 1, 1)</f>
        <v>Commit</v>
      </c>
      <c r="C311" t="s">
        <v>362</v>
      </c>
    </row>
    <row r="313" spans="1:12" x14ac:dyDescent="0.25">
      <c r="A313" s="2" t="s">
        <v>363</v>
      </c>
    </row>
    <row r="314" spans="1:12" x14ac:dyDescent="0.25">
      <c r="A314" t="s">
        <v>364</v>
      </c>
      <c r="B314" cm="1">
        <f t="array" ref="B314:L314">_xll.ACT_DISCRETIZE_EXPONENTIAL(1, 0.5, 10)</f>
        <v>0.22119921692859512</v>
      </c>
      <c r="C314">
        <v>0.30643423033039019</v>
      </c>
      <c r="D314">
        <v>0.18586175588082454</v>
      </c>
      <c r="E314">
        <v>0.11273085340974498</v>
      </c>
      <c r="F314">
        <v>6.8374718888580821E-2</v>
      </c>
      <c r="G314">
        <v>4.1471363355156776E-2</v>
      </c>
      <c r="H314">
        <v>2.5153653374985541E-2</v>
      </c>
      <c r="I314">
        <v>1.5256461975712954E-2</v>
      </c>
      <c r="J314">
        <v>9.2535119470098515E-3</v>
      </c>
      <c r="K314">
        <v>5.6125387058786336E-3</v>
      </c>
      <c r="L314">
        <v>3.4041768039392295E-3</v>
      </c>
    </row>
    <row r="315" spans="1:12" x14ac:dyDescent="0.25">
      <c r="A315" t="s">
        <v>365</v>
      </c>
      <c r="B315" cm="1">
        <f t="array" ref="B315:L315">_xll.ACT_DISCRETIZE_GAMMA(2, 1, 0.5, 10)</f>
        <v>2.6499021160743912E-2</v>
      </c>
      <c r="C315">
        <v>0.14685951154248036</v>
      </c>
      <c r="D315">
        <v>0.18200567436134796</v>
      </c>
      <c r="E315">
        <v>0.16675744844670376</v>
      </c>
      <c r="F315">
        <v>0.13533086466266497</v>
      </c>
      <c r="G315">
        <v>0.1028180003009056</v>
      </c>
      <c r="H315">
        <v>7.4939096240334901E-2</v>
      </c>
      <c r="I315">
        <v>5.3081090468775294E-2</v>
      </c>
      <c r="J315">
        <v>3.6822064793797127E-2</v>
      </c>
      <c r="K315">
        <v>2.5139980604302448E-2</v>
      </c>
      <c r="L315">
        <v>1.695025742306E-2</v>
      </c>
    </row>
    <row r="316" spans="1:12" x14ac:dyDescent="0.25">
      <c r="A316" t="s">
        <v>366</v>
      </c>
      <c r="B316" cm="1">
        <f t="array" ref="B316:L316">_xll.ACT_DISCRETIZE_LOGNORMAL(0, 1, 0.5, 10)</f>
        <v>8.2828519001698506E-2</v>
      </c>
      <c r="C316">
        <v>0.30396653813239871</v>
      </c>
      <c r="D316">
        <v>0.20149305100844783</v>
      </c>
      <c r="E316">
        <v>0.12384112500752997</v>
      </c>
      <c r="F316">
        <v>7.9167893465453609E-2</v>
      </c>
      <c r="G316">
        <v>5.2838418471902182E-2</v>
      </c>
      <c r="H316">
        <v>3.6596663550003683E-2</v>
      </c>
      <c r="I316">
        <v>2.6143057536143099E-2</v>
      </c>
      <c r="J316">
        <v>1.9164925927052434E-2</v>
      </c>
      <c r="K316">
        <v>1.4360322946656123E-2</v>
      </c>
      <c r="L316">
        <v>1.0963765058494723E-2</v>
      </c>
    </row>
    <row r="318" spans="1:12" x14ac:dyDescent="0.25">
      <c r="A318" t="s">
        <v>367</v>
      </c>
      <c r="B318" cm="1">
        <f t="array" ref="B318:G318">_xll.ACT_PANJER_POISSON(2, {0.5,0.5}, 5)</f>
        <v>0.36787944117144233</v>
      </c>
      <c r="C318">
        <v>0.36787944117144233</v>
      </c>
      <c r="D318">
        <v>0.18393972058572117</v>
      </c>
      <c r="E318">
        <v>6.1313240195240384E-2</v>
      </c>
      <c r="F318">
        <v>1.5328310048810096E-2</v>
      </c>
      <c r="G318">
        <v>3.0656620097620196E-3</v>
      </c>
    </row>
    <row r="319" spans="1:12" x14ac:dyDescent="0.25">
      <c r="A319" t="s">
        <v>368</v>
      </c>
      <c r="B319" cm="1">
        <f t="array" ref="B319:G319">_xll.ACT_PANJER_NEGBIN(2, 0.5, {0.5,0.5}, 5)</f>
        <v>0.44444444444444442</v>
      </c>
      <c r="C319">
        <v>0.29629629629629628</v>
      </c>
      <c r="D319">
        <v>0.14814814814814814</v>
      </c>
      <c r="E319">
        <v>6.5843621399176946E-2</v>
      </c>
      <c r="F319">
        <v>2.743484224965706E-2</v>
      </c>
      <c r="G319">
        <v>1.0973936899862823E-2</v>
      </c>
    </row>
    <row r="320" spans="1:12" x14ac:dyDescent="0.25">
      <c r="A320" t="s">
        <v>369</v>
      </c>
      <c r="B320" cm="1">
        <f t="array" ref="B320:G320">_xll.ACT_PANJER_BINOMIAL(5, 0.3, {0.5,0.5}, 5)</f>
        <v>0.44370531249999995</v>
      </c>
      <c r="C320">
        <v>0.39150468749999984</v>
      </c>
      <c r="D320">
        <v>0.1381781249999999</v>
      </c>
      <c r="E320">
        <v>2.4384374999999976E-2</v>
      </c>
      <c r="F320">
        <v>2.1515624999999968E-3</v>
      </c>
      <c r="G320">
        <v>7.5937499999999806E-5</v>
      </c>
    </row>
    <row r="322" spans="1:2" x14ac:dyDescent="0.25">
      <c r="A322" t="s">
        <v>370</v>
      </c>
      <c r="B322" cm="1">
        <f t="array" ref="B322">_xll.ACT_AGGREGATE_MEAN(_xll.ACT_PANJER_POISSON(2, {0.5,0.5}, 5), 1)</f>
        <v>0.99634015317265634</v>
      </c>
    </row>
    <row r="323" spans="1:2" x14ac:dyDescent="0.25">
      <c r="A323" t="s">
        <v>371</v>
      </c>
      <c r="B323" cm="1">
        <f t="array" ref="B323">_xll.ACT_AGGREGATE_STDEV(_xll.ACT_PANJER_POISSON(2, {0.5,0.5}, 5), 1)</f>
        <v>0.99229949887742563</v>
      </c>
    </row>
    <row r="324" spans="1:2" x14ac:dyDescent="0.25">
      <c r="A324" t="s">
        <v>372</v>
      </c>
      <c r="B324" cm="1">
        <f t="array" ref="B324">_xll.ACT_AGGREGATE_VAR_STAT(_xll.ACT_PANJER_POISSON(2, {0.5,0.5}, 5), 1)</f>
        <v>0.98465829547239014</v>
      </c>
    </row>
    <row r="325" spans="1:2" x14ac:dyDescent="0.25">
      <c r="A325" t="s">
        <v>373</v>
      </c>
      <c r="B325" cm="1">
        <f t="array" ref="B325">_xll.ACT_AGGREGATE_CDF(2, _xll.ACT_PANJER_POISSON(2, {0.5,0.5}, 5), 1)</f>
        <v>0.91969860292860584</v>
      </c>
    </row>
    <row r="326" spans="1:2" x14ac:dyDescent="0.25">
      <c r="A326" t="s">
        <v>374</v>
      </c>
      <c r="B326" cm="1">
        <f t="array" ref="B326">_xll.ACT_AGGREGATE_VAR(0.95, _xll.ACT_PANJER_POISSON(2, {0.5,0.5}, 5), 1)</f>
        <v>3</v>
      </c>
    </row>
    <row r="327" spans="1:2" x14ac:dyDescent="0.25">
      <c r="A327" t="s">
        <v>375</v>
      </c>
      <c r="B327" cm="1">
        <f t="array" ref="B327">_xll.ACT_AGGREGATE_TVAR(0.95, _xll.ACT_PANJER_POISSON(2, {0.5,0.5}, 5), 1)</f>
        <v>3.2692307692307692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6"/>
  <sheetViews>
    <sheetView workbookViewId="0"/>
  </sheetViews>
  <sheetFormatPr defaultRowHeight="15" x14ac:dyDescent="0.25"/>
  <cols>
    <col min="1" max="1" width="12" customWidth="1"/>
    <col min="2" max="3" width="15" customWidth="1"/>
    <col min="4" max="4" width="20" customWidth="1"/>
    <col min="5" max="5" width="5" customWidth="1"/>
    <col min="6" max="6" width="15" customWidth="1"/>
  </cols>
  <sheetData>
    <row r="1" spans="1:4" ht="18.75" x14ac:dyDescent="0.3">
      <c r="A1" s="1" t="s">
        <v>376</v>
      </c>
    </row>
    <row r="3" spans="1:4" x14ac:dyDescent="0.25">
      <c r="A3" s="5" t="s">
        <v>377</v>
      </c>
    </row>
    <row r="5" spans="1:4" x14ac:dyDescent="0.25">
      <c r="A5" s="5" t="s">
        <v>378</v>
      </c>
    </row>
    <row r="6" spans="1:4" x14ac:dyDescent="0.25">
      <c r="A6" s="6" t="s">
        <v>379</v>
      </c>
      <c r="B6" s="6" t="s">
        <v>380</v>
      </c>
      <c r="C6" s="6" t="s">
        <v>381</v>
      </c>
      <c r="D6" s="6" t="s">
        <v>382</v>
      </c>
    </row>
    <row r="7" spans="1:4" x14ac:dyDescent="0.25">
      <c r="A7" s="7">
        <v>-3</v>
      </c>
      <c r="B7" s="7">
        <f>_xll.ACT_DIST_NORMAL_PDF(A7, 0, 1)</f>
        <v>4.4318484119380067E-3</v>
      </c>
      <c r="C7" s="7">
        <f>_xll.ACT_DIST_NORMAL_CDF(A7, 0, 1)</f>
        <v>1.3498980316300959E-3</v>
      </c>
      <c r="D7" s="7"/>
    </row>
    <row r="8" spans="1:4" x14ac:dyDescent="0.25">
      <c r="A8" s="7">
        <v>-2</v>
      </c>
      <c r="B8" s="7">
        <f>_xll.ACT_DIST_NORMAL_PDF(A8, 0, 1)</f>
        <v>5.3990966513188049E-2</v>
      </c>
      <c r="C8" s="7">
        <f>_xll.ACT_DIST_NORMAL_CDF(A8, 0, 1)</f>
        <v>2.2750131948179219E-2</v>
      </c>
      <c r="D8" s="7"/>
    </row>
    <row r="9" spans="1:4" x14ac:dyDescent="0.25">
      <c r="A9" s="7">
        <v>-1</v>
      </c>
      <c r="B9" s="7">
        <f>_xll.ACT_DIST_NORMAL_PDF(A9, 0, 1)</f>
        <v>0.24197072451914334</v>
      </c>
      <c r="C9" s="7">
        <f>_xll.ACT_DIST_NORMAL_CDF(A9, 0, 1)</f>
        <v>0.15865525393145707</v>
      </c>
      <c r="D9" s="7"/>
    </row>
    <row r="10" spans="1:4" x14ac:dyDescent="0.25">
      <c r="A10" s="7">
        <v>-0.5</v>
      </c>
      <c r="B10" s="7">
        <f>_xll.ACT_DIST_NORMAL_PDF(A10, 0, 1)</f>
        <v>0.35206532676429947</v>
      </c>
      <c r="C10" s="7">
        <f>_xll.ACT_DIST_NORMAL_CDF(A10, 0, 1)</f>
        <v>0.30853753872598688</v>
      </c>
      <c r="D10" s="7"/>
    </row>
    <row r="11" spans="1:4" x14ac:dyDescent="0.25">
      <c r="A11" s="7">
        <v>0</v>
      </c>
      <c r="B11" s="7">
        <f>_xll.ACT_DIST_NORMAL_PDF(A11, 0, 1)</f>
        <v>0.39894228040143265</v>
      </c>
      <c r="C11" s="7">
        <f>_xll.ACT_DIST_NORMAL_CDF(A11, 0, 1)</f>
        <v>0.5</v>
      </c>
      <c r="D11" s="7" t="s">
        <v>163</v>
      </c>
    </row>
    <row r="12" spans="1:4" x14ac:dyDescent="0.25">
      <c r="A12" s="7">
        <v>0.5</v>
      </c>
      <c r="B12" s="7">
        <f>_xll.ACT_DIST_NORMAL_PDF(A12, 0, 1)</f>
        <v>0.35206532676429947</v>
      </c>
      <c r="C12" s="7">
        <f>_xll.ACT_DIST_NORMAL_CDF(A12, 0, 1)</f>
        <v>0.69146246127401312</v>
      </c>
      <c r="D12" s="7"/>
    </row>
    <row r="13" spans="1:4" x14ac:dyDescent="0.25">
      <c r="A13" s="7">
        <v>1</v>
      </c>
      <c r="B13" s="7">
        <f>_xll.ACT_DIST_NORMAL_PDF(A13, 0, 1)</f>
        <v>0.24197072451914334</v>
      </c>
      <c r="C13" s="7">
        <f>_xll.ACT_DIST_NORMAL_CDF(A13, 0, 1)</f>
        <v>0.84134474606854293</v>
      </c>
      <c r="D13" s="7"/>
    </row>
    <row r="14" spans="1:4" x14ac:dyDescent="0.25">
      <c r="A14" s="7">
        <v>2</v>
      </c>
      <c r="B14" s="7">
        <f>_xll.ACT_DIST_NORMAL_PDF(A14, 0, 1)</f>
        <v>5.3990966513188049E-2</v>
      </c>
      <c r="C14" s="7">
        <f>_xll.ACT_DIST_NORMAL_CDF(A14, 0, 1)</f>
        <v>0.97724986805182079</v>
      </c>
      <c r="D14" s="7"/>
    </row>
    <row r="15" spans="1:4" x14ac:dyDescent="0.25">
      <c r="A15" s="7">
        <v>3</v>
      </c>
      <c r="B15" s="7">
        <f>_xll.ACT_DIST_NORMAL_PDF(A15, 0, 1)</f>
        <v>4.4318484119380067E-3</v>
      </c>
      <c r="C15" s="7">
        <f>_xll.ACT_DIST_NORMAL_CDF(A15, 0, 1)</f>
        <v>0.9986501019683699</v>
      </c>
      <c r="D15" s="7"/>
    </row>
    <row r="20" spans="1:4" x14ac:dyDescent="0.25">
      <c r="A20" s="5" t="s">
        <v>383</v>
      </c>
    </row>
    <row r="21" spans="1:4" x14ac:dyDescent="0.25">
      <c r="A21" s="6" t="s">
        <v>137</v>
      </c>
      <c r="B21" s="6" t="s">
        <v>380</v>
      </c>
      <c r="C21" s="6" t="s">
        <v>381</v>
      </c>
      <c r="D21" s="6" t="s">
        <v>382</v>
      </c>
    </row>
    <row r="22" spans="1:4" x14ac:dyDescent="0.25">
      <c r="A22" s="7">
        <v>0</v>
      </c>
      <c r="B22" s="7">
        <f>_xll.ACT_DIST_POISSON_PDF(A22, 5)</f>
        <v>6.737946999085467E-3</v>
      </c>
      <c r="C22" s="7">
        <f>_xll.ACT_DIST_POISSON_CDF(A22, 5)</f>
        <v>6.7379469990854757E-3</v>
      </c>
      <c r="D22" s="7"/>
    </row>
    <row r="23" spans="1:4" x14ac:dyDescent="0.25">
      <c r="A23" s="7">
        <v>1</v>
      </c>
      <c r="B23" s="7">
        <f>_xll.ACT_DIST_POISSON_PDF(A23, 5)</f>
        <v>3.3689734995427337E-2</v>
      </c>
      <c r="C23" s="7">
        <f>_xll.ACT_DIST_POISSON_CDF(A23, 5)</f>
        <v>4.0427681994512743E-2</v>
      </c>
      <c r="D23" s="7"/>
    </row>
    <row r="24" spans="1:4" x14ac:dyDescent="0.25">
      <c r="A24" s="7">
        <v>2</v>
      </c>
      <c r="B24" s="7">
        <f>_xll.ACT_DIST_POISSON_PDF(A24, 5)</f>
        <v>8.4224337488568321E-2</v>
      </c>
      <c r="C24" s="7">
        <f>_xll.ACT_DIST_POISSON_CDF(A24, 5)</f>
        <v>0.12465201948308069</v>
      </c>
      <c r="D24" s="7"/>
    </row>
    <row r="25" spans="1:4" x14ac:dyDescent="0.25">
      <c r="A25" s="7">
        <v>3</v>
      </c>
      <c r="B25" s="7">
        <f>_xll.ACT_DIST_POISSON_PDF(A25, 5)</f>
        <v>0.1403738958142805</v>
      </c>
      <c r="C25" s="7">
        <f>_xll.ACT_DIST_POISSON_CDF(A25, 5)</f>
        <v>0.26502591529736219</v>
      </c>
      <c r="D25" s="7"/>
    </row>
    <row r="26" spans="1:4" x14ac:dyDescent="0.25">
      <c r="A26" s="7">
        <v>4</v>
      </c>
      <c r="B26" s="7">
        <f>_xll.ACT_DIST_POISSON_PDF(A26, 5)</f>
        <v>0.17546736976785063</v>
      </c>
      <c r="C26" s="7">
        <f>_xll.ACT_DIST_POISSON_CDF(A26, 5)</f>
        <v>0.44049328506521479</v>
      </c>
      <c r="D26" s="7"/>
    </row>
    <row r="27" spans="1:4" x14ac:dyDescent="0.25">
      <c r="A27" s="7">
        <v>5</v>
      </c>
      <c r="B27" s="7">
        <f>_xll.ACT_DIST_POISSON_PDF(A27, 5)</f>
        <v>0.17546736976785068</v>
      </c>
      <c r="C27" s="7">
        <f>_xll.ACT_DIST_POISSON_CDF(A27, 5)</f>
        <v>0.61596065483306206</v>
      </c>
      <c r="D27" s="7" t="s">
        <v>384</v>
      </c>
    </row>
    <row r="28" spans="1:4" x14ac:dyDescent="0.25">
      <c r="A28" s="7">
        <v>6</v>
      </c>
      <c r="B28" s="7">
        <f>_xll.ACT_DIST_POISSON_PDF(A28, 5)</f>
        <v>0.1462228081398754</v>
      </c>
      <c r="C28" s="7">
        <f>_xll.ACT_DIST_POISSON_CDF(A28, 5)</f>
        <v>0.76218346297293915</v>
      </c>
      <c r="D28" s="7"/>
    </row>
    <row r="29" spans="1:4" x14ac:dyDescent="0.25">
      <c r="A29" s="7">
        <v>7</v>
      </c>
      <c r="B29" s="7">
        <f>_xll.ACT_DIST_POISSON_PDF(A29, 5)</f>
        <v>0.10444486295705395</v>
      </c>
      <c r="C29" s="7">
        <f>_xll.ACT_DIST_POISSON_CDF(A29, 5)</f>
        <v>0.86662832592998851</v>
      </c>
      <c r="D29" s="7"/>
    </row>
    <row r="30" spans="1:4" x14ac:dyDescent="0.25">
      <c r="A30" s="7">
        <v>8</v>
      </c>
      <c r="B30" s="7">
        <f>_xll.ACT_DIST_POISSON_PDF(A30, 5)</f>
        <v>6.5278039348158651E-2</v>
      </c>
      <c r="C30" s="7">
        <f>_xll.ACT_DIST_POISSON_CDF(A30, 5)</f>
        <v>0.93190636527815274</v>
      </c>
      <c r="D30" s="7"/>
    </row>
    <row r="31" spans="1:4" x14ac:dyDescent="0.25">
      <c r="A31" s="7">
        <v>9</v>
      </c>
      <c r="B31" s="7">
        <f>_xll.ACT_DIST_POISSON_PDF(A31, 5)</f>
        <v>3.6265577415643714E-2</v>
      </c>
      <c r="C31" s="7">
        <f>_xll.ACT_DIST_POISSON_CDF(A31, 5)</f>
        <v>0.96817194269379536</v>
      </c>
      <c r="D31" s="7"/>
    </row>
    <row r="32" spans="1:4" x14ac:dyDescent="0.25">
      <c r="A32" s="7">
        <v>10</v>
      </c>
      <c r="B32" s="7">
        <f>_xll.ACT_DIST_POISSON_PDF(A32, 5)</f>
        <v>1.8132788707821854E-2</v>
      </c>
      <c r="C32" s="7">
        <f>_xll.ACT_DIST_POISSON_CDF(A32, 5)</f>
        <v>0.98630473140161712</v>
      </c>
      <c r="D32" s="7"/>
    </row>
    <row r="35" spans="1:4" x14ac:dyDescent="0.25">
      <c r="A35" s="5" t="s">
        <v>385</v>
      </c>
    </row>
    <row r="36" spans="1:4" x14ac:dyDescent="0.25">
      <c r="A36" s="6" t="s">
        <v>137</v>
      </c>
      <c r="B36" s="6" t="s">
        <v>380</v>
      </c>
      <c r="C36" s="6" t="s">
        <v>381</v>
      </c>
      <c r="D36" s="6" t="s">
        <v>382</v>
      </c>
    </row>
    <row r="37" spans="1:4" x14ac:dyDescent="0.25">
      <c r="A37" s="7">
        <v>0</v>
      </c>
      <c r="B37" s="7">
        <f>_xll.ACT_DIST_NEGBIN_PDF(A37, 5, 0.3)</f>
        <v>2.4300000000000012E-3</v>
      </c>
      <c r="C37" s="7">
        <f>_xll.ACT_DIST_NEGBIN_CDF(A37, 5, 0.3)</f>
        <v>2.4299999999999322E-3</v>
      </c>
      <c r="D37" s="7"/>
    </row>
    <row r="38" spans="1:4" x14ac:dyDescent="0.25">
      <c r="A38" s="7">
        <v>1</v>
      </c>
      <c r="B38" s="7">
        <f>_xll.ACT_DIST_NEGBIN_PDF(A38, 5, 0.3)</f>
        <v>8.5049999999999293E-3</v>
      </c>
      <c r="C38" s="7">
        <f>_xll.ACT_DIST_NEGBIN_CDF(A38, 5, 0.3)</f>
        <v>1.0935000000000028E-2</v>
      </c>
      <c r="D38" s="7"/>
    </row>
    <row r="39" spans="1:4" x14ac:dyDescent="0.25">
      <c r="A39" s="7">
        <v>2</v>
      </c>
      <c r="B39" s="7">
        <f>_xll.ACT_DIST_NEGBIN_PDF(A39, 5, 0.3)</f>
        <v>1.7860499999999887E-2</v>
      </c>
      <c r="C39" s="7">
        <f>_xll.ACT_DIST_NEGBIN_CDF(A39, 5, 0.3)</f>
        <v>2.8795499999998864E-2</v>
      </c>
      <c r="D39" s="7"/>
    </row>
    <row r="40" spans="1:4" x14ac:dyDescent="0.25">
      <c r="A40" s="7">
        <v>3</v>
      </c>
      <c r="B40" s="7">
        <f>_xll.ACT_DIST_NEGBIN_PDF(A40, 5, 0.3)</f>
        <v>2.9172149999999005E-2</v>
      </c>
      <c r="C40" s="7">
        <f>_xll.ACT_DIST_NEGBIN_CDF(A40, 5, 0.3)</f>
        <v>5.7967650000000925E-2</v>
      </c>
      <c r="D40" s="7"/>
    </row>
    <row r="41" spans="1:4" x14ac:dyDescent="0.25">
      <c r="A41" s="7">
        <v>4</v>
      </c>
      <c r="B41" s="7">
        <f>_xll.ACT_DIST_NEGBIN_PDF(A41, 5, 0.3)</f>
        <v>4.0841010000000316E-2</v>
      </c>
      <c r="C41" s="7">
        <f>_xll.ACT_DIST_NEGBIN_CDF(A41, 5, 0.3)</f>
        <v>9.8808659999999771E-2</v>
      </c>
      <c r="D41" s="7"/>
    </row>
    <row r="42" spans="1:4" x14ac:dyDescent="0.25">
      <c r="A42" s="7">
        <v>5</v>
      </c>
      <c r="B42" s="7">
        <f>_xll.ACT_DIST_NEGBIN_PDF(A42, 5, 0.3)</f>
        <v>5.1459672600000235E-2</v>
      </c>
      <c r="C42" s="7">
        <f>_xll.ACT_DIST_NEGBIN_CDF(A42, 5, 0.3)</f>
        <v>0.1502683326000005</v>
      </c>
      <c r="D42" s="7"/>
    </row>
    <row r="43" spans="1:4" x14ac:dyDescent="0.25">
      <c r="A43" s="7">
        <v>6</v>
      </c>
      <c r="B43" s="7">
        <f>_xll.ACT_DIST_NEGBIN_PDF(A43, 5, 0.3)</f>
        <v>6.0036284699999776E-2</v>
      </c>
      <c r="C43" s="7">
        <f>_xll.ACT_DIST_NEGBIN_CDF(A43, 5, 0.3)</f>
        <v>0.21030461729999961</v>
      </c>
      <c r="D43" s="7"/>
    </row>
    <row r="44" spans="1:4" x14ac:dyDescent="0.25">
      <c r="A44" s="7">
        <v>7</v>
      </c>
      <c r="B44" s="7">
        <f>_xll.ACT_DIST_NEGBIN_PDF(A44, 5, 0.3)</f>
        <v>6.6039913170002101E-2</v>
      </c>
      <c r="C44" s="7">
        <f>_xll.ACT_DIST_NEGBIN_CDF(A44, 5, 0.3)</f>
        <v>0.27634453047001406</v>
      </c>
      <c r="D44" s="7"/>
    </row>
    <row r="45" spans="1:4" x14ac:dyDescent="0.25">
      <c r="A45" s="7">
        <v>8</v>
      </c>
      <c r="B45" s="7">
        <f>_xll.ACT_DIST_NEGBIN_PDF(A45, 5, 0.3)</f>
        <v>6.9341908828500179E-2</v>
      </c>
      <c r="C45" s="7">
        <f>_xll.ACT_DIST_NEGBIN_CDF(A45, 5, 0.3)</f>
        <v>0.34568643929848186</v>
      </c>
      <c r="D45" s="7"/>
    </row>
    <row r="46" spans="1:4" x14ac:dyDescent="0.25">
      <c r="A46" s="7">
        <v>9</v>
      </c>
      <c r="B46" s="7">
        <f>_xll.ACT_DIST_NEGBIN_PDF(A46, 5, 0.3)</f>
        <v>7.0112374482146994E-2</v>
      </c>
      <c r="C46" s="7">
        <f>_xll.ACT_DIST_NEGBIN_CDF(A46, 5, 0.3)</f>
        <v>0.41579881378061168</v>
      </c>
      <c r="D46" s="7"/>
    </row>
    <row r="47" spans="1:4" x14ac:dyDescent="0.25">
      <c r="A47" s="7">
        <v>10</v>
      </c>
      <c r="B47" s="7">
        <f>_xll.ACT_DIST_NEGBIN_PDF(A47, 5, 0.3)</f>
        <v>6.8710126992500814E-2</v>
      </c>
      <c r="C47" s="7">
        <f>_xll.ACT_DIST_NEGBIN_CDF(A47, 5, 0.3)</f>
        <v>0.4845089407731884</v>
      </c>
      <c r="D47" s="7"/>
    </row>
    <row r="48" spans="1:4" x14ac:dyDescent="0.25">
      <c r="A48" s="7">
        <v>11</v>
      </c>
      <c r="B48" s="7">
        <f>_xll.ACT_DIST_NEGBIN_PDF(A48, 5, 0.3)</f>
        <v>6.5586939401942518E-2</v>
      </c>
      <c r="C48" s="7">
        <f>_xll.ACT_DIST_NEGBIN_CDF(A48, 5, 0.3)</f>
        <v>0.55009588017508315</v>
      </c>
      <c r="D48" s="7"/>
    </row>
    <row r="50" spans="1:4" x14ac:dyDescent="0.25">
      <c r="A50" s="5" t="s">
        <v>386</v>
      </c>
    </row>
    <row r="51" spans="1:4" x14ac:dyDescent="0.25">
      <c r="A51" s="6" t="s">
        <v>379</v>
      </c>
      <c r="B51" s="6" t="s">
        <v>380</v>
      </c>
      <c r="C51" s="6" t="s">
        <v>381</v>
      </c>
      <c r="D51" s="6" t="s">
        <v>382</v>
      </c>
    </row>
    <row r="52" spans="1:4" x14ac:dyDescent="0.25">
      <c r="A52" s="7">
        <v>0.1</v>
      </c>
      <c r="B52" s="7">
        <f>_xll.ACT_DIST_LOGNORM_PDF(A52, 0, 1)</f>
        <v>0.28159018901526828</v>
      </c>
      <c r="C52" s="7">
        <f>_xll.ACT_DIST_LOGNORM_CDF(A52, 0, 1)</f>
        <v>1.065109934170011E-2</v>
      </c>
      <c r="D52" s="7"/>
    </row>
    <row r="53" spans="1:4" x14ac:dyDescent="0.25">
      <c r="A53" s="7">
        <v>0.25</v>
      </c>
      <c r="B53" s="7">
        <f>_xll.ACT_DIST_LOGNORM_PDF(A53, 0, 1)</f>
        <v>0.61045530419018312</v>
      </c>
      <c r="C53" s="7">
        <f>_xll.ACT_DIST_LOGNORM_CDF(A53, 0, 1)</f>
        <v>8.282851900169852E-2</v>
      </c>
      <c r="D53" s="7"/>
    </row>
    <row r="54" spans="1:4" x14ac:dyDescent="0.25">
      <c r="A54" s="7">
        <v>0.5</v>
      </c>
      <c r="B54" s="7">
        <f>_xll.ACT_DIST_LOGNORM_PDF(A54, 0, 1)</f>
        <v>0.62749607711592426</v>
      </c>
      <c r="C54" s="7">
        <f>_xll.ACT_DIST_LOGNORM_CDF(A54, 0, 1)</f>
        <v>0.24410859578558275</v>
      </c>
      <c r="D54" s="7"/>
    </row>
    <row r="55" spans="1:4" x14ac:dyDescent="0.25">
      <c r="A55" s="7">
        <v>0.75</v>
      </c>
      <c r="B55" s="7">
        <f>_xll.ACT_DIST_LOGNORM_PDF(A55, 0, 1)</f>
        <v>0.51036100631384929</v>
      </c>
      <c r="C55" s="7">
        <f>_xll.ACT_DIST_LOGNORM_CDF(A55, 0, 1)</f>
        <v>0.38679505713409723</v>
      </c>
      <c r="D55" s="7"/>
    </row>
    <row r="56" spans="1:4" x14ac:dyDescent="0.25">
      <c r="A56" s="7">
        <v>1</v>
      </c>
      <c r="B56" s="7">
        <f>_xll.ACT_DIST_LOGNORM_PDF(A56, 0, 1)</f>
        <v>0.39894228040143265</v>
      </c>
      <c r="C56" s="7">
        <f>_xll.ACT_DIST_LOGNORM_CDF(A56, 0, 1)</f>
        <v>0.5</v>
      </c>
      <c r="D56" s="7" t="s">
        <v>19</v>
      </c>
    </row>
    <row r="57" spans="1:4" x14ac:dyDescent="0.25">
      <c r="A57" s="7">
        <v>1.5</v>
      </c>
      <c r="B57" s="7">
        <f>_xll.ACT_DIST_LOGNORM_PDF(A57, 0, 1)</f>
        <v>0.24497365171050992</v>
      </c>
      <c r="C57" s="7">
        <f>_xll.ACT_DIST_LOGNORM_CDF(A57, 0, 1)</f>
        <v>0.65743216948515415</v>
      </c>
      <c r="D57" s="7"/>
    </row>
    <row r="58" spans="1:4" x14ac:dyDescent="0.25">
      <c r="A58" s="7">
        <v>2</v>
      </c>
      <c r="B58" s="7">
        <f>_xll.ACT_DIST_LOGNORM_PDF(A58, 0, 1)</f>
        <v>0.15687401927898106</v>
      </c>
      <c r="C58" s="7">
        <f>_xll.ACT_DIST_LOGNORM_CDF(A58, 0, 1)</f>
        <v>0.75589140421441725</v>
      </c>
      <c r="D58" s="7"/>
    </row>
    <row r="59" spans="1:4" x14ac:dyDescent="0.25">
      <c r="A59" s="7">
        <v>3</v>
      </c>
      <c r="B59" s="7">
        <f>_xll.ACT_DIST_LOGNORM_PDF(A59, 0, 1)</f>
        <v>7.2728256139994701E-2</v>
      </c>
      <c r="C59" s="7">
        <f>_xll.ACT_DIST_LOGNORM_CDF(A59, 0, 1)</f>
        <v>0.86403139235857562</v>
      </c>
      <c r="D59" s="7"/>
    </row>
    <row r="60" spans="1:4" x14ac:dyDescent="0.25">
      <c r="A60" s="7">
        <v>4</v>
      </c>
      <c r="B60" s="7">
        <f>_xll.ACT_DIST_LOGNORM_PDF(A60, 0, 1)</f>
        <v>3.8153456511886445E-2</v>
      </c>
      <c r="C60" s="7">
        <f>_xll.ACT_DIST_LOGNORM_CDF(A60, 0, 1)</f>
        <v>0.91717148099830148</v>
      </c>
      <c r="D60" s="7"/>
    </row>
    <row r="61" spans="1:4" x14ac:dyDescent="0.25">
      <c r="A61" s="7">
        <v>5</v>
      </c>
      <c r="B61" s="7">
        <f>_xll.ACT_DIST_LOGNORM_PDF(A61, 0, 1)</f>
        <v>2.18507148303272E-2</v>
      </c>
      <c r="C61" s="7">
        <f>_xll.ACT_DIST_LOGNORM_CDF(A61, 0, 1)</f>
        <v>0.94623968954833693</v>
      </c>
      <c r="D61" s="7"/>
    </row>
    <row r="65" spans="1:4" x14ac:dyDescent="0.25">
      <c r="A65" s="5" t="s">
        <v>387</v>
      </c>
    </row>
    <row r="66" spans="1:4" x14ac:dyDescent="0.25">
      <c r="A66" s="6" t="s">
        <v>379</v>
      </c>
      <c r="B66" s="6" t="s">
        <v>380</v>
      </c>
      <c r="C66" s="6" t="s">
        <v>381</v>
      </c>
      <c r="D66" s="6" t="s">
        <v>382</v>
      </c>
    </row>
    <row r="67" spans="1:4" x14ac:dyDescent="0.25">
      <c r="A67" s="7">
        <v>0</v>
      </c>
      <c r="B67" s="7">
        <f>_xll.ACT_DIST_GAMMA_PDF(A67, 2, 1)</f>
        <v>0</v>
      </c>
      <c r="C67" s="7">
        <f>_xll.ACT_DIST_GAMMA_CDF(A67, 2, 1)</f>
        <v>0</v>
      </c>
      <c r="D67" s="7"/>
    </row>
    <row r="68" spans="1:4" x14ac:dyDescent="0.25">
      <c r="A68" s="7">
        <v>0.5</v>
      </c>
      <c r="B68" s="7">
        <f>_xll.ACT_DIST_GAMMA_PDF(A68, 2, 1)</f>
        <v>0.30326532985631671</v>
      </c>
      <c r="C68" s="7">
        <f>_xll.ACT_DIST_GAMMA_CDF(A68, 2, 1)</f>
        <v>9.0204010431049864E-2</v>
      </c>
      <c r="D68" s="7"/>
    </row>
    <row r="69" spans="1:4" x14ac:dyDescent="0.25">
      <c r="A69" s="7">
        <v>1</v>
      </c>
      <c r="B69" s="7">
        <f>_xll.ACT_DIST_GAMMA_PDF(A69, 2, 1)</f>
        <v>0.36787944117144233</v>
      </c>
      <c r="C69" s="7">
        <f>_xll.ACT_DIST_GAMMA_CDF(A69, 2, 1)</f>
        <v>0.26424111765711528</v>
      </c>
      <c r="D69" s="7"/>
    </row>
    <row r="70" spans="1:4" x14ac:dyDescent="0.25">
      <c r="A70" s="7">
        <v>1.5</v>
      </c>
      <c r="B70" s="7">
        <f>_xll.ACT_DIST_GAMMA_PDF(A70, 2, 1)</f>
        <v>0.33469524022264474</v>
      </c>
      <c r="C70" s="7">
        <f>_xll.ACT_DIST_GAMMA_CDF(A70, 2, 1)</f>
        <v>0.44217459962892536</v>
      </c>
      <c r="D70" s="7"/>
    </row>
    <row r="71" spans="1:4" x14ac:dyDescent="0.25">
      <c r="A71" s="7">
        <v>2</v>
      </c>
      <c r="B71" s="7">
        <f>_xll.ACT_DIST_GAMMA_PDF(A71, 2, 1)</f>
        <v>0.2706705664732254</v>
      </c>
      <c r="C71" s="7">
        <f>_xll.ACT_DIST_GAMMA_CDF(A71, 2, 1)</f>
        <v>0.59399415029016167</v>
      </c>
      <c r="D71" s="7" t="s">
        <v>163</v>
      </c>
    </row>
    <row r="72" spans="1:4" x14ac:dyDescent="0.25">
      <c r="A72" s="7">
        <v>3</v>
      </c>
      <c r="B72" s="7">
        <f>_xll.ACT_DIST_GAMMA_PDF(A72, 2, 1)</f>
        <v>0.14936120510359183</v>
      </c>
      <c r="C72" s="7">
        <f>_xll.ACT_DIST_GAMMA_CDF(A72, 2, 1)</f>
        <v>0.80085172652854419</v>
      </c>
      <c r="D72" s="7"/>
    </row>
    <row r="73" spans="1:4" x14ac:dyDescent="0.25">
      <c r="A73" s="7">
        <v>4</v>
      </c>
      <c r="B73" s="7">
        <f>_xll.ACT_DIST_GAMMA_PDF(A73, 2, 1)</f>
        <v>7.3262555554936715E-2</v>
      </c>
      <c r="C73" s="7">
        <f>_xll.ACT_DIST_GAMMA_CDF(A73, 2, 1)</f>
        <v>0.90842180555632912</v>
      </c>
      <c r="D73" s="7"/>
    </row>
    <row r="74" spans="1:4" x14ac:dyDescent="0.25">
      <c r="A74" s="7">
        <v>5</v>
      </c>
      <c r="B74" s="7">
        <f>_xll.ACT_DIST_GAMMA_PDF(A74, 2, 1)</f>
        <v>3.3689734995427337E-2</v>
      </c>
      <c r="C74" s="7">
        <f>_xll.ACT_DIST_GAMMA_CDF(A74, 2, 1)</f>
        <v>0.95957231800548726</v>
      </c>
      <c r="D74" s="7"/>
    </row>
    <row r="75" spans="1:4" x14ac:dyDescent="0.25">
      <c r="A75" s="7">
        <v>6</v>
      </c>
      <c r="B75" s="7">
        <f>_xll.ACT_DIST_GAMMA_PDF(A75, 2, 1)</f>
        <v>1.4872513059998151E-2</v>
      </c>
      <c r="C75" s="7">
        <f>_xll.ACT_DIST_GAMMA_CDF(A75, 2, 1)</f>
        <v>0.98264873476333547</v>
      </c>
      <c r="D75" s="7"/>
    </row>
    <row r="80" spans="1:4" x14ac:dyDescent="0.25">
      <c r="A80" s="5" t="s">
        <v>388</v>
      </c>
    </row>
    <row r="81" spans="1:4" x14ac:dyDescent="0.25">
      <c r="A81" s="6" t="s">
        <v>379</v>
      </c>
      <c r="B81" s="6" t="s">
        <v>380</v>
      </c>
      <c r="C81" s="6" t="s">
        <v>381</v>
      </c>
      <c r="D81" s="6" t="s">
        <v>382</v>
      </c>
    </row>
    <row r="82" spans="1:4" x14ac:dyDescent="0.25">
      <c r="A82" s="7">
        <v>0</v>
      </c>
      <c r="B82" s="7">
        <f>_xll.ACT_DIST_EXP_PDF(A82, 1)</f>
        <v>1</v>
      </c>
      <c r="C82" s="7">
        <f>_xll.ACT_DIST_EXP_CDF(A82, 1)</f>
        <v>0</v>
      </c>
      <c r="D82" s="7"/>
    </row>
    <row r="83" spans="1:4" x14ac:dyDescent="0.25">
      <c r="A83" s="7">
        <v>0.5</v>
      </c>
      <c r="B83" s="7">
        <f>_xll.ACT_DIST_EXP_PDF(A83, 1)</f>
        <v>0.60653065971263342</v>
      </c>
      <c r="C83" s="7">
        <f>_xll.ACT_DIST_EXP_CDF(A83, 1)</f>
        <v>0.39346934028736658</v>
      </c>
      <c r="D83" s="7"/>
    </row>
    <row r="84" spans="1:4" x14ac:dyDescent="0.25">
      <c r="A84" s="7">
        <v>1</v>
      </c>
      <c r="B84" s="7">
        <f>_xll.ACT_DIST_EXP_PDF(A84, 1)</f>
        <v>0.36787944117144233</v>
      </c>
      <c r="C84" s="7">
        <f>_xll.ACT_DIST_EXP_CDF(A84, 1)</f>
        <v>0.63212055882855767</v>
      </c>
      <c r="D84" s="7" t="s">
        <v>163</v>
      </c>
    </row>
    <row r="85" spans="1:4" x14ac:dyDescent="0.25">
      <c r="A85" s="7">
        <v>1.5</v>
      </c>
      <c r="B85" s="7">
        <f>_xll.ACT_DIST_EXP_PDF(A85, 1)</f>
        <v>0.22313016014842982</v>
      </c>
      <c r="C85" s="7">
        <f>_xll.ACT_DIST_EXP_CDF(A85, 1)</f>
        <v>0.77686983985157021</v>
      </c>
      <c r="D85" s="7"/>
    </row>
    <row r="86" spans="1:4" x14ac:dyDescent="0.25">
      <c r="A86" s="7">
        <v>2</v>
      </c>
      <c r="B86" s="7">
        <f>_xll.ACT_DIST_EXP_PDF(A86, 1)</f>
        <v>0.1353352832366127</v>
      </c>
      <c r="C86" s="7">
        <f>_xll.ACT_DIST_EXP_CDF(A86, 1)</f>
        <v>0.8646647167633873</v>
      </c>
      <c r="D86" s="7"/>
    </row>
    <row r="87" spans="1:4" x14ac:dyDescent="0.25">
      <c r="A87" s="7">
        <v>2.5</v>
      </c>
      <c r="B87" s="7">
        <f>_xll.ACT_DIST_EXP_PDF(A87, 1)</f>
        <v>8.20849986238988E-2</v>
      </c>
      <c r="C87" s="7">
        <f>_xll.ACT_DIST_EXP_CDF(A87, 1)</f>
        <v>0.91791500137610116</v>
      </c>
      <c r="D87" s="7"/>
    </row>
    <row r="88" spans="1:4" x14ac:dyDescent="0.25">
      <c r="A88" s="7">
        <v>3</v>
      </c>
      <c r="B88" s="7">
        <f>_xll.ACT_DIST_EXP_PDF(A88, 1)</f>
        <v>4.9787068367863944E-2</v>
      </c>
      <c r="C88" s="7">
        <f>_xll.ACT_DIST_EXP_CDF(A88, 1)</f>
        <v>0.95021293163213605</v>
      </c>
      <c r="D88" s="7"/>
    </row>
    <row r="89" spans="1:4" x14ac:dyDescent="0.25">
      <c r="A89" s="7">
        <v>4</v>
      </c>
      <c r="B89" s="7">
        <f>_xll.ACT_DIST_EXP_PDF(A89, 1)</f>
        <v>1.8315638888734179E-2</v>
      </c>
      <c r="C89" s="7">
        <f>_xll.ACT_DIST_EXP_CDF(A89, 1)</f>
        <v>0.98168436111126578</v>
      </c>
      <c r="D89" s="7"/>
    </row>
    <row r="90" spans="1:4" x14ac:dyDescent="0.25">
      <c r="A90" s="7">
        <v>5</v>
      </c>
      <c r="B90" s="7">
        <f>_xll.ACT_DIST_EXP_PDF(A90, 1)</f>
        <v>6.737946999085467E-3</v>
      </c>
      <c r="C90" s="7">
        <f>_xll.ACT_DIST_EXP_CDF(A90, 1)</f>
        <v>0.99326205300091452</v>
      </c>
      <c r="D90" s="7"/>
    </row>
    <row r="95" spans="1:4" x14ac:dyDescent="0.25">
      <c r="A95" s="5" t="s">
        <v>389</v>
      </c>
    </row>
    <row r="96" spans="1:4" x14ac:dyDescent="0.25">
      <c r="A96" s="6" t="s">
        <v>379</v>
      </c>
      <c r="B96" s="6" t="s">
        <v>380</v>
      </c>
      <c r="C96" s="6" t="s">
        <v>381</v>
      </c>
      <c r="D96" s="6" t="s">
        <v>382</v>
      </c>
    </row>
    <row r="97" spans="1:4" x14ac:dyDescent="0.25">
      <c r="A97" s="7">
        <v>0</v>
      </c>
      <c r="B97" s="7">
        <f>_xll.ACT_DIST_WEIBULL_PDF(A97, 2, 1)</f>
        <v>0</v>
      </c>
      <c r="C97" s="7">
        <f>_xll.ACT_DIST_WEIBULL_CDF(A97, 2, 1)</f>
        <v>0</v>
      </c>
      <c r="D97" s="7"/>
    </row>
    <row r="98" spans="1:4" x14ac:dyDescent="0.25">
      <c r="A98" s="7">
        <v>0.25</v>
      </c>
      <c r="B98" s="7">
        <f>_xll.ACT_DIST_WEIBULL_PDF(A98, 2, 1)</f>
        <v>0.4697065314067379</v>
      </c>
      <c r="C98" s="7">
        <f>_xll.ACT_DIST_WEIBULL_CDF(A98, 2, 1)</f>
        <v>6.0586929321289063E-2</v>
      </c>
      <c r="D98" s="7"/>
    </row>
    <row r="99" spans="1:4" x14ac:dyDescent="0.25">
      <c r="A99" s="7">
        <v>0.5</v>
      </c>
      <c r="B99" s="7">
        <f>_xll.ACT_DIST_WEIBULL_PDF(A99, 2, 1)</f>
        <v>0.77880078307140488</v>
      </c>
      <c r="C99" s="7">
        <f>_xll.ACT_DIST_WEIBULL_CDF(A99, 2, 1)</f>
        <v>0.22119921692859512</v>
      </c>
      <c r="D99" s="7"/>
    </row>
    <row r="100" spans="1:4" x14ac:dyDescent="0.25">
      <c r="A100" s="7">
        <v>0.75</v>
      </c>
      <c r="B100" s="7">
        <f>_xll.ACT_DIST_WEIBULL_PDF(A100, 2, 1)</f>
        <v>0.85467423709638446</v>
      </c>
      <c r="C100" s="7">
        <f>_xll.ACT_DIST_WEIBULL_CDF(A100, 2, 1)</f>
        <v>0.43021717526907699</v>
      </c>
      <c r="D100" s="7"/>
    </row>
    <row r="101" spans="1:4" x14ac:dyDescent="0.25">
      <c r="A101" s="7">
        <v>1</v>
      </c>
      <c r="B101" s="7">
        <f>_xll.ACT_DIST_WEIBULL_PDF(A101, 2, 1)</f>
        <v>0.73575888234288467</v>
      </c>
      <c r="C101" s="7">
        <f>_xll.ACT_DIST_WEIBULL_CDF(A101, 2, 1)</f>
        <v>0.63212055882855767</v>
      </c>
      <c r="D101" s="7"/>
    </row>
    <row r="102" spans="1:4" x14ac:dyDescent="0.25">
      <c r="A102" s="7">
        <v>1.5</v>
      </c>
      <c r="B102" s="7">
        <f>_xll.ACT_DIST_WEIBULL_PDF(A102, 2, 1)</f>
        <v>0.31619767368559298</v>
      </c>
      <c r="C102" s="7">
        <f>_xll.ACT_DIST_WEIBULL_CDF(A102, 2, 1)</f>
        <v>0.89460077543813565</v>
      </c>
      <c r="D102" s="7"/>
    </row>
    <row r="103" spans="1:4" x14ac:dyDescent="0.25">
      <c r="A103" s="7">
        <v>2</v>
      </c>
      <c r="B103" s="7">
        <f>_xll.ACT_DIST_WEIBULL_PDF(A103, 2, 1)</f>
        <v>7.3262555554936715E-2</v>
      </c>
      <c r="C103" s="7">
        <f>_xll.ACT_DIST_WEIBULL_CDF(A103, 2, 1)</f>
        <v>0.98168436111126578</v>
      </c>
      <c r="D103" s="7"/>
    </row>
    <row r="104" spans="1:4" x14ac:dyDescent="0.25">
      <c r="A104" s="7">
        <v>2.5</v>
      </c>
      <c r="B104" s="7">
        <f>_xll.ACT_DIST_WEIBULL_PDF(A104, 2, 1)</f>
        <v>9.6522706811385459E-3</v>
      </c>
      <c r="C104" s="7">
        <f>_xll.ACT_DIST_WEIBULL_CDF(A104, 2, 1)</f>
        <v>0.99806954586377228</v>
      </c>
      <c r="D104" s="7"/>
    </row>
    <row r="105" spans="1:4" x14ac:dyDescent="0.25">
      <c r="A105" s="7">
        <v>3</v>
      </c>
      <c r="B105" s="7">
        <f>_xll.ACT_DIST_WEIBULL_PDF(A105, 2, 1)</f>
        <v>7.4045882452007737E-4</v>
      </c>
      <c r="C105" s="7">
        <f>_xll.ACT_DIST_WEIBULL_CDF(A105, 2, 1)</f>
        <v>0.99987659019591335</v>
      </c>
      <c r="D105" s="7"/>
    </row>
    <row r="110" spans="1:4" x14ac:dyDescent="0.25">
      <c r="A110" s="5" t="s">
        <v>390</v>
      </c>
    </row>
    <row r="111" spans="1:4" x14ac:dyDescent="0.25">
      <c r="A111" s="6" t="s">
        <v>379</v>
      </c>
      <c r="B111" s="6" t="s">
        <v>380</v>
      </c>
      <c r="C111" s="6" t="s">
        <v>381</v>
      </c>
      <c r="D111" s="6" t="s">
        <v>382</v>
      </c>
    </row>
    <row r="112" spans="1:4" x14ac:dyDescent="0.25">
      <c r="A112" s="7">
        <v>0</v>
      </c>
      <c r="B112" s="7">
        <f>_xll.ACT_DIST_BETA_PDF(A112, 2, 5)</f>
        <v>0</v>
      </c>
      <c r="C112" s="7">
        <f>_xll.ACT_DIST_BETA_CDF(A112, 2, 5)</f>
        <v>0</v>
      </c>
      <c r="D112" s="7"/>
    </row>
    <row r="113" spans="1:4" x14ac:dyDescent="0.25">
      <c r="A113" s="7">
        <v>0.1</v>
      </c>
      <c r="B113" s="7">
        <f>_xll.ACT_DIST_BETA_PDF(A113, 2, 5)</f>
        <v>1.9682999999999962</v>
      </c>
      <c r="C113" s="7">
        <f>_xll.ACT_DIST_BETA_CDF(A113, 2, 5)</f>
        <v>0.11426499999999981</v>
      </c>
      <c r="D113" s="7"/>
    </row>
    <row r="114" spans="1:4" x14ac:dyDescent="0.25">
      <c r="A114" s="7">
        <v>0.2</v>
      </c>
      <c r="B114" s="7">
        <f>_xll.ACT_DIST_BETA_PDF(A114, 2, 5)</f>
        <v>2.4575999999999958</v>
      </c>
      <c r="C114" s="7">
        <f>_xll.ACT_DIST_BETA_CDF(A114, 2, 5)</f>
        <v>0.34463999999999956</v>
      </c>
      <c r="D114" s="7"/>
    </row>
    <row r="115" spans="1:4" x14ac:dyDescent="0.25">
      <c r="A115" s="7">
        <v>0.3</v>
      </c>
      <c r="B115" s="7">
        <f>_xll.ACT_DIST_BETA_PDF(A115, 2, 5)</f>
        <v>2.1608999999999954</v>
      </c>
      <c r="C115" s="7">
        <f>_xll.ACT_DIST_BETA_CDF(A115, 2, 5)</f>
        <v>0.57982499999999859</v>
      </c>
      <c r="D115" s="7"/>
    </row>
    <row r="116" spans="1:4" x14ac:dyDescent="0.25">
      <c r="A116" s="7">
        <v>0.4</v>
      </c>
      <c r="B116" s="7">
        <f>_xll.ACT_DIST_BETA_PDF(A116, 2, 5)</f>
        <v>1.555199999999997</v>
      </c>
      <c r="C116" s="7">
        <f>_xll.ACT_DIST_BETA_CDF(A116, 2, 5)</f>
        <v>0.76672000000000051</v>
      </c>
      <c r="D116" s="7"/>
    </row>
    <row r="117" spans="1:4" x14ac:dyDescent="0.25">
      <c r="A117" s="7">
        <v>0.5</v>
      </c>
      <c r="B117" s="7">
        <f>_xll.ACT_DIST_BETA_PDF(A117, 2, 5)</f>
        <v>0.93749999999999811</v>
      </c>
      <c r="C117" s="7">
        <f>_xll.ACT_DIST_BETA_CDF(A117, 2, 5)</f>
        <v>0.89062500000000022</v>
      </c>
      <c r="D117" s="7"/>
    </row>
    <row r="118" spans="1:4" x14ac:dyDescent="0.25">
      <c r="A118" s="7">
        <v>0.6</v>
      </c>
      <c r="B118" s="7">
        <f>_xll.ACT_DIST_BETA_PDF(A118, 2, 5)</f>
        <v>0.46079999999999915</v>
      </c>
      <c r="C118" s="7">
        <f>_xll.ACT_DIST_BETA_CDF(A118, 2, 5)</f>
        <v>0.95904000000000011</v>
      </c>
      <c r="D118" s="7"/>
    </row>
    <row r="119" spans="1:4" x14ac:dyDescent="0.25">
      <c r="A119" s="7">
        <v>0.7</v>
      </c>
      <c r="B119" s="7">
        <f>_xll.ACT_DIST_BETA_PDF(A119, 2, 5)</f>
        <v>0.17009999999999975</v>
      </c>
      <c r="C119" s="7">
        <f>_xll.ACT_DIST_BETA_CDF(A119, 2, 5)</f>
        <v>0.98906499999999997</v>
      </c>
      <c r="D119" s="7"/>
    </row>
    <row r="120" spans="1:4" x14ac:dyDescent="0.25">
      <c r="A120" s="7">
        <v>0.8</v>
      </c>
      <c r="B120" s="7">
        <f>_xll.ACT_DIST_BETA_PDF(A120, 2, 5)</f>
        <v>3.8399999999999893E-2</v>
      </c>
      <c r="C120" s="7">
        <f>_xll.ACT_DIST_BETA_CDF(A120, 2, 5)</f>
        <v>0.99839999999999995</v>
      </c>
      <c r="D120" s="7"/>
    </row>
    <row r="121" spans="1:4" x14ac:dyDescent="0.25">
      <c r="A121" s="7">
        <v>0.9</v>
      </c>
      <c r="B121" s="7">
        <f>_xll.ACT_DIST_BETA_PDF(A121, 2, 5)</f>
        <v>2.6999999999999923E-3</v>
      </c>
      <c r="C121" s="7">
        <f>_xll.ACT_DIST_BETA_CDF(A121, 2, 5)</f>
        <v>0.99994499999999997</v>
      </c>
      <c r="D121" s="7"/>
    </row>
    <row r="122" spans="1:4" x14ac:dyDescent="0.25">
      <c r="A122" s="7">
        <v>1</v>
      </c>
      <c r="B122" s="7">
        <f>_xll.ACT_DIST_BETA_PDF(A122, 2, 5)</f>
        <v>0</v>
      </c>
      <c r="C122" s="7">
        <f>_xll.ACT_DIST_BETA_CDF(A122, 2, 5)</f>
        <v>1</v>
      </c>
      <c r="D122" s="7"/>
    </row>
    <row r="125" spans="1:4" x14ac:dyDescent="0.25">
      <c r="A125" s="5" t="s">
        <v>391</v>
      </c>
    </row>
    <row r="126" spans="1:4" x14ac:dyDescent="0.25">
      <c r="A126" s="6" t="s">
        <v>379</v>
      </c>
      <c r="B126" s="6" t="s">
        <v>380</v>
      </c>
      <c r="C126" s="6" t="s">
        <v>381</v>
      </c>
      <c r="D126" s="6" t="s">
        <v>382</v>
      </c>
    </row>
    <row r="127" spans="1:4" x14ac:dyDescent="0.25">
      <c r="A127" s="7">
        <v>1</v>
      </c>
      <c r="B127" s="7">
        <f>_xll.ACT_DIST_PARETO_PDF(A127, 2, 1)</f>
        <v>2</v>
      </c>
      <c r="C127" s="7">
        <f>_xll.ACT_DIST_PARETO_CDF(A127, 2, 1)</f>
        <v>0</v>
      </c>
      <c r="D127" s="7" t="s">
        <v>392</v>
      </c>
    </row>
    <row r="128" spans="1:4" x14ac:dyDescent="0.25">
      <c r="A128" s="7">
        <v>1.5</v>
      </c>
      <c r="B128" s="7">
        <f>_xll.ACT_DIST_PARETO_PDF(A128, 2, 1)</f>
        <v>0.59259259259259256</v>
      </c>
      <c r="C128" s="7">
        <f>_xll.ACT_DIST_PARETO_CDF(A128, 2, 1)</f>
        <v>0.55555555555555558</v>
      </c>
      <c r="D128" s="7"/>
    </row>
    <row r="129" spans="1:4" x14ac:dyDescent="0.25">
      <c r="A129" s="7">
        <v>2</v>
      </c>
      <c r="B129" s="7">
        <f>_xll.ACT_DIST_PARETO_PDF(A129, 2, 1)</f>
        <v>0.25</v>
      </c>
      <c r="C129" s="7">
        <f>_xll.ACT_DIST_PARETO_CDF(A129, 2, 1)</f>
        <v>0.75</v>
      </c>
      <c r="D129" s="7"/>
    </row>
    <row r="130" spans="1:4" x14ac:dyDescent="0.25">
      <c r="A130" s="7">
        <v>3</v>
      </c>
      <c r="B130" s="7">
        <f>_xll.ACT_DIST_PARETO_PDF(A130, 2, 1)</f>
        <v>7.407407407407407E-2</v>
      </c>
      <c r="C130" s="7">
        <f>_xll.ACT_DIST_PARETO_CDF(A130, 2, 1)</f>
        <v>0.88888888888888884</v>
      </c>
      <c r="D130" s="7"/>
    </row>
    <row r="131" spans="1:4" x14ac:dyDescent="0.25">
      <c r="A131" s="7">
        <v>4</v>
      </c>
      <c r="B131" s="7">
        <f>_xll.ACT_DIST_PARETO_PDF(A131, 2, 1)</f>
        <v>3.125E-2</v>
      </c>
      <c r="C131" s="7">
        <f>_xll.ACT_DIST_PARETO_CDF(A131, 2, 1)</f>
        <v>0.9375</v>
      </c>
      <c r="D131" s="7"/>
    </row>
    <row r="132" spans="1:4" x14ac:dyDescent="0.25">
      <c r="A132" s="7">
        <v>5</v>
      </c>
      <c r="B132" s="7">
        <f>_xll.ACT_DIST_PARETO_PDF(A132, 2, 1)</f>
        <v>1.6E-2</v>
      </c>
      <c r="C132" s="7">
        <f>_xll.ACT_DIST_PARETO_CDF(A132, 2, 1)</f>
        <v>0.96</v>
      </c>
      <c r="D132" s="7"/>
    </row>
    <row r="133" spans="1:4" x14ac:dyDescent="0.25">
      <c r="A133" s="7">
        <v>7</v>
      </c>
      <c r="B133" s="7">
        <f>_xll.ACT_DIST_PARETO_PDF(A133, 2, 1)</f>
        <v>5.8309037900874635E-3</v>
      </c>
      <c r="C133" s="7">
        <f>_xll.ACT_DIST_PARETO_CDF(A133, 2, 1)</f>
        <v>0.97959183673469385</v>
      </c>
      <c r="D133" s="7"/>
    </row>
    <row r="134" spans="1:4" x14ac:dyDescent="0.25">
      <c r="A134" s="7">
        <v>10</v>
      </c>
      <c r="B134" s="7">
        <f>_xll.ACT_DIST_PARETO_PDF(A134, 2, 1)</f>
        <v>2E-3</v>
      </c>
      <c r="C134" s="7">
        <f>_xll.ACT_DIST_PARETO_CDF(A134, 2, 1)</f>
        <v>0.99</v>
      </c>
      <c r="D134" s="7"/>
    </row>
    <row r="140" spans="1:4" x14ac:dyDescent="0.25">
      <c r="A140" s="5" t="s">
        <v>393</v>
      </c>
    </row>
    <row r="141" spans="1:4" x14ac:dyDescent="0.25">
      <c r="A141" s="6" t="s">
        <v>379</v>
      </c>
      <c r="B141" s="6" t="s">
        <v>380</v>
      </c>
      <c r="C141" s="6" t="s">
        <v>381</v>
      </c>
      <c r="D141" s="6" t="s">
        <v>382</v>
      </c>
    </row>
    <row r="142" spans="1:4" x14ac:dyDescent="0.25">
      <c r="A142" s="7">
        <v>0</v>
      </c>
      <c r="B142" s="7">
        <f>_xll.ACT_DIST_LOMAX_PDF(A142, 2, 1)</f>
        <v>2</v>
      </c>
      <c r="C142" s="7">
        <f>_xll.ACT_DIST_LOMAX_CDF(A142, 2, 1)</f>
        <v>0</v>
      </c>
      <c r="D142" s="7"/>
    </row>
    <row r="143" spans="1:4" x14ac:dyDescent="0.25">
      <c r="A143" s="7">
        <v>0.5</v>
      </c>
      <c r="B143" s="7">
        <f>_xll.ACT_DIST_LOMAX_PDF(A143, 2, 1)</f>
        <v>0.59259259259259256</v>
      </c>
      <c r="C143" s="7">
        <f>_xll.ACT_DIST_LOMAX_CDF(A143, 2, 1)</f>
        <v>0.55555555555555558</v>
      </c>
      <c r="D143" s="7"/>
    </row>
    <row r="144" spans="1:4" x14ac:dyDescent="0.25">
      <c r="A144" s="7">
        <v>1</v>
      </c>
      <c r="B144" s="7">
        <f>_xll.ACT_DIST_LOMAX_PDF(A144, 2, 1)</f>
        <v>0.25</v>
      </c>
      <c r="C144" s="7">
        <f>_xll.ACT_DIST_LOMAX_CDF(A144, 2, 1)</f>
        <v>0.75</v>
      </c>
      <c r="D144" s="7"/>
    </row>
    <row r="145" spans="1:4" x14ac:dyDescent="0.25">
      <c r="A145" s="7">
        <v>2</v>
      </c>
      <c r="B145" s="7">
        <f>_xll.ACT_DIST_LOMAX_PDF(A145, 2, 1)</f>
        <v>7.407407407407407E-2</v>
      </c>
      <c r="C145" s="7">
        <f>_xll.ACT_DIST_LOMAX_CDF(A145, 2, 1)</f>
        <v>0.88888888888888884</v>
      </c>
      <c r="D145" s="7"/>
    </row>
    <row r="146" spans="1:4" x14ac:dyDescent="0.25">
      <c r="A146" s="7">
        <v>3</v>
      </c>
      <c r="B146" s="7">
        <f>_xll.ACT_DIST_LOMAX_PDF(A146, 2, 1)</f>
        <v>3.125E-2</v>
      </c>
      <c r="C146" s="7">
        <f>_xll.ACT_DIST_LOMAX_CDF(A146, 2, 1)</f>
        <v>0.9375</v>
      </c>
      <c r="D146" s="7"/>
    </row>
    <row r="147" spans="1:4" x14ac:dyDescent="0.25">
      <c r="A147" s="7">
        <v>4</v>
      </c>
      <c r="B147" s="7">
        <f>_xll.ACT_DIST_LOMAX_PDF(A147, 2, 1)</f>
        <v>1.6E-2</v>
      </c>
      <c r="C147" s="7">
        <f>_xll.ACT_DIST_LOMAX_CDF(A147, 2, 1)</f>
        <v>0.96</v>
      </c>
      <c r="D147" s="7"/>
    </row>
    <row r="148" spans="1:4" x14ac:dyDescent="0.25">
      <c r="A148" s="7">
        <v>5</v>
      </c>
      <c r="B148" s="7">
        <f>_xll.ACT_DIST_LOMAX_PDF(A148, 2, 1)</f>
        <v>9.2592592592592587E-3</v>
      </c>
      <c r="C148" s="7">
        <f>_xll.ACT_DIST_LOMAX_CDF(A148, 2, 1)</f>
        <v>0.97222222222222221</v>
      </c>
      <c r="D148" s="7"/>
    </row>
    <row r="149" spans="1:4" x14ac:dyDescent="0.25">
      <c r="A149" s="7">
        <v>7</v>
      </c>
      <c r="B149" s="7">
        <f>_xll.ACT_DIST_LOMAX_PDF(A149, 2, 1)</f>
        <v>3.90625E-3</v>
      </c>
      <c r="C149" s="7">
        <f>_xll.ACT_DIST_LOMAX_CDF(A149, 2, 1)</f>
        <v>0.984375</v>
      </c>
      <c r="D149" s="7"/>
    </row>
    <row r="150" spans="1:4" x14ac:dyDescent="0.25">
      <c r="A150" s="7">
        <v>10</v>
      </c>
      <c r="B150" s="7">
        <f>_xll.ACT_DIST_LOMAX_PDF(A150, 2, 1)</f>
        <v>1.5026296018031556E-3</v>
      </c>
      <c r="C150" s="7">
        <f>_xll.ACT_DIST_LOMAX_CDF(A150, 2, 1)</f>
        <v>0.99173553719008267</v>
      </c>
      <c r="D150" s="7"/>
    </row>
    <row r="155" spans="1:4" x14ac:dyDescent="0.25">
      <c r="A155" s="5" t="s">
        <v>394</v>
      </c>
    </row>
    <row r="156" spans="1:4" x14ac:dyDescent="0.25">
      <c r="A156" s="6" t="s">
        <v>379</v>
      </c>
      <c r="B156" s="6" t="s">
        <v>380</v>
      </c>
      <c r="C156" s="6" t="s">
        <v>381</v>
      </c>
      <c r="D156" s="6" t="s">
        <v>382</v>
      </c>
    </row>
    <row r="157" spans="1:4" x14ac:dyDescent="0.25">
      <c r="A157" s="7">
        <v>0</v>
      </c>
      <c r="B157" s="7">
        <f>_xll.ACT_DIST_GPD_PDF(A157, 0.5, 1)</f>
        <v>1</v>
      </c>
      <c r="C157" s="7">
        <f>_xll.ACT_DIST_GPD_CDF(A157, 0.5, 1)</f>
        <v>0</v>
      </c>
      <c r="D157" s="7"/>
    </row>
    <row r="158" spans="1:4" x14ac:dyDescent="0.25">
      <c r="A158" s="7">
        <v>0.25</v>
      </c>
      <c r="B158" s="7">
        <f>_xll.ACT_DIST_GPD_PDF(A158, 0.5, 1)</f>
        <v>0.7023319615912208</v>
      </c>
      <c r="C158" s="7">
        <f>_xll.ACT_DIST_GPD_CDF(A158, 0.5, 1)</f>
        <v>0.20987654320987659</v>
      </c>
      <c r="D158" s="7"/>
    </row>
    <row r="159" spans="1:4" x14ac:dyDescent="0.25">
      <c r="A159" s="7">
        <v>0.5</v>
      </c>
      <c r="B159" s="7">
        <f>_xll.ACT_DIST_GPD_PDF(A159, 0.5, 1)</f>
        <v>0.51200000000000001</v>
      </c>
      <c r="C159" s="7">
        <f>_xll.ACT_DIST_GPD_CDF(A159, 0.5, 1)</f>
        <v>0.36</v>
      </c>
      <c r="D159" s="7"/>
    </row>
    <row r="160" spans="1:4" x14ac:dyDescent="0.25">
      <c r="A160" s="7">
        <v>1</v>
      </c>
      <c r="B160" s="7">
        <f>_xll.ACT_DIST_GPD_PDF(A160, 0.5, 1)</f>
        <v>0.29629629629629628</v>
      </c>
      <c r="C160" s="7">
        <f>_xll.ACT_DIST_GPD_CDF(A160, 0.5, 1)</f>
        <v>0.55555555555555558</v>
      </c>
      <c r="D160" s="7"/>
    </row>
    <row r="161" spans="1:4" x14ac:dyDescent="0.25">
      <c r="A161" s="7">
        <v>1.5</v>
      </c>
      <c r="B161" s="7">
        <f>_xll.ACT_DIST_GPD_PDF(A161, 0.5, 1)</f>
        <v>0.18658892128279883</v>
      </c>
      <c r="C161" s="7">
        <f>_xll.ACT_DIST_GPD_CDF(A161, 0.5, 1)</f>
        <v>0.67346938775510212</v>
      </c>
      <c r="D161" s="7"/>
    </row>
    <row r="162" spans="1:4" x14ac:dyDescent="0.25">
      <c r="A162" s="7">
        <v>2</v>
      </c>
      <c r="B162" s="7">
        <f>_xll.ACT_DIST_GPD_PDF(A162, 0.5, 1)</f>
        <v>0.125</v>
      </c>
      <c r="C162" s="7">
        <f>_xll.ACT_DIST_GPD_CDF(A162, 0.5, 1)</f>
        <v>0.75</v>
      </c>
      <c r="D162" s="7"/>
    </row>
    <row r="163" spans="1:4" x14ac:dyDescent="0.25">
      <c r="A163" s="7">
        <v>3</v>
      </c>
      <c r="B163" s="7">
        <f>_xll.ACT_DIST_GPD_PDF(A163, 0.5, 1)</f>
        <v>6.4000000000000001E-2</v>
      </c>
      <c r="C163" s="7">
        <f>_xll.ACT_DIST_GPD_CDF(A163, 0.5, 1)</f>
        <v>0.84</v>
      </c>
      <c r="D163" s="7"/>
    </row>
    <row r="164" spans="1:4" x14ac:dyDescent="0.25">
      <c r="A164" s="7">
        <v>4</v>
      </c>
      <c r="B164" s="7">
        <f>_xll.ACT_DIST_GPD_PDF(A164, 0.5, 1)</f>
        <v>3.7037037037037035E-2</v>
      </c>
      <c r="C164" s="7">
        <f>_xll.ACT_DIST_GPD_CDF(A164, 0.5, 1)</f>
        <v>0.88888888888888884</v>
      </c>
      <c r="D164" s="7"/>
    </row>
    <row r="165" spans="1:4" x14ac:dyDescent="0.25">
      <c r="A165" s="7">
        <v>5</v>
      </c>
      <c r="B165" s="7">
        <f>_xll.ACT_DIST_GPD_PDF(A165, 0.5, 1)</f>
        <v>2.3323615160349854E-2</v>
      </c>
      <c r="C165" s="7">
        <f>_xll.ACT_DIST_GPD_CDF(A165, 0.5, 1)</f>
        <v>0.91836734693877553</v>
      </c>
      <c r="D165" s="7"/>
    </row>
    <row r="170" spans="1:4" x14ac:dyDescent="0.25">
      <c r="A170" s="5" t="s">
        <v>395</v>
      </c>
    </row>
    <row r="171" spans="1:4" x14ac:dyDescent="0.25">
      <c r="A171" s="6" t="s">
        <v>379</v>
      </c>
      <c r="B171" s="6" t="s">
        <v>380</v>
      </c>
      <c r="C171" s="6" t="s">
        <v>381</v>
      </c>
      <c r="D171" s="6" t="s">
        <v>382</v>
      </c>
    </row>
    <row r="172" spans="1:4" x14ac:dyDescent="0.25">
      <c r="A172" s="7">
        <v>0</v>
      </c>
      <c r="B172" s="7">
        <f>_xll.ACT_DIST_BURR_PDF(A172, 2, 1, 1)</f>
        <v>0</v>
      </c>
      <c r="C172" s="7">
        <f>_xll.ACT_DIST_BURR_CDF(A172, 2, 1, 1)</f>
        <v>0</v>
      </c>
      <c r="D172" s="7"/>
    </row>
    <row r="173" spans="1:4" x14ac:dyDescent="0.25">
      <c r="A173" s="7">
        <v>0.25</v>
      </c>
      <c r="B173" s="7">
        <f>_xll.ACT_DIST_BURR_PDF(A173, 2, 1, 1)</f>
        <v>0.44290657439446368</v>
      </c>
      <c r="C173" s="7">
        <f>_xll.ACT_DIST_BURR_CDF(A173, 2, 1, 1)</f>
        <v>5.8823529411764719E-2</v>
      </c>
      <c r="D173" s="7"/>
    </row>
    <row r="174" spans="1:4" x14ac:dyDescent="0.25">
      <c r="A174" s="7">
        <v>0.5</v>
      </c>
      <c r="B174" s="7">
        <f>_xll.ACT_DIST_BURR_PDF(A174, 2, 1, 1)</f>
        <v>0.64</v>
      </c>
      <c r="C174" s="7">
        <f>_xll.ACT_DIST_BURR_CDF(A174, 2, 1, 1)</f>
        <v>0.19999999999999996</v>
      </c>
      <c r="D174" s="7"/>
    </row>
    <row r="175" spans="1:4" x14ac:dyDescent="0.25">
      <c r="A175" s="7">
        <v>1</v>
      </c>
      <c r="B175" s="7">
        <f>_xll.ACT_DIST_BURR_PDF(A175, 2, 1, 1)</f>
        <v>0.5</v>
      </c>
      <c r="C175" s="7">
        <f>_xll.ACT_DIST_BURR_CDF(A175, 2, 1, 1)</f>
        <v>0.5</v>
      </c>
      <c r="D175" s="7"/>
    </row>
    <row r="176" spans="1:4" x14ac:dyDescent="0.25">
      <c r="A176" s="7">
        <v>1.5</v>
      </c>
      <c r="B176" s="7">
        <f>_xll.ACT_DIST_BURR_PDF(A176, 2, 1, 1)</f>
        <v>0.28402366863905326</v>
      </c>
      <c r="C176" s="7">
        <f>_xll.ACT_DIST_BURR_CDF(A176, 2, 1, 1)</f>
        <v>0.69230769230769229</v>
      </c>
      <c r="D176" s="7"/>
    </row>
    <row r="177" spans="1:4" x14ac:dyDescent="0.25">
      <c r="A177" s="7">
        <v>2</v>
      </c>
      <c r="B177" s="7">
        <f>_xll.ACT_DIST_BURR_PDF(A177, 2, 1, 1)</f>
        <v>0.16</v>
      </c>
      <c r="C177" s="7">
        <f>_xll.ACT_DIST_BURR_CDF(A177, 2, 1, 1)</f>
        <v>0.8</v>
      </c>
      <c r="D177" s="7"/>
    </row>
    <row r="178" spans="1:4" x14ac:dyDescent="0.25">
      <c r="A178" s="7">
        <v>3</v>
      </c>
      <c r="B178" s="7">
        <f>_xll.ACT_DIST_BURR_PDF(A178, 2, 1, 1)</f>
        <v>0.06</v>
      </c>
      <c r="C178" s="7">
        <f>_xll.ACT_DIST_BURR_CDF(A178, 2, 1, 1)</f>
        <v>0.9</v>
      </c>
      <c r="D178" s="7"/>
    </row>
    <row r="179" spans="1:4" x14ac:dyDescent="0.25">
      <c r="A179" s="7">
        <v>4</v>
      </c>
      <c r="B179" s="7">
        <f>_xll.ACT_DIST_BURR_PDF(A179, 2, 1, 1)</f>
        <v>2.768166089965398E-2</v>
      </c>
      <c r="C179" s="7">
        <f>_xll.ACT_DIST_BURR_CDF(A179, 2, 1, 1)</f>
        <v>0.94117647058823528</v>
      </c>
      <c r="D179" s="7"/>
    </row>
    <row r="180" spans="1:4" x14ac:dyDescent="0.25">
      <c r="A180" s="7">
        <v>5</v>
      </c>
      <c r="B180" s="7">
        <f>_xll.ACT_DIST_BURR_PDF(A180, 2, 1, 1)</f>
        <v>1.4792899408284023E-2</v>
      </c>
      <c r="C180" s="7">
        <f>_xll.ACT_DIST_BURR_CDF(A180, 2, 1, 1)</f>
        <v>0.96153846153846156</v>
      </c>
      <c r="D180" s="7"/>
    </row>
    <row r="185" spans="1:4" x14ac:dyDescent="0.25">
      <c r="A185" s="5" t="s">
        <v>396</v>
      </c>
    </row>
    <row r="186" spans="1:4" x14ac:dyDescent="0.25">
      <c r="A186" s="6" t="s">
        <v>379</v>
      </c>
      <c r="B186" s="6" t="s">
        <v>380</v>
      </c>
      <c r="C186" s="6" t="s">
        <v>381</v>
      </c>
      <c r="D186" s="6" t="s">
        <v>382</v>
      </c>
    </row>
    <row r="187" spans="1:4" x14ac:dyDescent="0.25">
      <c r="A187" s="7">
        <v>0.25</v>
      </c>
      <c r="B187" s="7">
        <f>_xll.ACT_DIST_INVGAUSS_PDF(A187, 2, 3)</f>
        <v>5.5913979633876149E-2</v>
      </c>
      <c r="C187" s="7">
        <f>_xll.ACT_DIST_INVGAUSS_CDF(A187, 2, 3)</f>
        <v>2.1959874857560759E-3</v>
      </c>
      <c r="D187" s="7"/>
    </row>
    <row r="188" spans="1:4" x14ac:dyDescent="0.25">
      <c r="A188" s="7">
        <v>0.5</v>
      </c>
      <c r="B188" s="7">
        <f>_xll.ACT_DIST_INVGAUSS_PDF(A188, 2, 3)</f>
        <v>0.36152950660010974</v>
      </c>
      <c r="C188" s="7">
        <f>_xll.ACT_DIST_INVGAUSS_CDF(A188, 2, 3)</f>
        <v>5.5186835993080538E-2</v>
      </c>
      <c r="D188" s="7"/>
    </row>
    <row r="189" spans="1:4" x14ac:dyDescent="0.25">
      <c r="A189" s="7">
        <v>1</v>
      </c>
      <c r="B189" s="7">
        <f>_xll.ACT_DIST_INVGAUSS_PDF(A189, 2, 3)</f>
        <v>0.47490884963330909</v>
      </c>
      <c r="C189" s="7">
        <f>_xll.ACT_DIST_INVGAUSS_CDF(A189, 2, 3)</f>
        <v>0.28738674440477369</v>
      </c>
      <c r="D189" s="7"/>
    </row>
    <row r="190" spans="1:4" x14ac:dyDescent="0.25">
      <c r="A190" s="7">
        <v>1.5</v>
      </c>
      <c r="B190" s="7">
        <f>_xll.ACT_DIST_INVGAUSS_PDF(A190, 2, 3)</f>
        <v>0.35333804312537143</v>
      </c>
      <c r="C190" s="7">
        <f>_xll.ACT_DIST_INVGAUSS_CDF(A190, 2, 3)</f>
        <v>0.49569012484162961</v>
      </c>
      <c r="D190" s="7"/>
    </row>
    <row r="191" spans="1:4" x14ac:dyDescent="0.25">
      <c r="A191" s="7">
        <v>2</v>
      </c>
      <c r="B191" s="7">
        <f>_xll.ACT_DIST_INVGAUSS_PDF(A191, 2, 3)</f>
        <v>0.24430125595145996</v>
      </c>
      <c r="C191" s="7">
        <f>_xll.ACT_DIST_INVGAUSS_CDF(A191, 2, 3)</f>
        <v>0.64367062476672832</v>
      </c>
      <c r="D191" s="7" t="s">
        <v>163</v>
      </c>
    </row>
    <row r="192" spans="1:4" x14ac:dyDescent="0.25">
      <c r="A192" s="7">
        <v>2.5</v>
      </c>
      <c r="B192" s="7">
        <f>_xll.ACT_DIST_INVGAUSS_PDF(A192, 2, 3)</f>
        <v>0.16837384790974963</v>
      </c>
      <c r="C192" s="7">
        <f>_xll.ACT_DIST_INVGAUSS_CDF(A192, 2, 3)</f>
        <v>0.74559907719013918</v>
      </c>
      <c r="D192" s="7"/>
    </row>
    <row r="193" spans="1:4" x14ac:dyDescent="0.25">
      <c r="A193" s="7">
        <v>3</v>
      </c>
      <c r="B193" s="7">
        <f>_xll.ACT_DIST_INVGAUSS_PDF(A193, 2, 3)</f>
        <v>0.11735510892143318</v>
      </c>
      <c r="C193" s="7">
        <f>_xll.ACT_DIST_INVGAUSS_CDF(A193, 2, 3)</f>
        <v>0.8161869234555279</v>
      </c>
      <c r="D193" s="7"/>
    </row>
    <row r="194" spans="1:4" x14ac:dyDescent="0.25">
      <c r="A194" s="7">
        <v>4</v>
      </c>
      <c r="B194" s="7">
        <f>_xll.ACT_DIST_INVGAUSS_PDF(A194, 2, 3)</f>
        <v>5.9363606204163637E-2</v>
      </c>
      <c r="C194" s="7">
        <f>_xll.ACT_DIST_INVGAUSS_CDF(A194, 2, 3)</f>
        <v>0.90091051363354091</v>
      </c>
      <c r="D194" s="7"/>
    </row>
    <row r="195" spans="1:4" x14ac:dyDescent="0.25">
      <c r="A195" s="7">
        <v>5</v>
      </c>
      <c r="B195" s="7">
        <f>_xll.ACT_DIST_INVGAUSS_PDF(A195, 2, 3)</f>
        <v>3.1467838412026328E-2</v>
      </c>
      <c r="C195" s="7">
        <f>_xll.ACT_DIST_INVGAUSS_CDF(A195, 2, 3)</f>
        <v>0.94471051476543944</v>
      </c>
      <c r="D195" s="7"/>
    </row>
    <row r="200" spans="1:4" x14ac:dyDescent="0.25">
      <c r="A200" s="5" t="s">
        <v>397</v>
      </c>
    </row>
    <row r="201" spans="1:4" x14ac:dyDescent="0.25">
      <c r="A201" s="6" t="s">
        <v>379</v>
      </c>
      <c r="B201" s="6" t="s">
        <v>380</v>
      </c>
      <c r="C201" s="6" t="s">
        <v>381</v>
      </c>
      <c r="D201" s="6" t="s">
        <v>382</v>
      </c>
    </row>
    <row r="202" spans="1:4" x14ac:dyDescent="0.25">
      <c r="A202" s="7">
        <v>0.25</v>
      </c>
      <c r="B202" s="7">
        <f>_xll.ACT_DIST_LOGLOGISTIC_PDF(A202, 2, 3)</f>
        <v>2.3346214789735874E-2</v>
      </c>
      <c r="C202" s="7">
        <f>_xll.ACT_DIST_LOGLOGISTIC_CDF(A202, 2, 3)</f>
        <v>1.9493177387914229E-3</v>
      </c>
      <c r="D202" s="7"/>
    </row>
    <row r="203" spans="1:4" x14ac:dyDescent="0.25">
      <c r="A203" s="7">
        <v>0.5</v>
      </c>
      <c r="B203" s="7">
        <f>_xll.ACT_DIST_LOGLOGISTIC_PDF(A203, 2, 3)</f>
        <v>9.0887573964497037E-2</v>
      </c>
      <c r="C203" s="7">
        <f>_xll.ACT_DIST_LOGLOGISTIC_CDF(A203, 2, 3)</f>
        <v>1.5384615384615385E-2</v>
      </c>
      <c r="D203" s="7"/>
    </row>
    <row r="204" spans="1:4" x14ac:dyDescent="0.25">
      <c r="A204" s="7">
        <v>1</v>
      </c>
      <c r="B204" s="7">
        <f>_xll.ACT_DIST_LOGLOGISTIC_PDF(A204, 2, 3)</f>
        <v>0.29629629629629628</v>
      </c>
      <c r="C204" s="7">
        <f>_xll.ACT_DIST_LOGLOGISTIC_CDF(A204, 2, 3)</f>
        <v>0.1111111111111111</v>
      </c>
      <c r="D204" s="7"/>
    </row>
    <row r="205" spans="1:4" x14ac:dyDescent="0.25">
      <c r="A205" s="7">
        <v>1.5</v>
      </c>
      <c r="B205" s="7">
        <f>_xll.ACT_DIST_LOGLOGISTIC_PDF(A205, 2, 3)</f>
        <v>0.4173409008573844</v>
      </c>
      <c r="C205" s="7">
        <f>_xll.ACT_DIST_LOGLOGISTIC_CDF(A205, 2, 3)</f>
        <v>0.2967032967032967</v>
      </c>
      <c r="D205" s="7"/>
    </row>
    <row r="206" spans="1:4" x14ac:dyDescent="0.25">
      <c r="A206" s="7">
        <v>2</v>
      </c>
      <c r="B206" s="7">
        <f>_xll.ACT_DIST_LOGLOGISTIC_PDF(A206, 2, 3)</f>
        <v>0.375</v>
      </c>
      <c r="C206" s="7">
        <f>_xll.ACT_DIST_LOGLOGISTIC_CDF(A206, 2, 3)</f>
        <v>0.5</v>
      </c>
      <c r="D206" s="7" t="s">
        <v>19</v>
      </c>
    </row>
    <row r="207" spans="1:4" x14ac:dyDescent="0.25">
      <c r="A207" s="7">
        <v>3</v>
      </c>
      <c r="B207" s="7">
        <f>_xll.ACT_DIST_LOGLOGISTIC_PDF(A207, 2, 3)</f>
        <v>0.1763265306122449</v>
      </c>
      <c r="C207" s="7">
        <f>_xll.ACT_DIST_LOGLOGISTIC_CDF(A207, 2, 3)</f>
        <v>0.77142857142857146</v>
      </c>
      <c r="D207" s="7"/>
    </row>
    <row r="208" spans="1:4" x14ac:dyDescent="0.25">
      <c r="A208" s="7">
        <v>4</v>
      </c>
      <c r="B208" s="7">
        <f>_xll.ACT_DIST_LOGLOGISTIC_PDF(A208, 2, 3)</f>
        <v>7.407407407407407E-2</v>
      </c>
      <c r="C208" s="7">
        <f>_xll.ACT_DIST_LOGLOGISTIC_CDF(A208, 2, 3)</f>
        <v>0.88888888888888884</v>
      </c>
      <c r="D208" s="7"/>
    </row>
    <row r="209" spans="1:4" x14ac:dyDescent="0.25">
      <c r="A209" s="7">
        <v>5</v>
      </c>
      <c r="B209" s="7">
        <f>_xll.ACT_DIST_LOGLOGISTIC_PDF(A209, 2, 3)</f>
        <v>3.3919384928486632E-2</v>
      </c>
      <c r="C209" s="7">
        <f>_xll.ACT_DIST_LOGLOGISTIC_CDF(A209, 2, 3)</f>
        <v>0.93984962406015038</v>
      </c>
      <c r="D209" s="7"/>
    </row>
    <row r="210" spans="1:4" x14ac:dyDescent="0.25">
      <c r="A210" s="7">
        <v>7</v>
      </c>
      <c r="B210" s="7">
        <f>_xll.ACT_DIST_LOGLOGISTIC_PDF(A210, 2, 3)</f>
        <v>9.545377066744588E-3</v>
      </c>
      <c r="C210" s="7">
        <f>_xll.ACT_DIST_LOGLOGISTIC_CDF(A210, 2, 3)</f>
        <v>0.97720797720797725</v>
      </c>
      <c r="D210" s="7"/>
    </row>
    <row r="215" spans="1:4" x14ac:dyDescent="0.25">
      <c r="A215" s="5" t="s">
        <v>398</v>
      </c>
    </row>
    <row r="216" spans="1:4" x14ac:dyDescent="0.25">
      <c r="A216" s="6" t="s">
        <v>137</v>
      </c>
      <c r="B216" s="6" t="s">
        <v>399</v>
      </c>
      <c r="C216" s="6" t="s">
        <v>381</v>
      </c>
      <c r="D216" s="6" t="s">
        <v>382</v>
      </c>
    </row>
    <row r="217" spans="1:4" x14ac:dyDescent="0.25">
      <c r="A217" s="7">
        <v>1</v>
      </c>
      <c r="B217" s="7">
        <f>_xll.ACT_DIST_ZTPOISSON_PDF(A217, 5)</f>
        <v>3.3918274531521159E-2</v>
      </c>
      <c r="C217" s="7">
        <f>_xll.ACT_DIST_ZTPOISSON_CDF(A217, 5)</f>
        <v>3.3918274531521096E-2</v>
      </c>
      <c r="D217" s="7"/>
    </row>
    <row r="218" spans="1:4" x14ac:dyDescent="0.25">
      <c r="A218" s="7">
        <v>2</v>
      </c>
      <c r="B218" s="7">
        <f>_xll.ACT_DIST_ZTPOISSON_PDF(A218, 5)</f>
        <v>8.4795686328802869E-2</v>
      </c>
      <c r="C218" s="7">
        <f>_xll.ACT_DIST_ZTPOISSON_CDF(A218, 5)</f>
        <v>0.1187139608603236</v>
      </c>
      <c r="D218" s="7"/>
    </row>
    <row r="219" spans="1:4" x14ac:dyDescent="0.25">
      <c r="A219" s="7">
        <v>3</v>
      </c>
      <c r="B219" s="7">
        <f>_xll.ACT_DIST_ZTPOISSON_PDF(A219, 5)</f>
        <v>0.14132614388133807</v>
      </c>
      <c r="C219" s="7">
        <f>_xll.ACT_DIST_ZTPOISSON_CDF(A219, 5)</f>
        <v>0.26004010474166267</v>
      </c>
      <c r="D219" s="7"/>
    </row>
    <row r="220" spans="1:4" x14ac:dyDescent="0.25">
      <c r="A220" s="7">
        <v>4</v>
      </c>
      <c r="B220" s="7">
        <f>_xll.ACT_DIST_ZTPOISSON_PDF(A220, 5)</f>
        <v>0.17665767985167261</v>
      </c>
      <c r="C220" s="7">
        <f>_xll.ACT_DIST_ZTPOISSON_CDF(A220, 5)</f>
        <v>0.43669778459333725</v>
      </c>
      <c r="D220" s="7"/>
    </row>
    <row r="221" spans="1:4" x14ac:dyDescent="0.25">
      <c r="A221" s="7">
        <v>5</v>
      </c>
      <c r="B221" s="7">
        <f>_xll.ACT_DIST_ZTPOISSON_PDF(A221, 5)</f>
        <v>0.17665767985167266</v>
      </c>
      <c r="C221" s="7">
        <f>_xll.ACT_DIST_ZTPOISSON_CDF(A221, 5)</f>
        <v>0.61335546444500655</v>
      </c>
      <c r="D221" s="7" t="s">
        <v>384</v>
      </c>
    </row>
    <row r="222" spans="1:4" x14ac:dyDescent="0.25">
      <c r="A222" s="7">
        <v>6</v>
      </c>
      <c r="B222" s="7">
        <f>_xll.ACT_DIST_ZTPOISSON_PDF(A222, 5)</f>
        <v>0.14721473320972706</v>
      </c>
      <c r="C222" s="7">
        <f>_xll.ACT_DIST_ZTPOISSON_CDF(A222, 5)</f>
        <v>0.76057019765473521</v>
      </c>
      <c r="D222" s="7"/>
    </row>
    <row r="223" spans="1:4" x14ac:dyDescent="0.25">
      <c r="A223" s="7">
        <v>7</v>
      </c>
      <c r="B223" s="7">
        <f>_xll.ACT_DIST_ZTPOISSON_PDF(A223, 5)</f>
        <v>0.10515338086409085</v>
      </c>
      <c r="C223" s="7">
        <f>_xll.ACT_DIST_ZTPOISSON_CDF(A223, 5)</f>
        <v>0.86572357851882142</v>
      </c>
      <c r="D223" s="7"/>
    </row>
    <row r="224" spans="1:4" x14ac:dyDescent="0.25">
      <c r="A224" s="7">
        <v>8</v>
      </c>
      <c r="B224" s="7">
        <f>_xll.ACT_DIST_ZTPOISSON_PDF(A224, 5)</f>
        <v>6.5720863040056712E-2</v>
      </c>
      <c r="C224" s="7">
        <f>_xll.ACT_DIST_ZTPOISSON_CDF(A224, 5)</f>
        <v>0.93144444155888384</v>
      </c>
      <c r="D224" s="7"/>
    </row>
    <row r="225" spans="1:4" x14ac:dyDescent="0.25">
      <c r="A225" s="7">
        <v>9</v>
      </c>
      <c r="B225" s="7">
        <f>_xll.ACT_DIST_ZTPOISSON_PDF(A225, 5)</f>
        <v>3.6511590577809304E-2</v>
      </c>
      <c r="C225" s="7">
        <f>_xll.ACT_DIST_ZTPOISSON_CDF(A225, 5)</f>
        <v>0.96795603213669201</v>
      </c>
      <c r="D225" s="7"/>
    </row>
    <row r="226" spans="1:4" x14ac:dyDescent="0.25">
      <c r="A226" s="7">
        <v>10</v>
      </c>
      <c r="B226" s="7">
        <f>_xll.ACT_DIST_ZTPOISSON_PDF(A226, 5)</f>
        <v>1.8255795288904648E-2</v>
      </c>
      <c r="C226" s="7">
        <f>_xll.ACT_DIST_ZTPOISSON_CDF(A226, 5)</f>
        <v>0.98621182742559654</v>
      </c>
      <c r="D226" s="7"/>
    </row>
    <row r="227" spans="1:4" x14ac:dyDescent="0.25">
      <c r="A227" s="7" t="s">
        <v>400</v>
      </c>
      <c r="B227" s="7">
        <f>_xll.ACT_DIST_ZTPOISSON_MEAN(5)</f>
        <v>5.033918274531521</v>
      </c>
      <c r="C227" s="7"/>
      <c r="D227" s="7" t="s">
        <v>39</v>
      </c>
    </row>
    <row r="230" spans="1:4" x14ac:dyDescent="0.25">
      <c r="A230" s="5" t="s">
        <v>401</v>
      </c>
    </row>
    <row r="231" spans="1:4" x14ac:dyDescent="0.25">
      <c r="A231" s="6" t="s">
        <v>137</v>
      </c>
      <c r="B231" s="6" t="s">
        <v>399</v>
      </c>
      <c r="C231" s="6" t="s">
        <v>381</v>
      </c>
      <c r="D231" s="6" t="s">
        <v>382</v>
      </c>
    </row>
    <row r="232" spans="1:4" x14ac:dyDescent="0.25">
      <c r="A232" s="7">
        <v>1</v>
      </c>
      <c r="B232" s="7">
        <f>_xll.ACT_DIST_ZTNEGBIN_PDF(A232, 5, 0.3)</f>
        <v>8.5257174935091575E-3</v>
      </c>
      <c r="C232" s="7">
        <f>_xll.ACT_DIST_ZTNEGBIN_CDF(A232, 5, 0.3)</f>
        <v>8.5257174935092564E-3</v>
      </c>
      <c r="D232" s="7"/>
    </row>
    <row r="233" spans="1:4" x14ac:dyDescent="0.25">
      <c r="A233" s="7">
        <v>2</v>
      </c>
      <c r="B233" s="7">
        <f>_xll.ACT_DIST_ZTNEGBIN_PDF(A233, 5, 0.3)</f>
        <v>1.7904006736369264E-2</v>
      </c>
      <c r="C233" s="7">
        <f>_xll.ACT_DIST_ZTNEGBIN_CDF(A233, 5, 0.3)</f>
        <v>2.6429724229877469E-2</v>
      </c>
      <c r="D233" s="7"/>
    </row>
    <row r="234" spans="1:4" x14ac:dyDescent="0.25">
      <c r="A234" s="7">
        <v>3</v>
      </c>
      <c r="B234" s="7">
        <f>_xll.ACT_DIST_ZTNEGBIN_PDF(A234, 5, 0.3)</f>
        <v>2.9243211002735654E-2</v>
      </c>
      <c r="C234" s="7">
        <f>_xll.ACT_DIST_ZTNEGBIN_CDF(A234, 5, 0.3)</f>
        <v>5.5672935232616183E-2</v>
      </c>
      <c r="D234" s="7"/>
    </row>
    <row r="235" spans="1:4" x14ac:dyDescent="0.25">
      <c r="A235" s="7">
        <v>5</v>
      </c>
      <c r="B235" s="7">
        <f>_xll.ACT_DIST_ZTNEGBIN_PDF(A235, 5, 0.3)</f>
        <v>5.1585024208827691E-2</v>
      </c>
      <c r="C235" s="7">
        <f>_xll.ACT_DIST_ZTNEGBIN_CDF(A235, 5, 0.3)</f>
        <v>0.14819845484527452</v>
      </c>
      <c r="D235" s="7"/>
    </row>
    <row r="236" spans="1:4" x14ac:dyDescent="0.25">
      <c r="A236" s="7">
        <v>7</v>
      </c>
      <c r="B236" s="7">
        <f>_xll.ACT_DIST_ZTNEGBIN_PDF(A236, 5, 0.3)</f>
        <v>6.6200781067997344E-2</v>
      </c>
      <c r="C236" s="7">
        <f>_xll.ACT_DIST_ZTNEGBIN_CDF(A236, 5, 0.3)</f>
        <v>0.27458176415691538</v>
      </c>
      <c r="D236" s="7"/>
    </row>
    <row r="237" spans="1:4" x14ac:dyDescent="0.25">
      <c r="A237" s="7">
        <v>10</v>
      </c>
      <c r="B237" s="7">
        <f>_xll.ACT_DIST_ZTNEGBIN_PDF(A237, 5, 0.3)</f>
        <v>6.8877499315838309E-2</v>
      </c>
      <c r="C237" s="7">
        <f>_xll.ACT_DIST_ZTNEGBIN_CDF(A237, 5, 0.3)</f>
        <v>0.48325324616136056</v>
      </c>
      <c r="D237" s="7"/>
    </row>
    <row r="238" spans="1:4" x14ac:dyDescent="0.25">
      <c r="A238" s="7">
        <v>15</v>
      </c>
      <c r="B238" s="7">
        <f>_xll.ACT_DIST_ZTNEGBIN_PDF(A238, 5, 0.3)</f>
        <v>4.4824686630979597E-2</v>
      </c>
      <c r="C238" s="7">
        <f>_xll.ACT_DIST_ZTNEGBIN_CDF(A238, 5, 0.3)</f>
        <v>0.7619136713437813</v>
      </c>
      <c r="D238" s="7"/>
    </row>
    <row r="239" spans="1:4" x14ac:dyDescent="0.25">
      <c r="A239" s="7">
        <v>20</v>
      </c>
      <c r="B239" s="7">
        <f>_xll.ACT_DIST_ZTNEGBIN_PDF(A239, 5, 0.3)</f>
        <v>2.0653492694029767E-2</v>
      </c>
      <c r="C239" s="7">
        <f>_xll.ACT_DIST_ZTNEGBIN_CDF(A239, 5, 0.3)</f>
        <v>0.90930769915480691</v>
      </c>
      <c r="D239" s="7"/>
    </row>
    <row r="240" spans="1:4" x14ac:dyDescent="0.25">
      <c r="A240" s="7">
        <v>25</v>
      </c>
      <c r="B240" s="7">
        <f>_xll.ACT_DIST_ZTNEGBIN_PDF(A240, 5, 0.3)</f>
        <v>7.7588220885854691E-3</v>
      </c>
      <c r="C240" s="7">
        <f>_xll.ACT_DIST_ZTNEGBIN_CDF(A240, 5, 0.3)</f>
        <v>0.9697716018905046</v>
      </c>
      <c r="D240" s="7"/>
    </row>
    <row r="241" spans="1:4" x14ac:dyDescent="0.25">
      <c r="A241" s="7">
        <v>30</v>
      </c>
      <c r="B241" s="7">
        <f>_xll.ACT_DIST_ZTNEGBIN_PDF(A241, 5, 0.3)</f>
        <v>2.5462285374760587E-3</v>
      </c>
      <c r="C241" s="7">
        <f>_xll.ACT_DIST_ZTNEGBIN_CDF(A241, 5, 0.3)</f>
        <v>0.99085998830989097</v>
      </c>
      <c r="D241" s="7"/>
    </row>
    <row r="242" spans="1:4" x14ac:dyDescent="0.25">
      <c r="A242" s="7" t="s">
        <v>400</v>
      </c>
      <c r="B242" s="7">
        <f>_xll.ACT_DIST_ZTNEGBIN_MEAN(5, 0.3)</f>
        <v>11.695085724978366</v>
      </c>
      <c r="C242" s="7"/>
      <c r="D242" s="7" t="s">
        <v>39</v>
      </c>
    </row>
    <row r="245" spans="1:4" x14ac:dyDescent="0.25">
      <c r="A245" s="5" t="s">
        <v>402</v>
      </c>
    </row>
    <row r="246" spans="1:4" x14ac:dyDescent="0.25">
      <c r="A246" s="6" t="s">
        <v>137</v>
      </c>
      <c r="B246" s="6" t="s">
        <v>399</v>
      </c>
      <c r="C246" s="6" t="s">
        <v>381</v>
      </c>
      <c r="D246" s="6" t="s">
        <v>382</v>
      </c>
    </row>
    <row r="247" spans="1:4" x14ac:dyDescent="0.25">
      <c r="A247" s="7">
        <v>1</v>
      </c>
      <c r="B247" s="7">
        <f>_xll.ACT_DIST_ZTBINOM_PDF(A247, 10, 0.3)</f>
        <v>0.1245798946769259</v>
      </c>
      <c r="C247" s="7">
        <f>_xll.ACT_DIST_ZTBINOM_CDF(A247, 10, 0.3)</f>
        <v>0.1245798946769235</v>
      </c>
      <c r="D247" s="7"/>
    </row>
    <row r="248" spans="1:4" x14ac:dyDescent="0.25">
      <c r="A248" s="7">
        <v>2</v>
      </c>
      <c r="B248" s="7">
        <f>_xll.ACT_DIST_ZTBINOM_PDF(A248, 10, 0.3)</f>
        <v>0.24026122544835674</v>
      </c>
      <c r="C248" s="7">
        <f>_xll.ACT_DIST_ZTBINOM_CDF(A248, 10, 0.3)</f>
        <v>0.36484112012526321</v>
      </c>
      <c r="D248" s="7"/>
    </row>
    <row r="249" spans="1:4" x14ac:dyDescent="0.25">
      <c r="A249" s="7">
        <v>3</v>
      </c>
      <c r="B249" s="7">
        <f>_xll.ACT_DIST_ZTBINOM_PDF(A249, 10, 0.3)</f>
        <v>0.27458425765526495</v>
      </c>
      <c r="C249" s="7">
        <f>_xll.ACT_DIST_ZTBINOM_CDF(A249, 10, 0.3)</f>
        <v>0.63942537778054698</v>
      </c>
      <c r="D249" s="7"/>
    </row>
    <row r="250" spans="1:4" x14ac:dyDescent="0.25">
      <c r="A250" s="7">
        <v>4</v>
      </c>
      <c r="B250" s="7">
        <f>_xll.ACT_DIST_ZTBINOM_PDF(A250, 10, 0.3)</f>
        <v>0.2059381932414488</v>
      </c>
      <c r="C250" s="7">
        <f>_xll.ACT_DIST_ZTBINOM_CDF(A250, 10, 0.3)</f>
        <v>0.84536357102199622</v>
      </c>
      <c r="D250" s="7"/>
    </row>
    <row r="251" spans="1:4" x14ac:dyDescent="0.25">
      <c r="A251" s="7">
        <v>5</v>
      </c>
      <c r="B251" s="7">
        <f>_xll.ACT_DIST_ZTBINOM_PDF(A251, 10, 0.3)</f>
        <v>0.10591107080988789</v>
      </c>
      <c r="C251" s="7">
        <f>_xll.ACT_DIST_ZTBINOM_CDF(A251, 10, 0.3)</f>
        <v>0.95127464183188459</v>
      </c>
      <c r="D251" s="7"/>
    </row>
    <row r="252" spans="1:4" x14ac:dyDescent="0.25">
      <c r="A252" s="7">
        <v>6</v>
      </c>
      <c r="B252" s="7">
        <f>_xll.ACT_DIST_ZTBINOM_PDF(A252, 10, 0.3)</f>
        <v>3.7825382432102816E-2</v>
      </c>
      <c r="C252" s="7">
        <f>_xll.ACT_DIST_ZTBINOM_CDF(A252, 10, 0.3)</f>
        <v>0.98910002426398758</v>
      </c>
      <c r="D252" s="7"/>
    </row>
    <row r="253" spans="1:4" x14ac:dyDescent="0.25">
      <c r="A253" s="7">
        <v>7</v>
      </c>
      <c r="B253" s="7">
        <f>_xll.ACT_DIST_ZTBINOM_PDF(A253, 10, 0.3)</f>
        <v>9.2633589629639579E-3</v>
      </c>
      <c r="C253" s="7">
        <f>_xll.ACT_DIST_ZTBINOM_CDF(A253, 10, 0.3)</f>
        <v>0.99836338322695151</v>
      </c>
      <c r="D253" s="7"/>
    </row>
    <row r="254" spans="1:4" x14ac:dyDescent="0.25">
      <c r="A254" s="7">
        <v>8</v>
      </c>
      <c r="B254" s="7">
        <f>_xll.ACT_DIST_ZTBINOM_PDF(A254, 10, 0.3)</f>
        <v>1.4887541190477778E-3</v>
      </c>
      <c r="C254" s="7">
        <f>_xll.ACT_DIST_ZTBINOM_CDF(A254, 10, 0.3)</f>
        <v>0.99985213734599931</v>
      </c>
      <c r="D254" s="7"/>
    </row>
    <row r="255" spans="1:4" x14ac:dyDescent="0.25">
      <c r="A255" s="7">
        <v>9</v>
      </c>
      <c r="B255" s="7">
        <f>_xll.ACT_DIST_ZTBINOM_PDF(A255, 10, 0.3)</f>
        <v>1.4178610657597892E-4</v>
      </c>
      <c r="C255" s="7">
        <f>_xll.ACT_DIST_ZTBINOM_CDF(A255, 10, 0.3)</f>
        <v>0.99999392345257532</v>
      </c>
      <c r="D255" s="7"/>
    </row>
    <row r="256" spans="1:4" x14ac:dyDescent="0.25">
      <c r="A256" s="7">
        <v>10</v>
      </c>
      <c r="B256" s="7">
        <f>_xll.ACT_DIST_ZTBINOM_PDF(A256, 10, 0.3)</f>
        <v>6.0765474246848095E-6</v>
      </c>
      <c r="C256" s="7">
        <f>_xll.ACT_DIST_ZTBINOM_CDF(A256, 10, 0.3)</f>
        <v>1</v>
      </c>
      <c r="D256" s="7" t="s">
        <v>403</v>
      </c>
    </row>
    <row r="257" spans="1:4" x14ac:dyDescent="0.25">
      <c r="A257" s="7" t="s">
        <v>400</v>
      </c>
      <c r="B257" s="7">
        <f>_xll.ACT_DIST_ZTBINOM_MEAN(10, 0.3)</f>
        <v>3.0872059262738478</v>
      </c>
      <c r="C257" s="7"/>
      <c r="D257" s="7" t="s">
        <v>39</v>
      </c>
    </row>
    <row r="260" spans="1:4" x14ac:dyDescent="0.25">
      <c r="A260" s="5" t="s">
        <v>404</v>
      </c>
    </row>
    <row r="261" spans="1:4" x14ac:dyDescent="0.25">
      <c r="A261" s="6" t="s">
        <v>137</v>
      </c>
      <c r="B261" s="6" t="s">
        <v>399</v>
      </c>
      <c r="C261" s="6" t="s">
        <v>381</v>
      </c>
      <c r="D261" s="6" t="s">
        <v>382</v>
      </c>
    </row>
    <row r="262" spans="1:4" x14ac:dyDescent="0.25">
      <c r="A262" s="7">
        <v>1</v>
      </c>
      <c r="B262" s="7">
        <f>_xll.ACT_DIST_ZTGEOM_PDF(A262, 0.3)</f>
        <v>0.3</v>
      </c>
      <c r="C262" s="7">
        <f>_xll.ACT_DIST_ZTGEOM_CDF(A262, 0.3)</f>
        <v>0.30000000000000004</v>
      </c>
      <c r="D262" s="7" t="s">
        <v>384</v>
      </c>
    </row>
    <row r="263" spans="1:4" x14ac:dyDescent="0.25">
      <c r="A263" s="7">
        <v>2</v>
      </c>
      <c r="B263" s="7">
        <f>_xll.ACT_DIST_ZTGEOM_PDF(A263, 0.3)</f>
        <v>0.21</v>
      </c>
      <c r="C263" s="7">
        <f>_xll.ACT_DIST_ZTGEOM_CDF(A263, 0.3)</f>
        <v>0.51</v>
      </c>
      <c r="D263" s="7"/>
    </row>
    <row r="264" spans="1:4" x14ac:dyDescent="0.25">
      <c r="A264" s="7">
        <v>3</v>
      </c>
      <c r="B264" s="7">
        <f>_xll.ACT_DIST_ZTGEOM_PDF(A264, 0.3)</f>
        <v>0.14699999999999996</v>
      </c>
      <c r="C264" s="7">
        <f>_xll.ACT_DIST_ZTGEOM_CDF(A264, 0.3)</f>
        <v>0.65700000000000003</v>
      </c>
      <c r="D264" s="7"/>
    </row>
    <row r="265" spans="1:4" x14ac:dyDescent="0.25">
      <c r="A265" s="7">
        <v>4</v>
      </c>
      <c r="B265" s="7">
        <f>_xll.ACT_DIST_ZTGEOM_PDF(A265, 0.3)</f>
        <v>0.10289999999999998</v>
      </c>
      <c r="C265" s="7">
        <f>_xll.ACT_DIST_ZTGEOM_CDF(A265, 0.3)</f>
        <v>0.75990000000000002</v>
      </c>
      <c r="D265" s="7"/>
    </row>
    <row r="266" spans="1:4" x14ac:dyDescent="0.25">
      <c r="A266" s="7">
        <v>5</v>
      </c>
      <c r="B266" s="7">
        <f>_xll.ACT_DIST_ZTGEOM_PDF(A266, 0.3)</f>
        <v>7.2029999999999983E-2</v>
      </c>
      <c r="C266" s="7">
        <f>_xll.ACT_DIST_ZTGEOM_CDF(A266, 0.3)</f>
        <v>0.83193000000000006</v>
      </c>
      <c r="D266" s="7"/>
    </row>
    <row r="267" spans="1:4" x14ac:dyDescent="0.25">
      <c r="A267" s="7">
        <v>6</v>
      </c>
      <c r="B267" s="7">
        <f>_xll.ACT_DIST_ZTGEOM_PDF(A267, 0.3)</f>
        <v>5.042099999999998E-2</v>
      </c>
      <c r="C267" s="7">
        <f>_xll.ACT_DIST_ZTGEOM_CDF(A267, 0.3)</f>
        <v>0.882351</v>
      </c>
      <c r="D267" s="7"/>
    </row>
    <row r="268" spans="1:4" x14ac:dyDescent="0.25">
      <c r="A268" s="7">
        <v>7</v>
      </c>
      <c r="B268" s="7">
        <f>_xll.ACT_DIST_ZTGEOM_PDF(A268, 0.3)</f>
        <v>3.5294699999999984E-2</v>
      </c>
      <c r="C268" s="7">
        <f>_xll.ACT_DIST_ZTGEOM_CDF(A268, 0.3)</f>
        <v>0.91764570000000001</v>
      </c>
      <c r="D268" s="7"/>
    </row>
    <row r="269" spans="1:4" x14ac:dyDescent="0.25">
      <c r="A269" s="7">
        <v>8</v>
      </c>
      <c r="B269" s="7">
        <f>_xll.ACT_DIST_ZTGEOM_PDF(A269, 0.3)</f>
        <v>2.4706289999999988E-2</v>
      </c>
      <c r="C269" s="7">
        <f>_xll.ACT_DIST_ZTGEOM_CDF(A269, 0.3)</f>
        <v>0.94235199000000003</v>
      </c>
      <c r="D269" s="7"/>
    </row>
    <row r="270" spans="1:4" x14ac:dyDescent="0.25">
      <c r="A270" s="7">
        <v>9</v>
      </c>
      <c r="B270" s="7">
        <f>_xll.ACT_DIST_ZTGEOM_PDF(A270, 0.3)</f>
        <v>1.7294402999999989E-2</v>
      </c>
      <c r="C270" s="7">
        <f>_xll.ACT_DIST_ZTGEOM_CDF(A270, 0.3)</f>
        <v>0.95964639299999999</v>
      </c>
      <c r="D270" s="7"/>
    </row>
    <row r="271" spans="1:4" x14ac:dyDescent="0.25">
      <c r="A271" s="7">
        <v>10</v>
      </c>
      <c r="B271" s="7">
        <f>_xll.ACT_DIST_ZTGEOM_PDF(A271, 0.3)</f>
        <v>1.2106082099999993E-2</v>
      </c>
      <c r="C271" s="7">
        <f>_xll.ACT_DIST_ZTGEOM_CDF(A271, 0.3)</f>
        <v>0.97175247510000007</v>
      </c>
      <c r="D271" s="7"/>
    </row>
    <row r="272" spans="1:4" x14ac:dyDescent="0.25">
      <c r="A272" s="7" t="s">
        <v>400</v>
      </c>
      <c r="B272" s="7">
        <f>_xll.ACT_DIST_ZTGEOM_MEAN(0.3)</f>
        <v>3.3333333333333335</v>
      </c>
      <c r="C272" s="7"/>
      <c r="D272" s="7" t="s">
        <v>405</v>
      </c>
    </row>
    <row r="275" spans="1:4" x14ac:dyDescent="0.25">
      <c r="A275" s="5" t="s">
        <v>406</v>
      </c>
    </row>
    <row r="276" spans="1:4" x14ac:dyDescent="0.25">
      <c r="A276" s="6" t="s">
        <v>137</v>
      </c>
      <c r="B276" s="6" t="s">
        <v>399</v>
      </c>
      <c r="C276" s="6" t="s">
        <v>381</v>
      </c>
      <c r="D276" s="6" t="s">
        <v>382</v>
      </c>
    </row>
    <row r="277" spans="1:4" x14ac:dyDescent="0.25">
      <c r="A277" s="7">
        <v>0</v>
      </c>
      <c r="B277" s="7">
        <f>_xll.ACT_DIST_ZMPOISSON_PDF(A277, 5, 0.2)</f>
        <v>0.20539035759926838</v>
      </c>
      <c r="C277" s="7">
        <f>_xll.ACT_DIST_ZMPOISSON_CDF(A277, 5, 0.2)</f>
        <v>0.20539035759926838</v>
      </c>
      <c r="D277" s="7" t="s">
        <v>407</v>
      </c>
    </row>
    <row r="278" spans="1:4" x14ac:dyDescent="0.25">
      <c r="A278" s="7">
        <v>1</v>
      </c>
      <c r="B278" s="7">
        <f>_xll.ACT_DIST_ZMPOISSON_PDF(A278, 5, 0.2)</f>
        <v>2.6951787996341871E-2</v>
      </c>
      <c r="C278" s="7">
        <f>_xll.ACT_DIST_ZMPOISSON_CDF(A278, 5, 0.2)</f>
        <v>0.2323421455956102</v>
      </c>
      <c r="D278" s="7"/>
    </row>
    <row r="279" spans="1:4" x14ac:dyDescent="0.25">
      <c r="A279" s="7">
        <v>2</v>
      </c>
      <c r="B279" s="7">
        <f>_xll.ACT_DIST_ZMPOISSON_PDF(A279, 5, 0.2)</f>
        <v>6.737946999085466E-2</v>
      </c>
      <c r="C279" s="7">
        <f>_xll.ACT_DIST_ZMPOISSON_CDF(A279, 5, 0.2)</f>
        <v>0.2997216155864646</v>
      </c>
      <c r="D279" s="7"/>
    </row>
    <row r="280" spans="1:4" x14ac:dyDescent="0.25">
      <c r="A280" s="7">
        <v>3</v>
      </c>
      <c r="B280" s="7">
        <f>_xll.ACT_DIST_ZMPOISSON_PDF(A280, 5, 0.2)</f>
        <v>0.1122991166514244</v>
      </c>
      <c r="C280" s="7">
        <f>_xll.ACT_DIST_ZMPOISSON_CDF(A280, 5, 0.2)</f>
        <v>0.41202073223788976</v>
      </c>
      <c r="D280" s="7"/>
    </row>
    <row r="281" spans="1:4" x14ac:dyDescent="0.25">
      <c r="A281" s="7">
        <v>4</v>
      </c>
      <c r="B281" s="7">
        <f>_xll.ACT_DIST_ZMPOISSON_PDF(A281, 5, 0.2)</f>
        <v>0.1403738958142805</v>
      </c>
      <c r="C281" s="7">
        <f>_xll.ACT_DIST_ZMPOISSON_CDF(A281, 5, 0.2)</f>
        <v>0.55239462805217188</v>
      </c>
      <c r="D281" s="7"/>
    </row>
    <row r="282" spans="1:4" x14ac:dyDescent="0.25">
      <c r="A282" s="7">
        <v>5</v>
      </c>
      <c r="B282" s="7">
        <f>_xll.ACT_DIST_ZMPOISSON_PDF(A282, 5, 0.2)</f>
        <v>0.14037389581428056</v>
      </c>
      <c r="C282" s="7">
        <f>_xll.ACT_DIST_ZMPOISSON_CDF(A282, 5, 0.2)</f>
        <v>0.6927685238664496</v>
      </c>
      <c r="D282" s="7"/>
    </row>
    <row r="283" spans="1:4" x14ac:dyDescent="0.25">
      <c r="A283" s="7">
        <v>6</v>
      </c>
      <c r="B283" s="7">
        <f>_xll.ACT_DIST_ZMPOISSON_PDF(A283, 5, 0.2)</f>
        <v>0.11697824651190032</v>
      </c>
      <c r="C283" s="7">
        <f>_xll.ACT_DIST_ZMPOISSON_CDF(A283, 5, 0.2)</f>
        <v>0.80974677037835141</v>
      </c>
      <c r="D283" s="7"/>
    </row>
    <row r="284" spans="1:4" x14ac:dyDescent="0.25">
      <c r="A284" s="7">
        <v>7</v>
      </c>
      <c r="B284" s="7">
        <f>_xll.ACT_DIST_ZMPOISSON_PDF(A284, 5, 0.2)</f>
        <v>8.3555890365643162E-2</v>
      </c>
      <c r="C284" s="7">
        <f>_xll.ACT_DIST_ZMPOISSON_CDF(A284, 5, 0.2)</f>
        <v>0.8933026607439909</v>
      </c>
      <c r="D284" s="7"/>
    </row>
    <row r="285" spans="1:4" x14ac:dyDescent="0.25">
      <c r="A285" s="7">
        <v>8</v>
      </c>
      <c r="B285" s="7">
        <f>_xll.ACT_DIST_ZMPOISSON_PDF(A285, 5, 0.2)</f>
        <v>5.2222431478526926E-2</v>
      </c>
      <c r="C285" s="7">
        <f>_xll.ACT_DIST_ZMPOISSON_CDF(A285, 5, 0.2)</f>
        <v>0.94552509222252223</v>
      </c>
      <c r="D285" s="7"/>
    </row>
    <row r="286" spans="1:4" x14ac:dyDescent="0.25">
      <c r="A286" s="7">
        <v>9</v>
      </c>
      <c r="B286" s="7">
        <f>_xll.ACT_DIST_ZMPOISSON_PDF(A286, 5, 0.2)</f>
        <v>2.9012461932514971E-2</v>
      </c>
      <c r="C286" s="7">
        <f>_xll.ACT_DIST_ZMPOISSON_CDF(A286, 5, 0.2)</f>
        <v>0.97453755415503629</v>
      </c>
      <c r="D286" s="7"/>
    </row>
    <row r="287" spans="1:4" x14ac:dyDescent="0.25">
      <c r="A287" s="7">
        <v>10</v>
      </c>
      <c r="B287" s="7">
        <f>_xll.ACT_DIST_ZMPOISSON_PDF(A287, 5, 0.2)</f>
        <v>1.4506230966257484E-2</v>
      </c>
      <c r="C287" s="7">
        <f>_xll.ACT_DIST_ZMPOISSON_CDF(A287, 5, 0.2)</f>
        <v>0.98904378512129365</v>
      </c>
      <c r="D287" s="7"/>
    </row>
    <row r="288" spans="1:4" x14ac:dyDescent="0.25">
      <c r="A288" s="7" t="s">
        <v>400</v>
      </c>
      <c r="B288" s="7">
        <f>_xll.ACT_DIST_ZMPOISSON_MEAN(5, 0.2)</f>
        <v>4</v>
      </c>
      <c r="C288" s="7"/>
      <c r="D288" s="7" t="s">
        <v>408</v>
      </c>
    </row>
    <row r="289" spans="1:4" x14ac:dyDescent="0.25">
      <c r="A289" s="7" t="s">
        <v>409</v>
      </c>
      <c r="B289" s="7">
        <f>_xll.ACT_DIST_ZMPOISSON_VAR(5, 0.2)</f>
        <v>8</v>
      </c>
      <c r="C289" s="7"/>
      <c r="D289" s="7" t="s">
        <v>410</v>
      </c>
    </row>
    <row r="290" spans="1:4" x14ac:dyDescent="0.25">
      <c r="A290" s="5" t="s">
        <v>411</v>
      </c>
    </row>
    <row r="291" spans="1:4" x14ac:dyDescent="0.25">
      <c r="A291" s="6" t="s">
        <v>137</v>
      </c>
      <c r="B291" s="6" t="s">
        <v>399</v>
      </c>
      <c r="C291" s="6" t="s">
        <v>381</v>
      </c>
      <c r="D291" s="6" t="s">
        <v>382</v>
      </c>
    </row>
    <row r="292" spans="1:4" x14ac:dyDescent="0.25">
      <c r="A292" s="7">
        <v>0</v>
      </c>
      <c r="B292" s="7">
        <f>_xll.ACT_DIST_ZMNEGBIN_PDF(A292, 5, 0.3, 0.2)</f>
        <v>0.20194400000000001</v>
      </c>
      <c r="C292" s="7">
        <f>_xll.ACT_DIST_ZMNEGBIN_CDF(A292, 5, 0.3, 0.2)</f>
        <v>0.20194399999999996</v>
      </c>
      <c r="D292" s="7" t="s">
        <v>407</v>
      </c>
    </row>
    <row r="293" spans="1:4" x14ac:dyDescent="0.25">
      <c r="A293" s="7">
        <v>1</v>
      </c>
      <c r="B293" s="7">
        <f>_xll.ACT_DIST_ZMNEGBIN_PDF(A293, 5, 0.3, 0.2)</f>
        <v>6.8039999999999438E-3</v>
      </c>
      <c r="C293" s="7">
        <f>_xll.ACT_DIST_ZMNEGBIN_CDF(A293, 5, 0.3, 0.2)</f>
        <v>0.20874800000000004</v>
      </c>
      <c r="D293" s="7"/>
    </row>
    <row r="294" spans="1:4" x14ac:dyDescent="0.25">
      <c r="A294" s="7">
        <v>2</v>
      </c>
      <c r="B294" s="7">
        <f>_xll.ACT_DIST_ZMNEGBIN_PDF(A294, 5, 0.3, 0.2)</f>
        <v>1.428839999999991E-2</v>
      </c>
      <c r="C294" s="7">
        <f>_xll.ACT_DIST_ZMNEGBIN_CDF(A294, 5, 0.3, 0.2)</f>
        <v>0.22303639999999911</v>
      </c>
      <c r="D294" s="7"/>
    </row>
    <row r="295" spans="1:4" x14ac:dyDescent="0.25">
      <c r="A295" s="7">
        <v>3</v>
      </c>
      <c r="B295" s="7">
        <f>_xll.ACT_DIST_ZMNEGBIN_PDF(A295, 5, 0.3, 0.2)</f>
        <v>2.3337719999999205E-2</v>
      </c>
      <c r="C295" s="7">
        <f>_xll.ACT_DIST_ZMNEGBIN_CDF(A295, 5, 0.3, 0.2)</f>
        <v>0.24637412000000075</v>
      </c>
      <c r="D295" s="7"/>
    </row>
    <row r="296" spans="1:4" x14ac:dyDescent="0.25">
      <c r="A296" s="7">
        <v>5</v>
      </c>
      <c r="B296" s="7">
        <f>_xll.ACT_DIST_ZMNEGBIN_PDF(A296, 5, 0.3, 0.2)</f>
        <v>4.1167738080000189E-2</v>
      </c>
      <c r="C296" s="7">
        <f>_xll.ACT_DIST_ZMNEGBIN_CDF(A296, 5, 0.3, 0.2)</f>
        <v>0.32021466608000043</v>
      </c>
      <c r="D296" s="7"/>
    </row>
    <row r="297" spans="1:4" x14ac:dyDescent="0.25">
      <c r="A297" s="7">
        <v>7</v>
      </c>
      <c r="B297" s="7">
        <f>_xll.ACT_DIST_ZMNEGBIN_PDF(A297, 5, 0.3, 0.2)</f>
        <v>5.2831930536001687E-2</v>
      </c>
      <c r="C297" s="7">
        <f>_xll.ACT_DIST_ZMNEGBIN_CDF(A297, 5, 0.3, 0.2)</f>
        <v>0.42107562437601126</v>
      </c>
      <c r="D297" s="7"/>
    </row>
    <row r="298" spans="1:4" x14ac:dyDescent="0.25">
      <c r="A298" s="7">
        <v>10</v>
      </c>
      <c r="B298" s="7">
        <f>_xll.ACT_DIST_ZMNEGBIN_PDF(A298, 5, 0.3, 0.2)</f>
        <v>5.4968101594000653E-2</v>
      </c>
      <c r="C298" s="7">
        <f>_xll.ACT_DIST_ZMNEGBIN_CDF(A298, 5, 0.3, 0.2)</f>
        <v>0.58760715261855068</v>
      </c>
      <c r="D298" s="7"/>
    </row>
    <row r="299" spans="1:4" x14ac:dyDescent="0.25">
      <c r="A299" s="7">
        <v>15</v>
      </c>
      <c r="B299" s="7">
        <f>_xll.ACT_DIST_ZMNEGBIN_PDF(A299, 5, 0.3, 0.2)</f>
        <v>3.5772610113973057E-2</v>
      </c>
      <c r="C299" s="7">
        <f>_xll.ACT_DIST_ZMNEGBIN_CDF(A299, 5, 0.3, 0.2)</f>
        <v>0.80999377689793284</v>
      </c>
      <c r="D299" s="7"/>
    </row>
    <row r="300" spans="1:4" x14ac:dyDescent="0.25">
      <c r="A300" s="7">
        <v>20</v>
      </c>
      <c r="B300" s="7">
        <f>_xll.ACT_DIST_ZMNEGBIN_PDF(A300, 5, 0.3, 0.2)</f>
        <v>1.648264376542662E-2</v>
      </c>
      <c r="C300" s="7">
        <f>_xll.ACT_DIST_ZMNEGBIN_CDF(A300, 5, 0.3, 0.2)</f>
        <v>0.92762246515668867</v>
      </c>
      <c r="D300" s="7"/>
    </row>
    <row r="301" spans="1:4" x14ac:dyDescent="0.25">
      <c r="A301" s="7">
        <v>25</v>
      </c>
      <c r="B301" s="7">
        <f>_xll.ACT_DIST_ZMNEGBIN_PDF(A301, 5, 0.3, 0.2)</f>
        <v>6.1919745207281648E-3</v>
      </c>
      <c r="C301" s="7">
        <f>_xll.ACT_DIST_ZMNEGBIN_CDF(A301, 5, 0.3, 0.2)</f>
        <v>0.97587604551832863</v>
      </c>
      <c r="D301" s="7"/>
    </row>
    <row r="302" spans="1:4" x14ac:dyDescent="0.25">
      <c r="A302" s="7" t="s">
        <v>400</v>
      </c>
      <c r="B302" s="7">
        <f>_xll.ACT_DIST_ZMNEGBIN_MEAN(5, 0.3, 0.2)</f>
        <v>9.3333333333333339</v>
      </c>
      <c r="C302" s="7"/>
      <c r="D302" s="7" t="s">
        <v>412</v>
      </c>
    </row>
    <row r="303" spans="1:4" x14ac:dyDescent="0.25">
      <c r="A303" s="7" t="s">
        <v>409</v>
      </c>
      <c r="B303" s="7">
        <f>_xll.ACT_DIST_ZMNEGBIN_VAR(5, 0.3, 0.2)</f>
        <v>52.888888888888893</v>
      </c>
      <c r="C303" s="7"/>
      <c r="D303" s="7"/>
    </row>
    <row r="305" spans="1:4" x14ac:dyDescent="0.25">
      <c r="A305" s="5" t="s">
        <v>413</v>
      </c>
    </row>
    <row r="306" spans="1:4" x14ac:dyDescent="0.25">
      <c r="A306" s="6" t="s">
        <v>379</v>
      </c>
      <c r="B306" s="6" t="s">
        <v>380</v>
      </c>
      <c r="C306" s="6" t="s">
        <v>381</v>
      </c>
      <c r="D306" s="6" t="s">
        <v>382</v>
      </c>
    </row>
    <row r="307" spans="1:4" x14ac:dyDescent="0.25">
      <c r="A307" s="7">
        <v>1</v>
      </c>
      <c r="B307" s="7">
        <f>_xll.ACT_DIST_PARETO3_PDF(A307, 1, 2, 3)</f>
        <v>1.5</v>
      </c>
      <c r="C307" s="7">
        <f>_xll.ACT_DIST_PARETO3_CDF(A307, 1, 2, 3)</f>
        <v>0</v>
      </c>
      <c r="D307" s="7" t="s">
        <v>414</v>
      </c>
    </row>
    <row r="308" spans="1:4" x14ac:dyDescent="0.25">
      <c r="A308" s="7">
        <v>1.5</v>
      </c>
      <c r="B308" s="7">
        <f>_xll.ACT_DIST_PARETO3_PDF(A308, 1, 2, 3)</f>
        <v>0.61440000000000006</v>
      </c>
      <c r="C308" s="7">
        <f>_xll.ACT_DIST_PARETO3_CDF(A308, 1, 2, 3)</f>
        <v>0.48799999999999999</v>
      </c>
      <c r="D308" s="7"/>
    </row>
    <row r="309" spans="1:4" x14ac:dyDescent="0.25">
      <c r="A309" s="7">
        <v>2</v>
      </c>
      <c r="B309" s="7">
        <f>_xll.ACT_DIST_PARETO3_PDF(A309, 1, 2, 3)</f>
        <v>0.29629629629629628</v>
      </c>
      <c r="C309" s="7">
        <f>_xll.ACT_DIST_PARETO3_CDF(A309, 1, 2, 3)</f>
        <v>0.70370370370370372</v>
      </c>
      <c r="D309" s="7"/>
    </row>
    <row r="310" spans="1:4" x14ac:dyDescent="0.25">
      <c r="A310" s="7">
        <v>2.5</v>
      </c>
      <c r="B310" s="7">
        <f>_xll.ACT_DIST_PARETO3_PDF(A310, 1, 2, 3)</f>
        <v>0.15993336109954187</v>
      </c>
      <c r="C310" s="7">
        <f>_xll.ACT_DIST_PARETO3_CDF(A310, 1, 2, 3)</f>
        <v>0.8134110787172012</v>
      </c>
      <c r="D310" s="7"/>
    </row>
    <row r="311" spans="1:4" x14ac:dyDescent="0.25">
      <c r="A311" s="7">
        <v>3</v>
      </c>
      <c r="B311" s="7">
        <f>_xll.ACT_DIST_PARETO3_PDF(A311, 1, 2, 3)</f>
        <v>9.375E-2</v>
      </c>
      <c r="C311" s="7">
        <f>_xll.ACT_DIST_PARETO3_CDF(A311, 1, 2, 3)</f>
        <v>0.875</v>
      </c>
      <c r="D311" s="7"/>
    </row>
    <row r="312" spans="1:4" x14ac:dyDescent="0.25">
      <c r="A312" s="7">
        <v>4</v>
      </c>
      <c r="B312" s="7">
        <f>_xll.ACT_DIST_PARETO3_PDF(A312, 1, 2, 3)</f>
        <v>3.8400000000000004E-2</v>
      </c>
      <c r="C312" s="7">
        <f>_xll.ACT_DIST_PARETO3_CDF(A312, 1, 2, 3)</f>
        <v>0.93599999999999994</v>
      </c>
      <c r="D312" s="7"/>
    </row>
    <row r="313" spans="1:4" x14ac:dyDescent="0.25">
      <c r="A313" s="7">
        <v>5</v>
      </c>
      <c r="B313" s="7">
        <f>_xll.ACT_DIST_PARETO3_PDF(A313, 1, 2, 3)</f>
        <v>1.8518518518518517E-2</v>
      </c>
      <c r="C313" s="7">
        <f>_xll.ACT_DIST_PARETO3_CDF(A313, 1, 2, 3)</f>
        <v>0.96296296296296302</v>
      </c>
      <c r="D313" s="7"/>
    </row>
    <row r="314" spans="1:4" x14ac:dyDescent="0.25">
      <c r="A314" s="7">
        <v>7</v>
      </c>
      <c r="B314" s="7">
        <f>_xll.ACT_DIST_PARETO3_PDF(A314, 1, 2, 3)</f>
        <v>5.859375E-3</v>
      </c>
      <c r="C314" s="7">
        <f>_xll.ACT_DIST_PARETO3_CDF(A314, 1, 2, 3)</f>
        <v>0.984375</v>
      </c>
      <c r="D314" s="7"/>
    </row>
    <row r="315" spans="1:4" x14ac:dyDescent="0.25">
      <c r="A315" s="7">
        <v>10</v>
      </c>
      <c r="B315" s="7">
        <f>_xll.ACT_DIST_PARETO3_PDF(A315, 1, 2, 3)</f>
        <v>1.6392322928761695E-3</v>
      </c>
      <c r="C315" s="7">
        <f>_xll.ACT_DIST_PARETO3_CDF(A315, 1, 2, 3)</f>
        <v>0.99398948159278733</v>
      </c>
      <c r="D315" s="7"/>
    </row>
    <row r="316" spans="1:4" x14ac:dyDescent="0.25">
      <c r="A316" s="7" t="s">
        <v>400</v>
      </c>
      <c r="B316" s="7">
        <f>_xll.ACT_DIST_PARETO3_MEAN(1, 2, 3)</f>
        <v>2</v>
      </c>
      <c r="C316" s="7"/>
      <c r="D316" s="7" t="s">
        <v>415</v>
      </c>
    </row>
    <row r="320" spans="1:4" x14ac:dyDescent="0.25">
      <c r="A320" s="5" t="s">
        <v>416</v>
      </c>
    </row>
    <row r="321" spans="1:4" x14ac:dyDescent="0.25">
      <c r="A321" s="6" t="s">
        <v>379</v>
      </c>
      <c r="B321" s="6" t="s">
        <v>380</v>
      </c>
      <c r="C321" s="6" t="s">
        <v>381</v>
      </c>
      <c r="D321" s="6" t="s">
        <v>382</v>
      </c>
    </row>
    <row r="322" spans="1:4" x14ac:dyDescent="0.25">
      <c r="A322" s="7">
        <v>0.1</v>
      </c>
      <c r="B322" s="7">
        <f>_xll.ACT_DIST_PARETO4_PDF(A322, 0, 2, 0.5, 3)</f>
        <v>0.14850932832926092</v>
      </c>
      <c r="C322" s="7">
        <f>_xll.ACT_DIST_PARETO4_CDF(A322, 0, 2, 0.5, 3)</f>
        <v>7.462655666106266E-3</v>
      </c>
      <c r="D322" s="7"/>
    </row>
    <row r="323" spans="1:4" x14ac:dyDescent="0.25">
      <c r="A323" s="7">
        <v>0.5</v>
      </c>
      <c r="B323" s="7">
        <f>_xll.ACT_DIST_PARETO4_PDF(A323, 0, 2, 0.5, 3)</f>
        <v>0.58849870092551571</v>
      </c>
      <c r="C323" s="7">
        <f>_xll.ACT_DIST_PARETO4_CDF(A323, 0, 2, 0.5, 3)</f>
        <v>0.16629350702218604</v>
      </c>
      <c r="D323" s="7"/>
    </row>
    <row r="324" spans="1:4" x14ac:dyDescent="0.25">
      <c r="A324" s="7">
        <v>1</v>
      </c>
      <c r="B324" s="7">
        <f>_xll.ACT_DIST_PARETO4_PDF(A324, 0, 2, 0.5, 3)</f>
        <v>0.61440000000000006</v>
      </c>
      <c r="C324" s="7">
        <f>_xll.ACT_DIST_PARETO4_CDF(A324, 0, 2, 0.5, 3)</f>
        <v>0.48799999999999999</v>
      </c>
      <c r="D324" s="7"/>
    </row>
    <row r="325" spans="1:4" x14ac:dyDescent="0.25">
      <c r="A325" s="7">
        <v>1.5</v>
      </c>
      <c r="B325" s="7">
        <f>_xll.ACT_DIST_PARETO4_PDF(A325, 0, 2, 0.5, 3)</f>
        <v>0.37748735999999999</v>
      </c>
      <c r="C325" s="7">
        <f>_xll.ACT_DIST_PARETO4_CDF(A325, 0, 2, 0.5, 3)</f>
        <v>0.73785600000000007</v>
      </c>
      <c r="D325" s="7"/>
    </row>
    <row r="326" spans="1:4" x14ac:dyDescent="0.25">
      <c r="A326" s="7">
        <v>2</v>
      </c>
      <c r="B326" s="7">
        <f>_xll.ACT_DIST_PARETO4_PDF(A326, 0, 2, 0.5, 3)</f>
        <v>0.1875</v>
      </c>
      <c r="C326" s="7">
        <f>_xll.ACT_DIST_PARETO4_CDF(A326, 0, 2, 0.5, 3)</f>
        <v>0.875</v>
      </c>
      <c r="D326" s="7"/>
    </row>
    <row r="327" spans="1:4" x14ac:dyDescent="0.25">
      <c r="A327" s="7">
        <v>3</v>
      </c>
      <c r="B327" s="7">
        <f>_xll.ACT_DIST_PARETO4_PDF(A327, 0, 2, 0.5, 3)</f>
        <v>4.0334722173593365E-2</v>
      </c>
      <c r="C327" s="7">
        <f>_xll.ACT_DIST_PARETO4_CDF(A327, 0, 2, 0.5, 3)</f>
        <v>0.97086936731907147</v>
      </c>
      <c r="D327" s="7"/>
    </row>
    <row r="328" spans="1:4" x14ac:dyDescent="0.25">
      <c r="A328" s="7">
        <v>4</v>
      </c>
      <c r="B328" s="7">
        <f>_xll.ACT_DIST_PARETO4_PDF(A328, 0, 2, 0.5, 3)</f>
        <v>9.6000000000000009E-3</v>
      </c>
      <c r="C328" s="7">
        <f>_xll.ACT_DIST_PARETO4_CDF(A328, 0, 2, 0.5, 3)</f>
        <v>0.99199999999999999</v>
      </c>
      <c r="D328" s="7"/>
    </row>
    <row r="329" spans="1:4" x14ac:dyDescent="0.25">
      <c r="A329" s="7">
        <v>5</v>
      </c>
      <c r="B329" s="7">
        <f>_xll.ACT_DIST_PARETO4_PDF(A329, 0, 2, 0.5, 3)</f>
        <v>2.714621204302109E-3</v>
      </c>
      <c r="C329" s="7">
        <f>_xll.ACT_DIST_PARETO4_CDF(A329, 0, 2, 0.5, 3)</f>
        <v>0.99737586616917462</v>
      </c>
      <c r="D329" s="7"/>
    </row>
    <row r="335" spans="1:4" x14ac:dyDescent="0.25">
      <c r="A335" s="5" t="s">
        <v>417</v>
      </c>
    </row>
    <row r="336" spans="1:4" x14ac:dyDescent="0.25">
      <c r="A336" s="6" t="s">
        <v>379</v>
      </c>
      <c r="B336" s="6" t="s">
        <v>380</v>
      </c>
      <c r="C336" s="6" t="s">
        <v>381</v>
      </c>
      <c r="D336" s="6" t="s">
        <v>382</v>
      </c>
    </row>
    <row r="337" spans="1:4" x14ac:dyDescent="0.25">
      <c r="A337" s="7">
        <v>0.1</v>
      </c>
      <c r="B337" s="7">
        <f>_xll.ACT_DIST_LNPARETO_PDF(A337, 0, 1, 2)</f>
        <v>0.28159018901526828</v>
      </c>
      <c r="C337" s="7">
        <f>_xll.ACT_DIST_LNPARETO_CDF(A337, 0, 1, 2)</f>
        <v>1.0651099341700136E-2</v>
      </c>
      <c r="D337" s="7"/>
    </row>
    <row r="338" spans="1:4" x14ac:dyDescent="0.25">
      <c r="A338" s="7">
        <v>0.5</v>
      </c>
      <c r="B338" s="7">
        <f>_xll.ACT_DIST_LNPARETO_PDF(A338, 0, 1, 2)</f>
        <v>0.62749607711592426</v>
      </c>
      <c r="C338" s="7">
        <f>_xll.ACT_DIST_LNPARETO_CDF(A338, 0, 1, 2)</f>
        <v>0.24410859578558275</v>
      </c>
      <c r="D338" s="7"/>
    </row>
    <row r="339" spans="1:4" x14ac:dyDescent="0.25">
      <c r="A339" s="7">
        <v>1</v>
      </c>
      <c r="B339" s="7">
        <f>_xll.ACT_DIST_LNPARETO_PDF(A339, 0, 1, 2)</f>
        <v>0.39894228040143265</v>
      </c>
      <c r="C339" s="7">
        <f>_xll.ACT_DIST_LNPARETO_CDF(A339, 0, 1, 2)</f>
        <v>0.5</v>
      </c>
      <c r="D339" s="7"/>
    </row>
    <row r="340" spans="1:4" x14ac:dyDescent="0.25">
      <c r="A340" s="7">
        <v>1.5</v>
      </c>
      <c r="B340" s="7">
        <f>_xll.ACT_DIST_LNPARETO_PDF(A340, 0, 1, 2)</f>
        <v>0.24497365171050992</v>
      </c>
      <c r="C340" s="7">
        <f>_xll.ACT_DIST_LNPARETO_CDF(A340, 0, 1, 2)</f>
        <v>0.65743216948515415</v>
      </c>
      <c r="D340" s="7"/>
    </row>
    <row r="341" spans="1:4" x14ac:dyDescent="0.25">
      <c r="A341" s="7">
        <v>2</v>
      </c>
      <c r="B341" s="7">
        <f>_xll.ACT_DIST_LNPARETO_PDF(A341, 0, 1, 2)</f>
        <v>0.15687401927898106</v>
      </c>
      <c r="C341" s="7">
        <f>_xll.ACT_DIST_LNPARETO_CDF(A341, 0, 1, 2)</f>
        <v>0.75589140421441725</v>
      </c>
      <c r="D341" s="7" t="s">
        <v>418</v>
      </c>
    </row>
    <row r="342" spans="1:4" x14ac:dyDescent="0.25">
      <c r="A342" s="7">
        <v>3</v>
      </c>
      <c r="B342" s="7">
        <f>_xll.ACT_DIST_LNPARETO_PDF(A342, 0, 1, 2)</f>
        <v>6.2105932712387631E-2</v>
      </c>
      <c r="C342" s="7">
        <f>_xll.ACT_DIST_LNPARETO_CDF(A342, 0, 1, 2)</f>
        <v>0.85503725766010763</v>
      </c>
      <c r="D342" s="7"/>
    </row>
    <row r="343" spans="1:4" x14ac:dyDescent="0.25">
      <c r="A343" s="7">
        <v>4</v>
      </c>
      <c r="B343" s="7">
        <f>_xll.ACT_DIST_LNPARETO_PDF(A343, 0, 1, 2)</f>
        <v>3.2181999182992124E-2</v>
      </c>
      <c r="C343" s="7">
        <f>_xll.ACT_DIST_LNPARETO_CDF(A343, 0, 1, 2)</f>
        <v>0.89984443993670837</v>
      </c>
      <c r="D343" s="7"/>
    </row>
    <row r="344" spans="1:4" x14ac:dyDescent="0.25">
      <c r="A344" s="7">
        <v>5</v>
      </c>
      <c r="B344" s="7">
        <f>_xll.ACT_DIST_LNPARETO_PDF(A344, 0, 1, 2)</f>
        <v>1.9326199055016674E-2</v>
      </c>
      <c r="C344" s="7">
        <f>_xll.ACT_DIST_LNPARETO_CDF(A344, 0, 1, 2)</f>
        <v>0.92481719830224174</v>
      </c>
      <c r="D344" s="7"/>
    </row>
    <row r="345" spans="1:4" x14ac:dyDescent="0.25">
      <c r="A345" s="7">
        <v>7</v>
      </c>
      <c r="B345" s="7">
        <f>_xll.ACT_DIST_LNPARETO_PDF(A345, 0, 1, 2)</f>
        <v>8.9578314315495004E-3</v>
      </c>
      <c r="C345" s="7">
        <f>_xll.ACT_DIST_LNPARETO_CDF(A345, 0, 1, 2)</f>
        <v>0.95121312746805031</v>
      </c>
      <c r="D345" s="7"/>
    </row>
    <row r="346" spans="1:4" x14ac:dyDescent="0.25">
      <c r="A346" s="7">
        <v>10</v>
      </c>
      <c r="B346" s="7">
        <f>_xll.ACT_DIST_LNPARETO_PDF(A346, 0, 1, 2)</f>
        <v>3.9646827757553547E-3</v>
      </c>
      <c r="C346" s="7">
        <f>_xll.ACT_DIST_LNPARETO_CDF(A346, 0, 1, 2)</f>
        <v>0.9691531730501598</v>
      </c>
      <c r="D346" s="7"/>
    </row>
    <row r="350" spans="1:4" x14ac:dyDescent="0.25">
      <c r="A350" s="5" t="s">
        <v>419</v>
      </c>
    </row>
    <row r="351" spans="1:4" x14ac:dyDescent="0.25">
      <c r="A351" s="6" t="s">
        <v>379</v>
      </c>
      <c r="B351" s="6" t="s">
        <v>380</v>
      </c>
      <c r="C351" s="6" t="s">
        <v>381</v>
      </c>
      <c r="D351" s="6" t="s">
        <v>382</v>
      </c>
    </row>
    <row r="352" spans="1:4" x14ac:dyDescent="0.25">
      <c r="A352" s="7">
        <v>0</v>
      </c>
      <c r="B352" s="7">
        <f>_xll.ACT_DIST_EXPPARETO_PDF(A352, 0.5, 2)</f>
        <v>0.5</v>
      </c>
      <c r="C352" s="7">
        <f>_xll.ACT_DIST_EXPPARETO_CDF(A352, 0.5, 2)</f>
        <v>0</v>
      </c>
      <c r="D352" s="7"/>
    </row>
    <row r="353" spans="1:4" x14ac:dyDescent="0.25">
      <c r="A353" s="7">
        <v>0.5</v>
      </c>
      <c r="B353" s="7">
        <f>_xll.ACT_DIST_EXPPARETO_PDF(A353, 0.5, 2)</f>
        <v>0.38940039153570244</v>
      </c>
      <c r="C353" s="7">
        <f>_xll.ACT_DIST_EXPPARETO_CDF(A353, 0.5, 2)</f>
        <v>0.22119921692859512</v>
      </c>
      <c r="D353" s="7"/>
    </row>
    <row r="354" spans="1:4" x14ac:dyDescent="0.25">
      <c r="A354" s="7">
        <v>1</v>
      </c>
      <c r="B354" s="7">
        <f>_xll.ACT_DIST_EXPPARETO_PDF(A354, 0.5, 2)</f>
        <v>0.30326532985631671</v>
      </c>
      <c r="C354" s="7">
        <f>_xll.ACT_DIST_EXPPARETO_CDF(A354, 0.5, 2)</f>
        <v>0.39346934028736658</v>
      </c>
      <c r="D354" s="7"/>
    </row>
    <row r="355" spans="1:4" x14ac:dyDescent="0.25">
      <c r="A355" s="7">
        <v>1.5</v>
      </c>
      <c r="B355" s="7">
        <f>_xll.ACT_DIST_EXPPARETO_PDF(A355, 0.5, 2)</f>
        <v>0.23618327637050734</v>
      </c>
      <c r="C355" s="7">
        <f>_xll.ACT_DIST_EXPPARETO_CDF(A355, 0.5, 2)</f>
        <v>0.52763344725898531</v>
      </c>
      <c r="D355" s="7"/>
    </row>
    <row r="356" spans="1:4" x14ac:dyDescent="0.25">
      <c r="A356" s="7">
        <v>2</v>
      </c>
      <c r="B356" s="7">
        <f>_xll.ACT_DIST_EXPPARETO_PDF(A356, 0.5, 2)</f>
        <v>0.18393972058572117</v>
      </c>
      <c r="C356" s="7">
        <f>_xll.ACT_DIST_EXPPARETO_CDF(A356, 0.5, 2)</f>
        <v>0.63212055882855767</v>
      </c>
      <c r="D356" s="7" t="s">
        <v>418</v>
      </c>
    </row>
    <row r="357" spans="1:4" x14ac:dyDescent="0.25">
      <c r="A357" s="7">
        <v>3</v>
      </c>
      <c r="B357" s="7">
        <f>_xll.ACT_DIST_EXPPARETO_PDF(A357, 0.5, 2)</f>
        <v>8.1750986926987179E-2</v>
      </c>
      <c r="C357" s="7">
        <f>_xll.ACT_DIST_EXPPARETO_CDF(A357, 0.5, 2)</f>
        <v>0.75474703921903852</v>
      </c>
      <c r="D357" s="7"/>
    </row>
    <row r="358" spans="1:4" x14ac:dyDescent="0.25">
      <c r="A358" s="7">
        <v>4</v>
      </c>
      <c r="B358" s="7">
        <f>_xll.ACT_DIST_EXPPARETO_PDF(A358, 0.5, 2)</f>
        <v>4.5984930146430292E-2</v>
      </c>
      <c r="C358" s="7">
        <f>_xll.ACT_DIST_EXPPARETO_CDF(A358, 0.5, 2)</f>
        <v>0.81606027941427883</v>
      </c>
      <c r="D358" s="7"/>
    </row>
    <row r="359" spans="1:4" x14ac:dyDescent="0.25">
      <c r="A359" s="7">
        <v>5</v>
      </c>
      <c r="B359" s="7">
        <f>_xll.ACT_DIST_EXPPARETO_PDF(A359, 0.5, 2)</f>
        <v>2.9430355293715387E-2</v>
      </c>
      <c r="C359" s="7">
        <f>_xll.ACT_DIST_EXPPARETO_CDF(A359, 0.5, 2)</f>
        <v>0.85284822353142309</v>
      </c>
      <c r="D359" s="7"/>
    </row>
    <row r="360" spans="1:4" x14ac:dyDescent="0.25">
      <c r="A360" s="7">
        <v>7</v>
      </c>
      <c r="B360" s="7">
        <f>_xll.ACT_DIST_EXPPARETO_PDF(A360, 0.5, 2)</f>
        <v>1.5015487394752749E-2</v>
      </c>
      <c r="C360" s="7">
        <f>_xll.ACT_DIST_EXPPARETO_CDF(A360, 0.5, 2)</f>
        <v>0.89489158823673076</v>
      </c>
      <c r="D360" s="7"/>
    </row>
    <row r="361" spans="1:4" x14ac:dyDescent="0.25">
      <c r="A361" s="7">
        <v>10</v>
      </c>
      <c r="B361" s="7">
        <f>_xll.ACT_DIST_EXPPARETO_PDF(A361, 0.5, 2)</f>
        <v>7.3575888234288468E-3</v>
      </c>
      <c r="C361" s="7">
        <f>_xll.ACT_DIST_EXPPARETO_CDF(A361, 0.5, 2)</f>
        <v>0.92642411176571149</v>
      </c>
      <c r="D361" s="7"/>
    </row>
    <row r="365" spans="1:4" x14ac:dyDescent="0.25">
      <c r="A365" s="5" t="s">
        <v>420</v>
      </c>
    </row>
    <row r="366" spans="1:4" x14ac:dyDescent="0.25">
      <c r="A366" s="6" t="s">
        <v>379</v>
      </c>
      <c r="B366" s="6" t="s">
        <v>380</v>
      </c>
      <c r="C366" s="6" t="s">
        <v>381</v>
      </c>
      <c r="D366" s="6" t="s">
        <v>382</v>
      </c>
    </row>
    <row r="367" spans="1:4" x14ac:dyDescent="0.25">
      <c r="A367" s="7">
        <v>0</v>
      </c>
      <c r="B367" s="7">
        <f>_xll.ACT_DIST_POWPARETO_PDF(A367, 2, 3, 1)</f>
        <v>0</v>
      </c>
      <c r="C367" s="7">
        <f>_xll.ACT_DIST_POWPARETO_CDF(A367, 2, 3, 1)</f>
        <v>0</v>
      </c>
      <c r="D367" s="7"/>
    </row>
    <row r="368" spans="1:4" x14ac:dyDescent="0.25">
      <c r="A368" s="7">
        <v>0.25</v>
      </c>
      <c r="B368" s="7">
        <f>_xll.ACT_DIST_POWPARETO_PDF(A368, 2, 3, 1)</f>
        <v>7.5000000000000011E-2</v>
      </c>
      <c r="C368" s="7">
        <f>_xll.ACT_DIST_POWPARETO_CDF(A368, 2, 3, 1)</f>
        <v>6.2500000000000003E-3</v>
      </c>
      <c r="D368" s="7"/>
    </row>
    <row r="369" spans="1:4" x14ac:dyDescent="0.25">
      <c r="A369" s="7">
        <v>0.5</v>
      </c>
      <c r="B369" s="7">
        <f>_xll.ACT_DIST_POWPARETO_PDF(A369, 2, 3, 1)</f>
        <v>0.30000000000000004</v>
      </c>
      <c r="C369" s="7">
        <f>_xll.ACT_DIST_POWPARETO_CDF(A369, 2, 3, 1)</f>
        <v>0.05</v>
      </c>
      <c r="D369" s="7"/>
    </row>
    <row r="370" spans="1:4" x14ac:dyDescent="0.25">
      <c r="A370" s="7">
        <v>0.75</v>
      </c>
      <c r="B370" s="7">
        <f>_xll.ACT_DIST_POWPARETO_PDF(A370, 2, 3, 1)</f>
        <v>0.67500000000000004</v>
      </c>
      <c r="C370" s="7">
        <f>_xll.ACT_DIST_POWPARETO_CDF(A370, 2, 3, 1)</f>
        <v>0.16875000000000001</v>
      </c>
      <c r="D370" s="7"/>
    </row>
    <row r="371" spans="1:4" x14ac:dyDescent="0.25">
      <c r="A371" s="7">
        <v>1</v>
      </c>
      <c r="B371" s="7">
        <f>_xll.ACT_DIST_POWPARETO_PDF(A371, 2, 3, 1)</f>
        <v>1.2</v>
      </c>
      <c r="C371" s="7">
        <f>_xll.ACT_DIST_POWPARETO_CDF(A371, 2, 3, 1)</f>
        <v>0.4</v>
      </c>
      <c r="D371" s="7" t="s">
        <v>418</v>
      </c>
    </row>
    <row r="372" spans="1:4" x14ac:dyDescent="0.25">
      <c r="A372" s="7">
        <v>1.5</v>
      </c>
      <c r="B372" s="7">
        <f>_xll.ACT_DIST_POWPARETO_PDF(A372, 2, 3, 1)</f>
        <v>0.35555555555555557</v>
      </c>
      <c r="C372" s="7">
        <f>_xll.ACT_DIST_POWPARETO_CDF(A372, 2, 3, 1)</f>
        <v>0.73333333333333339</v>
      </c>
      <c r="D372" s="7"/>
    </row>
    <row r="373" spans="1:4" x14ac:dyDescent="0.25">
      <c r="A373" s="7">
        <v>2</v>
      </c>
      <c r="B373" s="7">
        <f>_xll.ACT_DIST_POWPARETO_PDF(A373, 2, 3, 1)</f>
        <v>0.15</v>
      </c>
      <c r="C373" s="7">
        <f>_xll.ACT_DIST_POWPARETO_CDF(A373, 2, 3, 1)</f>
        <v>0.85</v>
      </c>
      <c r="D373" s="7"/>
    </row>
    <row r="374" spans="1:4" x14ac:dyDescent="0.25">
      <c r="A374" s="7">
        <v>3</v>
      </c>
      <c r="B374" s="7">
        <f>_xll.ACT_DIST_POWPARETO_PDF(A374, 2, 3, 1)</f>
        <v>4.4444444444444446E-2</v>
      </c>
      <c r="C374" s="7">
        <f>_xll.ACT_DIST_POWPARETO_CDF(A374, 2, 3, 1)</f>
        <v>0.93333333333333335</v>
      </c>
      <c r="D374" s="7"/>
    </row>
    <row r="375" spans="1:4" x14ac:dyDescent="0.25">
      <c r="A375" s="7">
        <v>4</v>
      </c>
      <c r="B375" s="7">
        <f>_xll.ACT_DIST_POWPARETO_PDF(A375, 2, 3, 1)</f>
        <v>1.8749999999999999E-2</v>
      </c>
      <c r="C375" s="7">
        <f>_xll.ACT_DIST_POWPARETO_CDF(A375, 2, 3, 1)</f>
        <v>0.96250000000000002</v>
      </c>
      <c r="D375" s="7"/>
    </row>
    <row r="376" spans="1:4" x14ac:dyDescent="0.25">
      <c r="A376" s="7">
        <v>5</v>
      </c>
      <c r="B376" s="7">
        <f>_xll.ACT_DIST_POWPARETO_PDF(A376, 2, 3, 1)</f>
        <v>9.5999999999999992E-3</v>
      </c>
      <c r="C376" s="7">
        <f>_xll.ACT_DIST_POWPARETO_CDF(A376, 2, 3, 1)</f>
        <v>0.97599999999999998</v>
      </c>
      <c r="D376" s="7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2"/>
  <sheetViews>
    <sheetView workbookViewId="0"/>
  </sheetViews>
  <sheetFormatPr defaultRowHeight="15" x14ac:dyDescent="0.25"/>
  <cols>
    <col min="1" max="1" width="15" customWidth="1"/>
    <col min="2" max="4" width="20" customWidth="1"/>
    <col min="5" max="5" width="30" customWidth="1"/>
    <col min="6" max="6" width="15" customWidth="1"/>
  </cols>
  <sheetData>
    <row r="1" spans="1:3" ht="18.75" x14ac:dyDescent="0.3">
      <c r="A1" s="1" t="s">
        <v>421</v>
      </c>
    </row>
    <row r="3" spans="1:3" x14ac:dyDescent="0.25">
      <c r="A3" s="5" t="s">
        <v>422</v>
      </c>
    </row>
    <row r="5" spans="1:3" x14ac:dyDescent="0.25">
      <c r="A5" s="5" t="s">
        <v>423</v>
      </c>
    </row>
    <row r="6" spans="1:3" x14ac:dyDescent="0.25">
      <c r="A6" s="6" t="s">
        <v>424</v>
      </c>
      <c r="B6" s="6" t="s">
        <v>425</v>
      </c>
      <c r="C6" s="6" t="s">
        <v>382</v>
      </c>
    </row>
    <row r="7" spans="1:3" x14ac:dyDescent="0.25">
      <c r="A7" s="7">
        <v>0</v>
      </c>
      <c r="B7" s="7">
        <f>_xll.ACT_EXPOSURE_MBBEFD(A7, 2, 3)</f>
        <v>0</v>
      </c>
      <c r="C7" s="7"/>
    </row>
    <row r="8" spans="1:3" x14ac:dyDescent="0.25">
      <c r="A8" s="7">
        <v>0.1</v>
      </c>
      <c r="B8" s="7">
        <f>_xll.ACT_EXPOSURE_MBBEFD(A8, 2, 3)</f>
        <v>0.14900082995238692</v>
      </c>
      <c r="C8" s="7"/>
    </row>
    <row r="9" spans="1:3" x14ac:dyDescent="0.25">
      <c r="A9" s="7">
        <v>0.2</v>
      </c>
      <c r="B9" s="7">
        <f>_xll.ACT_EXPOSURE_MBBEFD(A9, 2, 3)</f>
        <v>0.27857778984712644</v>
      </c>
      <c r="C9" s="7"/>
    </row>
    <row r="10" spans="1:3" x14ac:dyDescent="0.25">
      <c r="A10" s="7">
        <v>0.3</v>
      </c>
      <c r="B10" s="7">
        <f>_xll.ACT_EXPOSURE_MBBEFD(A10, 2, 3)</f>
        <v>0.39411350677373241</v>
      </c>
      <c r="C10" s="7"/>
    </row>
    <row r="11" spans="1:3" x14ac:dyDescent="0.25">
      <c r="A11" s="7">
        <v>0.4</v>
      </c>
      <c r="B11" s="7">
        <f>_xll.ACT_EXPOSURE_MBBEFD(A11, 2, 3)</f>
        <v>0.49904569315902908</v>
      </c>
      <c r="C11" s="7"/>
    </row>
    <row r="12" spans="1:3" x14ac:dyDescent="0.25">
      <c r="A12" s="7">
        <v>0.5</v>
      </c>
      <c r="B12" s="7">
        <f>_xll.ACT_EXPOSURE_MBBEFD(A12, 2, 3)</f>
        <v>0.59570401563352471</v>
      </c>
      <c r="C12" s="7"/>
    </row>
    <row r="13" spans="1:3" x14ac:dyDescent="0.25">
      <c r="A13" s="7">
        <v>0.6</v>
      </c>
      <c r="B13" s="7">
        <f>_xll.ACT_EXPOSURE_MBBEFD(A13, 2, 3)</f>
        <v>0.68574023324491229</v>
      </c>
      <c r="C13" s="7"/>
    </row>
    <row r="14" spans="1:3" x14ac:dyDescent="0.25">
      <c r="A14" s="7">
        <v>0.7</v>
      </c>
      <c r="B14" s="7">
        <f>_xll.ACT_EXPOSURE_MBBEFD(A14, 2, 3)</f>
        <v>0.77036793987924868</v>
      </c>
      <c r="C14" s="7"/>
    </row>
    <row r="15" spans="1:3" x14ac:dyDescent="0.25">
      <c r="A15" s="7">
        <v>0.8</v>
      </c>
      <c r="B15" s="7">
        <f>_xll.ACT_EXPOSURE_MBBEFD(A15, 2, 3)</f>
        <v>0.85050486841760231</v>
      </c>
      <c r="C15" s="7"/>
    </row>
    <row r="16" spans="1:3" x14ac:dyDescent="0.25">
      <c r="A16" s="7">
        <v>0.9</v>
      </c>
      <c r="B16" s="7">
        <f>_xll.ACT_EXPOSURE_MBBEFD(A16, 2, 3)</f>
        <v>0.92686172710569714</v>
      </c>
      <c r="C16" s="7"/>
    </row>
    <row r="17" spans="1:6" x14ac:dyDescent="0.25">
      <c r="A17" s="7">
        <v>1</v>
      </c>
      <c r="B17" s="7">
        <f>_xll.ACT_EXPOSURE_MBBEFD(A17, 2, 3)</f>
        <v>1</v>
      </c>
      <c r="C17" s="7"/>
    </row>
    <row r="19" spans="1:6" x14ac:dyDescent="0.25">
      <c r="A19" s="5" t="s">
        <v>426</v>
      </c>
    </row>
    <row r="20" spans="1:6" x14ac:dyDescent="0.25">
      <c r="A20" s="6" t="s">
        <v>424</v>
      </c>
      <c r="B20" s="6" t="s">
        <v>427</v>
      </c>
      <c r="C20" s="6" t="s">
        <v>428</v>
      </c>
      <c r="D20" s="6" t="s">
        <v>429</v>
      </c>
      <c r="E20" s="6" t="s">
        <v>430</v>
      </c>
      <c r="F20" s="6" t="s">
        <v>431</v>
      </c>
    </row>
    <row r="21" spans="1:6" x14ac:dyDescent="0.25">
      <c r="A21" s="3">
        <v>0</v>
      </c>
      <c r="B21" s="3">
        <f>_xll.ACT_EXPOSURE_SWISSRE(A21, 1)</f>
        <v>0</v>
      </c>
      <c r="C21" s="3">
        <f>_xll.ACT_EXPOSURE_SWISSRE(A21, 2)</f>
        <v>0</v>
      </c>
      <c r="D21" s="3">
        <f>_xll.ACT_EXPOSURE_SWISSRE(A21, 3)</f>
        <v>0</v>
      </c>
      <c r="E21" s="3">
        <f>_xll.ACT_EXPOSURE_SWISSRE(A21, 4)</f>
        <v>0</v>
      </c>
      <c r="F21" s="3">
        <f>_xll.ACT_EXPOSURE_SWISSRE(A21, 5)</f>
        <v>0</v>
      </c>
    </row>
    <row r="22" spans="1:6" x14ac:dyDescent="0.25">
      <c r="A22" s="3">
        <v>0.1</v>
      </c>
      <c r="B22" s="3">
        <f>_xll.ACT_EXPOSURE_SWISSRE(A22, 1)</f>
        <v>0.69182355572280629</v>
      </c>
      <c r="C22" s="3">
        <f>_xll.ACT_EXPOSURE_SWISSRE(A22, 2)</f>
        <v>0.79623217538998514</v>
      </c>
      <c r="D22" s="3">
        <f>_xll.ACT_EXPOSURE_SWISSRE(A22, 3)</f>
        <v>0.92081674259306834</v>
      </c>
      <c r="E22" s="3">
        <f>_xll.ACT_EXPOSURE_SWISSRE(A22, 4)</f>
        <v>0.71264259091164361</v>
      </c>
      <c r="F22" s="3">
        <f>_xll.ACT_EXPOSURE_SWISSRE(A22, 5)</f>
        <v>0.17345668509979828</v>
      </c>
    </row>
    <row r="23" spans="1:6" x14ac:dyDescent="0.25">
      <c r="A23" s="3">
        <v>0.2</v>
      </c>
      <c r="B23" s="3">
        <f>_xll.ACT_EXPOSURE_SWISSRE(A23, 1)</f>
        <v>0.76084165450381147</v>
      </c>
      <c r="C23" s="3">
        <f>_xll.ACT_EXPOSURE_SWISSRE(A23, 2)</f>
        <v>0.84354958036155547</v>
      </c>
      <c r="D23" s="3">
        <f>_xll.ACT_EXPOSURE_SWISSRE(A23, 3)</f>
        <v>0.94117972105378389</v>
      </c>
      <c r="E23" s="3">
        <f>_xll.ACT_EXPOSURE_SWISSRE(A23, 4)</f>
        <v>0.7980009413512823</v>
      </c>
      <c r="F23" s="3">
        <f>_xll.ACT_EXPOSURE_SWISSRE(A23, 5)</f>
        <v>0.32423411074089731</v>
      </c>
    </row>
    <row r="24" spans="1:6" x14ac:dyDescent="0.25">
      <c r="A24" s="3">
        <v>0.3</v>
      </c>
      <c r="B24" s="3">
        <f>_xll.ACT_EXPOSURE_SWISSRE(A24, 1)</f>
        <v>0.80632658310216632</v>
      </c>
      <c r="C24" s="3">
        <f>_xll.ACT_EXPOSURE_SWISSRE(A24, 2)</f>
        <v>0.87427817265954977</v>
      </c>
      <c r="D24" s="3">
        <f>_xll.ACT_EXPOSURE_SWISSRE(A24, 3)</f>
        <v>0.95387492734287171</v>
      </c>
      <c r="E24" s="3">
        <f>_xll.ACT_EXPOSURE_SWISSRE(A24, 4)</f>
        <v>0.84823441494751617</v>
      </c>
      <c r="F24" s="3">
        <f>_xll.ACT_EXPOSURE_SWISSRE(A24, 5)</f>
        <v>0.45529967422833939</v>
      </c>
    </row>
    <row r="25" spans="1:6" x14ac:dyDescent="0.25">
      <c r="A25" s="3">
        <v>0.4</v>
      </c>
      <c r="B25" s="3">
        <f>_xll.ACT_EXPOSURE_SWISSRE(A25, 1)</f>
        <v>0.84242900836687518</v>
      </c>
      <c r="C25" s="3">
        <f>_xll.ACT_EXPOSURE_SWISSRE(A25, 2)</f>
        <v>0.89835007353584617</v>
      </c>
      <c r="D25" s="3">
        <f>_xll.ACT_EXPOSURE_SWISSRE(A25, 3)</f>
        <v>0.96345282920489683</v>
      </c>
      <c r="E25" s="3">
        <f>_xll.ACT_EXPOSURE_SWISSRE(A25, 4)</f>
        <v>0.88406817371524193</v>
      </c>
      <c r="F25" s="3">
        <f>_xll.ACT_EXPOSURE_SWISSRE(A25, 5)</f>
        <v>0.56923199728042151</v>
      </c>
    </row>
    <row r="26" spans="1:6" x14ac:dyDescent="0.25">
      <c r="A26" s="3">
        <v>0.5</v>
      </c>
      <c r="B26" s="3">
        <f>_xll.ACT_EXPOSURE_SWISSRE(A26, 1)</f>
        <v>0.87357700106537017</v>
      </c>
      <c r="C26" s="3">
        <f>_xll.ACT_EXPOSURE_SWISSRE(A26, 2)</f>
        <v>0.91887497238661775</v>
      </c>
      <c r="D26" s="3">
        <f>_xll.ACT_EXPOSURE_SWISSRE(A26, 3)</f>
        <v>0.97133932405449286</v>
      </c>
      <c r="E26" s="3">
        <f>_xll.ACT_EXPOSURE_SWISSRE(A26, 4)</f>
        <v>0.91200763240307559</v>
      </c>
      <c r="F26" s="3">
        <f>_xll.ACT_EXPOSURE_SWISSRE(A26, 5)</f>
        <v>0.66827198771258944</v>
      </c>
    </row>
    <row r="27" spans="1:6" x14ac:dyDescent="0.25">
      <c r="A27" s="3">
        <v>0.6</v>
      </c>
      <c r="B27" s="3">
        <f>_xll.ACT_EXPOSURE_SWISSRE(A27, 1)</f>
        <v>0.90173561236106803</v>
      </c>
      <c r="C27" s="3">
        <f>_xll.ACT_EXPOSURE_SWISSRE(A27, 2)</f>
        <v>0.93723495751188879</v>
      </c>
      <c r="D27" s="3">
        <f>_xll.ACT_EXPOSURE_SWISSRE(A27, 3)</f>
        <v>0.97816936335173443</v>
      </c>
      <c r="E27" s="3">
        <f>_xll.ACT_EXPOSURE_SWISSRE(A27, 4)</f>
        <v>0.93495253100908204</v>
      </c>
      <c r="F27" s="3">
        <f>_xll.ACT_EXPOSURE_SWISSRE(A27, 5)</f>
        <v>0.754367163932808</v>
      </c>
    </row>
    <row r="28" spans="1:6" x14ac:dyDescent="0.25">
      <c r="A28" s="3">
        <v>0.7</v>
      </c>
      <c r="B28" s="3">
        <f>_xll.ACT_EXPOSURE_SWISSRE(A28, 1)</f>
        <v>0.92794574509890637</v>
      </c>
      <c r="C28" s="3">
        <f>_xll.ACT_EXPOSURE_SWISSRE(A28, 2)</f>
        <v>0.9541642203738685</v>
      </c>
      <c r="D28" s="3">
        <f>_xll.ACT_EXPOSURE_SWISSRE(A28, 3)</f>
        <v>0.98428146189546883</v>
      </c>
      <c r="E28" s="3">
        <f>_xll.ACT_EXPOSURE_SWISSRE(A28, 4)</f>
        <v>0.95445032038508448</v>
      </c>
      <c r="F28" s="3">
        <f>_xll.ACT_EXPOSURE_SWISSRE(A28, 5)</f>
        <v>0.82921013866771531</v>
      </c>
    </row>
    <row r="29" spans="1:6" x14ac:dyDescent="0.25">
      <c r="A29" s="3">
        <v>0.8</v>
      </c>
      <c r="B29" s="3">
        <f>_xll.ACT_EXPOSURE_SWISSRE(A29, 1)</f>
        <v>0.95282169732824318</v>
      </c>
      <c r="C29" s="3">
        <f>_xll.ACT_EXPOSURE_SWISSRE(A29, 2)</f>
        <v>0.970098023764419</v>
      </c>
      <c r="D29" s="3">
        <f>_xll.ACT_EXPOSURE_SWISSRE(A29, 3)</f>
        <v>0.98987749230873467</v>
      </c>
      <c r="E29" s="3">
        <f>_xll.ACT_EXPOSURE_SWISSRE(A29, 4)</f>
        <v>0.97142494487249798</v>
      </c>
      <c r="F29" s="3">
        <f>_xll.ACT_EXPOSURE_SWISSRE(A29, 5)</f>
        <v>0.89427203724097248</v>
      </c>
    </row>
    <row r="30" spans="1:6" x14ac:dyDescent="0.25">
      <c r="A30" s="3">
        <v>0.9</v>
      </c>
      <c r="B30" s="3">
        <f>_xll.ACT_EXPOSURE_SWISSRE(A30, 1)</f>
        <v>0.9767531171499958</v>
      </c>
      <c r="C30" s="3">
        <f>_xll.ACT_EXPOSURE_SWISSRE(A30, 2)</f>
        <v>0.98531426487148444</v>
      </c>
      <c r="D30" s="3">
        <f>_xll.ACT_EXPOSURE_SWISSRE(A30, 3)</f>
        <v>0.9950874756495921</v>
      </c>
      <c r="E30" s="3">
        <f>_xll.ACT_EXPOSURE_SWISSRE(A30, 4)</f>
        <v>0.98647248481735494</v>
      </c>
      <c r="F30" s="3">
        <f>_xll.ACT_EXPOSURE_SWISSRE(A30, 5)</f>
        <v>0.95083152143112393</v>
      </c>
    </row>
    <row r="31" spans="1:6" x14ac:dyDescent="0.25">
      <c r="A31" s="3">
        <v>1</v>
      </c>
      <c r="B31" s="3">
        <f>_xll.ACT_EXPOSURE_SWISSRE(A31, 1)</f>
        <v>1</v>
      </c>
      <c r="C31" s="3">
        <f>_xll.ACT_EXPOSURE_SWISSRE(A31, 2)</f>
        <v>1</v>
      </c>
      <c r="D31" s="3">
        <f>_xll.ACT_EXPOSURE_SWISSRE(A31, 3)</f>
        <v>1</v>
      </c>
      <c r="E31" s="3">
        <f>_xll.ACT_EXPOSURE_SWISSRE(A31, 4)</f>
        <v>1</v>
      </c>
      <c r="F31" s="3">
        <f>_xll.ACT_EXPOSURE_SWISSRE(A31, 5)</f>
        <v>1</v>
      </c>
    </row>
    <row r="33" spans="1:5" x14ac:dyDescent="0.25">
      <c r="A33" s="5" t="s">
        <v>432</v>
      </c>
    </row>
    <row r="34" spans="1:5" x14ac:dyDescent="0.25">
      <c r="A34" s="6" t="s">
        <v>424</v>
      </c>
      <c r="B34" s="6" t="s">
        <v>433</v>
      </c>
      <c r="C34" s="6" t="s">
        <v>434</v>
      </c>
      <c r="D34" s="6" t="s">
        <v>435</v>
      </c>
      <c r="E34" s="6" t="s">
        <v>436</v>
      </c>
    </row>
    <row r="35" spans="1:5" x14ac:dyDescent="0.25">
      <c r="A35" s="3">
        <v>0</v>
      </c>
      <c r="B35" s="3">
        <f>_xll.ACT_EXPOSURE_LLOYDS(A35, "Y1")</f>
        <v>0</v>
      </c>
      <c r="C35" s="3">
        <f>_xll.ACT_EXPOSURE_LLOYDS(A35, "Y2")</f>
        <v>0</v>
      </c>
      <c r="D35" s="3">
        <f>_xll.ACT_EXPOSURE_LLOYDS(A35, "Y3")</f>
        <v>0</v>
      </c>
      <c r="E35" s="3">
        <f>_xll.ACT_EXPOSURE_LLOYDS(A35, "Y4")</f>
        <v>0</v>
      </c>
    </row>
    <row r="36" spans="1:5" x14ac:dyDescent="0.25">
      <c r="A36" s="3">
        <v>0.1</v>
      </c>
      <c r="B36" s="3">
        <f>_xll.ACT_EXPOSURE_LLOYDS(A36, "Y1")</f>
        <v>0.14618503175453756</v>
      </c>
      <c r="C36" s="3">
        <f>_xll.ACT_EXPOSURE_LLOYDS(A36, "Y2")</f>
        <v>0.18999999999999995</v>
      </c>
      <c r="D36" s="3">
        <f>_xll.ACT_EXPOSURE_LLOYDS(A36, "Y3")</f>
        <v>0.27099999999999991</v>
      </c>
      <c r="E36" s="3">
        <f>_xll.ACT_EXPOSURE_LLOYDS(A36, "Y4")</f>
        <v>0.34389999999999998</v>
      </c>
    </row>
    <row r="37" spans="1:5" x14ac:dyDescent="0.25">
      <c r="A37" s="3">
        <v>0.2</v>
      </c>
      <c r="B37" s="3">
        <f>_xll.ACT_EXPOSURE_LLOYDS(A37, "Y1")</f>
        <v>0.28445824720006718</v>
      </c>
      <c r="C37" s="3">
        <f>_xll.ACT_EXPOSURE_LLOYDS(A37, "Y2")</f>
        <v>0.35999999999999988</v>
      </c>
      <c r="D37" s="3">
        <f>_xll.ACT_EXPOSURE_LLOYDS(A37, "Y3")</f>
        <v>0.48799999999999988</v>
      </c>
      <c r="E37" s="3">
        <f>_xll.ACT_EXPOSURE_LLOYDS(A37, "Y4")</f>
        <v>0.59039999999999992</v>
      </c>
    </row>
    <row r="38" spans="1:5" x14ac:dyDescent="0.25">
      <c r="A38" s="3">
        <v>0.3</v>
      </c>
      <c r="B38" s="3">
        <f>_xll.ACT_EXPOSURE_LLOYDS(A38, "Y1")</f>
        <v>0.41433798142614719</v>
      </c>
      <c r="C38" s="3">
        <f>_xll.ACT_EXPOSURE_LLOYDS(A38, "Y2")</f>
        <v>0.51</v>
      </c>
      <c r="D38" s="3">
        <f>_xll.ACT_EXPOSURE_LLOYDS(A38, "Y3")</f>
        <v>0.65700000000000003</v>
      </c>
      <c r="E38" s="3">
        <f>_xll.ACT_EXPOSURE_LLOYDS(A38, "Y4")</f>
        <v>0.75990000000000002</v>
      </c>
    </row>
    <row r="39" spans="1:5" x14ac:dyDescent="0.25">
      <c r="A39" s="3">
        <v>0.4</v>
      </c>
      <c r="B39" s="3">
        <f>_xll.ACT_EXPOSURE_LLOYDS(A39, "Y1")</f>
        <v>0.53524199845511</v>
      </c>
      <c r="C39" s="3">
        <f>_xll.ACT_EXPOSURE_LLOYDS(A39, "Y2")</f>
        <v>0.64</v>
      </c>
      <c r="D39" s="3">
        <f>_xll.ACT_EXPOSURE_LLOYDS(A39, "Y3")</f>
        <v>0.78400000000000003</v>
      </c>
      <c r="E39" s="3">
        <f>_xll.ACT_EXPOSURE_LLOYDS(A39, "Y4")</f>
        <v>0.87040000000000006</v>
      </c>
    </row>
    <row r="40" spans="1:5" x14ac:dyDescent="0.25">
      <c r="A40" s="3">
        <v>0.5</v>
      </c>
      <c r="B40" s="3">
        <f>_xll.ACT_EXPOSURE_LLOYDS(A40, "Y1")</f>
        <v>0.64644660940672627</v>
      </c>
      <c r="C40" s="3">
        <f>_xll.ACT_EXPOSURE_LLOYDS(A40, "Y2")</f>
        <v>0.75</v>
      </c>
      <c r="D40" s="3">
        <f>_xll.ACT_EXPOSURE_LLOYDS(A40, "Y3")</f>
        <v>0.875</v>
      </c>
      <c r="E40" s="3">
        <f>_xll.ACT_EXPOSURE_LLOYDS(A40, "Y4")</f>
        <v>0.9375</v>
      </c>
    </row>
    <row r="41" spans="1:5" x14ac:dyDescent="0.25">
      <c r="A41" s="3">
        <v>0.6</v>
      </c>
      <c r="B41" s="3">
        <f>_xll.ACT_EXPOSURE_LLOYDS(A41, "Y1")</f>
        <v>0.74701778718652956</v>
      </c>
      <c r="C41" s="3">
        <f>_xll.ACT_EXPOSURE_LLOYDS(A41, "Y2")</f>
        <v>0.84</v>
      </c>
      <c r="D41" s="3">
        <f>_xll.ACT_EXPOSURE_LLOYDS(A41, "Y3")</f>
        <v>0.93599999999999994</v>
      </c>
      <c r="E41" s="3">
        <f>_xll.ACT_EXPOSURE_LLOYDS(A41, "Y4")</f>
        <v>0.97440000000000004</v>
      </c>
    </row>
    <row r="42" spans="1:5" x14ac:dyDescent="0.25">
      <c r="A42" s="3">
        <v>0.7</v>
      </c>
      <c r="B42" s="3">
        <f>_xll.ACT_EXPOSURE_LLOYDS(A42, "Y1")</f>
        <v>0.83568323274845013</v>
      </c>
      <c r="C42" s="3">
        <f>_xll.ACT_EXPOSURE_LLOYDS(A42, "Y2")</f>
        <v>0.90999999999999992</v>
      </c>
      <c r="D42" s="3">
        <f>_xll.ACT_EXPOSURE_LLOYDS(A42, "Y3")</f>
        <v>0.97299999999999998</v>
      </c>
      <c r="E42" s="3">
        <f>_xll.ACT_EXPOSURE_LLOYDS(A42, "Y4")</f>
        <v>0.9919</v>
      </c>
    </row>
    <row r="43" spans="1:5" x14ac:dyDescent="0.25">
      <c r="A43" s="3">
        <v>0.8</v>
      </c>
      <c r="B43" s="3">
        <f>_xll.ACT_EXPOSURE_LLOYDS(A43, "Y1")</f>
        <v>0.91055728090000843</v>
      </c>
      <c r="C43" s="3">
        <f>_xll.ACT_EXPOSURE_LLOYDS(A43, "Y2")</f>
        <v>0.96</v>
      </c>
      <c r="D43" s="3">
        <f>_xll.ACT_EXPOSURE_LLOYDS(A43, "Y3")</f>
        <v>0.99199999999999999</v>
      </c>
      <c r="E43" s="3">
        <f>_xll.ACT_EXPOSURE_LLOYDS(A43, "Y4")</f>
        <v>0.99839999999999995</v>
      </c>
    </row>
    <row r="44" spans="1:5" x14ac:dyDescent="0.25">
      <c r="A44" s="3">
        <v>0.9</v>
      </c>
      <c r="B44" s="3">
        <f>_xll.ACT_EXPOSURE_LLOYDS(A44, "Y1")</f>
        <v>0.96837722339831622</v>
      </c>
      <c r="C44" s="3">
        <f>_xll.ACT_EXPOSURE_LLOYDS(A44, "Y2")</f>
        <v>0.99</v>
      </c>
      <c r="D44" s="3">
        <f>_xll.ACT_EXPOSURE_LLOYDS(A44, "Y3")</f>
        <v>0.999</v>
      </c>
      <c r="E44" s="3">
        <f>_xll.ACT_EXPOSURE_LLOYDS(A44, "Y4")</f>
        <v>0.99990000000000001</v>
      </c>
    </row>
    <row r="45" spans="1:5" x14ac:dyDescent="0.25">
      <c r="A45" s="3">
        <v>1</v>
      </c>
      <c r="B45" s="3">
        <f>_xll.ACT_EXPOSURE_LLOYDS(A45, "Y1")</f>
        <v>1</v>
      </c>
      <c r="C45" s="3">
        <f>_xll.ACT_EXPOSURE_LLOYDS(A45, "Y2")</f>
        <v>1</v>
      </c>
      <c r="D45" s="3">
        <f>_xll.ACT_EXPOSURE_LLOYDS(A45, "Y3")</f>
        <v>1</v>
      </c>
      <c r="E45" s="3">
        <f>_xll.ACT_EXPOSURE_LLOYDS(A45, "Y4")</f>
        <v>1</v>
      </c>
    </row>
    <row r="47" spans="1:5" x14ac:dyDescent="0.25">
      <c r="A47" s="5" t="s">
        <v>437</v>
      </c>
    </row>
    <row r="48" spans="1:5" x14ac:dyDescent="0.25">
      <c r="A48" s="6" t="s">
        <v>438</v>
      </c>
      <c r="B48" s="6" t="s">
        <v>439</v>
      </c>
      <c r="C48" s="6" t="s">
        <v>440</v>
      </c>
      <c r="D48" s="6" t="s">
        <v>382</v>
      </c>
    </row>
    <row r="49" spans="1:4" x14ac:dyDescent="0.25">
      <c r="A49" s="3" t="s">
        <v>441</v>
      </c>
      <c r="B49" s="3" t="s">
        <v>442</v>
      </c>
      <c r="C49" s="3">
        <f>_xll.ACT_EXPOSURE_POWER(0.5, 2)</f>
        <v>0.25</v>
      </c>
      <c r="D49" s="3" t="s">
        <v>443</v>
      </c>
    </row>
    <row r="50" spans="1:4" x14ac:dyDescent="0.25">
      <c r="A50" s="3" t="s">
        <v>444</v>
      </c>
      <c r="B50" s="3" t="s">
        <v>445</v>
      </c>
      <c r="C50" s="3">
        <f>_xll.ACT_EXPOSURE_INVERSE_POWER(0.5, 2)</f>
        <v>0.75</v>
      </c>
      <c r="D50" s="3" t="s">
        <v>446</v>
      </c>
    </row>
    <row r="51" spans="1:4" x14ac:dyDescent="0.25">
      <c r="A51" s="3" t="s">
        <v>447</v>
      </c>
      <c r="B51" s="3" t="s">
        <v>448</v>
      </c>
      <c r="C51" s="3">
        <f>_xll.ACT_EXPOSURE_PARETO(0.5, 2)</f>
        <v>0.29289321881345243</v>
      </c>
      <c r="D51" s="3" t="s">
        <v>449</v>
      </c>
    </row>
    <row r="52" spans="1:4" x14ac:dyDescent="0.25">
      <c r="A52" s="3" t="s">
        <v>450</v>
      </c>
      <c r="B52" s="3" t="s">
        <v>451</v>
      </c>
      <c r="C52" s="3">
        <f>_xll.ACT_EXPOSURE_RIEBESELL(0.5, 0.5)</f>
        <v>0.85355339059327373</v>
      </c>
      <c r="D52" s="3" t="s">
        <v>452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/>
  </sheetViews>
  <sheetFormatPr defaultRowHeight="15" x14ac:dyDescent="0.25"/>
  <cols>
    <col min="1" max="3" width="20" customWidth="1"/>
    <col min="4" max="4" width="30" customWidth="1"/>
  </cols>
  <sheetData>
    <row r="1" spans="1:3" ht="18.75" x14ac:dyDescent="0.3">
      <c r="A1" s="1" t="s">
        <v>453</v>
      </c>
    </row>
    <row r="3" spans="1:3" x14ac:dyDescent="0.25">
      <c r="A3" s="5" t="s">
        <v>454</v>
      </c>
    </row>
    <row r="5" spans="1:3" x14ac:dyDescent="0.25">
      <c r="A5" s="5" t="s">
        <v>455</v>
      </c>
    </row>
    <row r="6" spans="1:3" x14ac:dyDescent="0.25">
      <c r="A6" s="6" t="s">
        <v>456</v>
      </c>
      <c r="B6" s="6" t="s">
        <v>457</v>
      </c>
      <c r="C6" s="6" t="s">
        <v>382</v>
      </c>
    </row>
    <row r="7" spans="1:3" x14ac:dyDescent="0.25">
      <c r="A7" s="8">
        <v>500000</v>
      </c>
      <c r="B7" s="8">
        <f>_xll.ACT_XOL_LAYER_LOSS(A7, 1000000, 5000000)</f>
        <v>0</v>
      </c>
      <c r="C7" s="3" t="s">
        <v>458</v>
      </c>
    </row>
    <row r="8" spans="1:3" x14ac:dyDescent="0.25">
      <c r="A8" s="8">
        <v>1000000</v>
      </c>
      <c r="B8" s="8">
        <f>_xll.ACT_XOL_LAYER_LOSS(A8, 1000000, 5000000)</f>
        <v>0</v>
      </c>
      <c r="C8" s="3" t="s">
        <v>459</v>
      </c>
    </row>
    <row r="9" spans="1:3" x14ac:dyDescent="0.25">
      <c r="A9" s="8">
        <v>2000000</v>
      </c>
      <c r="B9" s="8">
        <f>_xll.ACT_XOL_LAYER_LOSS(A9, 1000000, 5000000)</f>
        <v>1000000</v>
      </c>
      <c r="C9" s="3" t="s">
        <v>460</v>
      </c>
    </row>
    <row r="10" spans="1:3" x14ac:dyDescent="0.25">
      <c r="A10" s="8">
        <v>4000000</v>
      </c>
      <c r="B10" s="8">
        <f>_xll.ACT_XOL_LAYER_LOSS(A10, 1000000, 5000000)</f>
        <v>3000000</v>
      </c>
      <c r="C10" s="3" t="s">
        <v>460</v>
      </c>
    </row>
    <row r="11" spans="1:3" x14ac:dyDescent="0.25">
      <c r="A11" s="8">
        <v>6000000</v>
      </c>
      <c r="B11" s="8">
        <f>_xll.ACT_XOL_LAYER_LOSS(A11, 1000000, 5000000)</f>
        <v>5000000</v>
      </c>
      <c r="C11" s="3" t="s">
        <v>461</v>
      </c>
    </row>
    <row r="12" spans="1:3" x14ac:dyDescent="0.25">
      <c r="A12" s="8">
        <v>10000000</v>
      </c>
      <c r="B12" s="8">
        <f>_xll.ACT_XOL_LAYER_LOSS(A12, 1000000, 5000000)</f>
        <v>5000000</v>
      </c>
      <c r="C12" s="3" t="s">
        <v>462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18"/>
  <sheetViews>
    <sheetView workbookViewId="0"/>
  </sheetViews>
  <sheetFormatPr defaultRowHeight="15" x14ac:dyDescent="0.25"/>
  <cols>
    <col min="1" max="1" width="12" customWidth="1"/>
    <col min="2" max="4" width="14" customWidth="1"/>
    <col min="5" max="5" width="4" customWidth="1"/>
    <col min="6" max="8" width="14" customWidth="1"/>
  </cols>
  <sheetData>
    <row r="1" spans="1:4" ht="18.75" x14ac:dyDescent="0.3">
      <c r="A1" s="1" t="s">
        <v>463</v>
      </c>
    </row>
    <row r="3" spans="1:4" x14ac:dyDescent="0.25">
      <c r="A3" s="5" t="s">
        <v>464</v>
      </c>
    </row>
    <row r="5" spans="1:4" x14ac:dyDescent="0.25">
      <c r="A5" s="5" t="s">
        <v>465</v>
      </c>
    </row>
    <row r="7" spans="1:4" x14ac:dyDescent="0.25">
      <c r="A7" s="5" t="s">
        <v>466</v>
      </c>
    </row>
    <row r="8" spans="1:4" x14ac:dyDescent="0.25">
      <c r="A8" s="6" t="s">
        <v>467</v>
      </c>
      <c r="B8" s="6" t="s">
        <v>468</v>
      </c>
      <c r="C8" s="6" t="s">
        <v>469</v>
      </c>
    </row>
    <row r="9" spans="1:4" x14ac:dyDescent="0.25">
      <c r="A9" s="3" t="s">
        <v>470</v>
      </c>
      <c r="B9" s="3">
        <v>0.2</v>
      </c>
      <c r="C9" s="8">
        <v>1000000</v>
      </c>
    </row>
    <row r="10" spans="1:4" x14ac:dyDescent="0.25">
      <c r="A10" s="3" t="s">
        <v>471</v>
      </c>
      <c r="B10" s="3">
        <v>0.1</v>
      </c>
      <c r="C10" s="8">
        <v>2500000</v>
      </c>
    </row>
    <row r="11" spans="1:4" x14ac:dyDescent="0.25">
      <c r="A11" s="3" t="s">
        <v>472</v>
      </c>
      <c r="B11" s="3">
        <v>0.05</v>
      </c>
      <c r="C11" s="8">
        <v>10000000</v>
      </c>
    </row>
    <row r="14" spans="1:4" x14ac:dyDescent="0.25">
      <c r="A14" s="5" t="s">
        <v>473</v>
      </c>
    </row>
    <row r="15" spans="1:4" x14ac:dyDescent="0.25">
      <c r="A15" s="6" t="s">
        <v>474</v>
      </c>
      <c r="B15" s="6" t="s">
        <v>475</v>
      </c>
      <c r="C15" s="6" t="s">
        <v>476</v>
      </c>
      <c r="D15" s="6" t="s">
        <v>477</v>
      </c>
    </row>
    <row r="16" spans="1:4" x14ac:dyDescent="0.25">
      <c r="A16" s="3" cm="1">
        <f t="array" ref="A16:D1015">_xll.ACT_CAT_ELT_TO_YLT(B9:B11, C9:C11, 1000, 42, FALSE)</f>
        <v>1</v>
      </c>
      <c r="B16">
        <v>0</v>
      </c>
      <c r="C16">
        <v>0</v>
      </c>
      <c r="D16">
        <v>0</v>
      </c>
    </row>
    <row r="17" spans="1:4" x14ac:dyDescent="0.25">
      <c r="A17">
        <v>2</v>
      </c>
      <c r="B17">
        <v>0</v>
      </c>
      <c r="C17">
        <v>0</v>
      </c>
      <c r="D17">
        <v>0</v>
      </c>
    </row>
    <row r="18" spans="1:4" x14ac:dyDescent="0.25">
      <c r="A18">
        <v>3</v>
      </c>
      <c r="B18">
        <v>0</v>
      </c>
      <c r="C18">
        <v>0</v>
      </c>
      <c r="D18">
        <v>0</v>
      </c>
    </row>
    <row r="19" spans="1:4" x14ac:dyDescent="0.25">
      <c r="A19">
        <v>4</v>
      </c>
      <c r="B19">
        <v>0</v>
      </c>
      <c r="C19">
        <v>0</v>
      </c>
      <c r="D19">
        <v>0</v>
      </c>
    </row>
    <row r="20" spans="1:4" x14ac:dyDescent="0.25">
      <c r="A20">
        <v>5</v>
      </c>
      <c r="B20">
        <v>0</v>
      </c>
      <c r="C20">
        <v>0</v>
      </c>
      <c r="D20">
        <v>0</v>
      </c>
    </row>
    <row r="21" spans="1:4" x14ac:dyDescent="0.25">
      <c r="A21">
        <v>6</v>
      </c>
      <c r="B21">
        <v>0</v>
      </c>
      <c r="C21">
        <v>0</v>
      </c>
      <c r="D21">
        <v>0</v>
      </c>
    </row>
    <row r="22" spans="1:4" x14ac:dyDescent="0.25">
      <c r="A22">
        <v>7</v>
      </c>
      <c r="B22">
        <v>0</v>
      </c>
      <c r="C22">
        <v>0</v>
      </c>
      <c r="D22">
        <v>0</v>
      </c>
    </row>
    <row r="23" spans="1:4" x14ac:dyDescent="0.25">
      <c r="A23">
        <v>8</v>
      </c>
      <c r="B23">
        <v>0</v>
      </c>
      <c r="C23">
        <v>0</v>
      </c>
      <c r="D23">
        <v>0</v>
      </c>
    </row>
    <row r="24" spans="1:4" x14ac:dyDescent="0.25">
      <c r="A24">
        <v>9</v>
      </c>
      <c r="B24">
        <v>0</v>
      </c>
      <c r="C24">
        <v>0</v>
      </c>
      <c r="D24">
        <v>0</v>
      </c>
    </row>
    <row r="25" spans="1:4" x14ac:dyDescent="0.25">
      <c r="A25">
        <v>10</v>
      </c>
      <c r="B25">
        <v>0</v>
      </c>
      <c r="C25">
        <v>0</v>
      </c>
      <c r="D25">
        <v>0</v>
      </c>
    </row>
    <row r="26" spans="1:4" x14ac:dyDescent="0.25">
      <c r="A26">
        <v>11</v>
      </c>
      <c r="B26">
        <v>0</v>
      </c>
      <c r="C26">
        <v>0</v>
      </c>
      <c r="D26">
        <v>0</v>
      </c>
    </row>
    <row r="27" spans="1:4" x14ac:dyDescent="0.25">
      <c r="A27">
        <v>12</v>
      </c>
      <c r="B27">
        <v>0</v>
      </c>
      <c r="C27">
        <v>0</v>
      </c>
      <c r="D27">
        <v>0</v>
      </c>
    </row>
    <row r="28" spans="1:4" x14ac:dyDescent="0.25">
      <c r="A28">
        <v>13</v>
      </c>
      <c r="B28">
        <v>1000000</v>
      </c>
      <c r="C28">
        <v>1000000</v>
      </c>
      <c r="D28">
        <v>1</v>
      </c>
    </row>
    <row r="29" spans="1:4" x14ac:dyDescent="0.25">
      <c r="A29">
        <v>14</v>
      </c>
      <c r="B29">
        <v>0</v>
      </c>
      <c r="C29">
        <v>0</v>
      </c>
      <c r="D29">
        <v>0</v>
      </c>
    </row>
    <row r="30" spans="1:4" x14ac:dyDescent="0.25">
      <c r="A30">
        <v>15</v>
      </c>
      <c r="B30">
        <v>0</v>
      </c>
      <c r="C30">
        <v>0</v>
      </c>
      <c r="D30">
        <v>0</v>
      </c>
    </row>
    <row r="31" spans="1:4" x14ac:dyDescent="0.25">
      <c r="A31">
        <v>16</v>
      </c>
      <c r="B31">
        <v>0</v>
      </c>
      <c r="C31">
        <v>0</v>
      </c>
      <c r="D31">
        <v>0</v>
      </c>
    </row>
    <row r="32" spans="1:4" x14ac:dyDescent="0.25">
      <c r="A32">
        <v>17</v>
      </c>
      <c r="B32">
        <v>0</v>
      </c>
      <c r="C32">
        <v>0</v>
      </c>
      <c r="D32">
        <v>0</v>
      </c>
    </row>
    <row r="33" spans="1:4" x14ac:dyDescent="0.25">
      <c r="A33">
        <v>18</v>
      </c>
      <c r="B33">
        <v>0</v>
      </c>
      <c r="C33">
        <v>0</v>
      </c>
      <c r="D33">
        <v>0</v>
      </c>
    </row>
    <row r="34" spans="1:4" x14ac:dyDescent="0.25">
      <c r="A34">
        <v>19</v>
      </c>
      <c r="B34">
        <v>0</v>
      </c>
      <c r="C34">
        <v>0</v>
      </c>
      <c r="D34">
        <v>0</v>
      </c>
    </row>
    <row r="35" spans="1:4" x14ac:dyDescent="0.25">
      <c r="A35">
        <v>20</v>
      </c>
      <c r="B35">
        <v>0</v>
      </c>
      <c r="C35">
        <v>0</v>
      </c>
      <c r="D35">
        <v>0</v>
      </c>
    </row>
    <row r="36" spans="1:4" x14ac:dyDescent="0.25">
      <c r="A36">
        <v>21</v>
      </c>
      <c r="B36">
        <v>0</v>
      </c>
      <c r="C36">
        <v>0</v>
      </c>
      <c r="D36">
        <v>0</v>
      </c>
    </row>
    <row r="37" spans="1:4" x14ac:dyDescent="0.25">
      <c r="A37">
        <v>22</v>
      </c>
      <c r="B37">
        <v>0</v>
      </c>
      <c r="C37">
        <v>0</v>
      </c>
      <c r="D37">
        <v>0</v>
      </c>
    </row>
    <row r="38" spans="1:4" x14ac:dyDescent="0.25">
      <c r="A38">
        <v>23</v>
      </c>
      <c r="B38">
        <v>0</v>
      </c>
      <c r="C38">
        <v>0</v>
      </c>
      <c r="D38">
        <v>0</v>
      </c>
    </row>
    <row r="39" spans="1:4" x14ac:dyDescent="0.25">
      <c r="A39">
        <v>24</v>
      </c>
      <c r="B39">
        <v>0</v>
      </c>
      <c r="C39">
        <v>0</v>
      </c>
      <c r="D39">
        <v>0</v>
      </c>
    </row>
    <row r="40" spans="1:4" x14ac:dyDescent="0.25">
      <c r="A40">
        <v>25</v>
      </c>
      <c r="B40">
        <v>0</v>
      </c>
      <c r="C40">
        <v>0</v>
      </c>
      <c r="D40">
        <v>0</v>
      </c>
    </row>
    <row r="41" spans="1:4" x14ac:dyDescent="0.25">
      <c r="A41">
        <v>26</v>
      </c>
      <c r="B41">
        <v>0</v>
      </c>
      <c r="C41">
        <v>0</v>
      </c>
      <c r="D41">
        <v>0</v>
      </c>
    </row>
    <row r="42" spans="1:4" x14ac:dyDescent="0.25">
      <c r="A42">
        <v>27</v>
      </c>
      <c r="B42">
        <v>2500000</v>
      </c>
      <c r="C42">
        <v>2500000</v>
      </c>
      <c r="D42">
        <v>1</v>
      </c>
    </row>
    <row r="43" spans="1:4" x14ac:dyDescent="0.25">
      <c r="A43">
        <v>28</v>
      </c>
      <c r="B43">
        <v>0</v>
      </c>
      <c r="C43">
        <v>0</v>
      </c>
      <c r="D43">
        <v>0</v>
      </c>
    </row>
    <row r="44" spans="1:4" x14ac:dyDescent="0.25">
      <c r="A44">
        <v>29</v>
      </c>
      <c r="B44">
        <v>0</v>
      </c>
      <c r="C44">
        <v>0</v>
      </c>
      <c r="D44">
        <v>0</v>
      </c>
    </row>
    <row r="45" spans="1:4" x14ac:dyDescent="0.25">
      <c r="A45">
        <v>30</v>
      </c>
      <c r="B45">
        <v>0</v>
      </c>
      <c r="C45">
        <v>0</v>
      </c>
      <c r="D45">
        <v>0</v>
      </c>
    </row>
    <row r="46" spans="1:4" x14ac:dyDescent="0.25">
      <c r="A46">
        <v>31</v>
      </c>
      <c r="B46">
        <v>2500000</v>
      </c>
      <c r="C46">
        <v>2500000</v>
      </c>
      <c r="D46">
        <v>1</v>
      </c>
    </row>
    <row r="47" spans="1:4" x14ac:dyDescent="0.25">
      <c r="A47">
        <v>32</v>
      </c>
      <c r="B47">
        <v>10000000</v>
      </c>
      <c r="C47">
        <v>10000000</v>
      </c>
      <c r="D47">
        <v>1</v>
      </c>
    </row>
    <row r="48" spans="1:4" x14ac:dyDescent="0.25">
      <c r="A48">
        <v>33</v>
      </c>
      <c r="B48">
        <v>0</v>
      </c>
      <c r="C48">
        <v>0</v>
      </c>
      <c r="D48">
        <v>0</v>
      </c>
    </row>
    <row r="49" spans="1:4" x14ac:dyDescent="0.25">
      <c r="A49">
        <v>34</v>
      </c>
      <c r="B49">
        <v>0</v>
      </c>
      <c r="C49">
        <v>0</v>
      </c>
      <c r="D49">
        <v>0</v>
      </c>
    </row>
    <row r="50" spans="1:4" x14ac:dyDescent="0.25">
      <c r="A50">
        <v>35</v>
      </c>
      <c r="B50">
        <v>0</v>
      </c>
      <c r="C50">
        <v>0</v>
      </c>
      <c r="D50">
        <v>0</v>
      </c>
    </row>
    <row r="51" spans="1:4" x14ac:dyDescent="0.25">
      <c r="A51">
        <v>36</v>
      </c>
      <c r="B51">
        <v>10000000</v>
      </c>
      <c r="C51">
        <v>10000000</v>
      </c>
      <c r="D51">
        <v>1</v>
      </c>
    </row>
    <row r="52" spans="1:4" x14ac:dyDescent="0.25">
      <c r="A52">
        <v>37</v>
      </c>
      <c r="B52">
        <v>0</v>
      </c>
      <c r="C52">
        <v>0</v>
      </c>
      <c r="D52">
        <v>0</v>
      </c>
    </row>
    <row r="53" spans="1:4" x14ac:dyDescent="0.25">
      <c r="A53">
        <v>38</v>
      </c>
      <c r="B53">
        <v>2500000</v>
      </c>
      <c r="C53">
        <v>2500000</v>
      </c>
      <c r="D53">
        <v>1</v>
      </c>
    </row>
    <row r="54" spans="1:4" x14ac:dyDescent="0.25">
      <c r="A54">
        <v>39</v>
      </c>
      <c r="B54">
        <v>2500000</v>
      </c>
      <c r="C54">
        <v>2500000</v>
      </c>
      <c r="D54">
        <v>1</v>
      </c>
    </row>
    <row r="55" spans="1:4" x14ac:dyDescent="0.25">
      <c r="A55">
        <v>40</v>
      </c>
      <c r="B55">
        <v>0</v>
      </c>
      <c r="C55">
        <v>0</v>
      </c>
      <c r="D55">
        <v>0</v>
      </c>
    </row>
    <row r="56" spans="1:4" x14ac:dyDescent="0.25">
      <c r="A56">
        <v>41</v>
      </c>
      <c r="B56">
        <v>0</v>
      </c>
      <c r="C56">
        <v>0</v>
      </c>
      <c r="D56">
        <v>0</v>
      </c>
    </row>
    <row r="57" spans="1:4" x14ac:dyDescent="0.25">
      <c r="A57">
        <v>42</v>
      </c>
      <c r="B57">
        <v>1000000</v>
      </c>
      <c r="C57">
        <v>1000000</v>
      </c>
      <c r="D57">
        <v>1</v>
      </c>
    </row>
    <row r="58" spans="1:4" x14ac:dyDescent="0.25">
      <c r="A58">
        <v>43</v>
      </c>
      <c r="B58">
        <v>0</v>
      </c>
      <c r="C58">
        <v>0</v>
      </c>
      <c r="D58">
        <v>0</v>
      </c>
    </row>
    <row r="59" spans="1:4" x14ac:dyDescent="0.25">
      <c r="A59">
        <v>44</v>
      </c>
      <c r="B59">
        <v>0</v>
      </c>
      <c r="C59">
        <v>0</v>
      </c>
      <c r="D59">
        <v>0</v>
      </c>
    </row>
    <row r="60" spans="1:4" x14ac:dyDescent="0.25">
      <c r="A60">
        <v>45</v>
      </c>
      <c r="B60">
        <v>3500000</v>
      </c>
      <c r="C60">
        <v>2500000</v>
      </c>
      <c r="D60">
        <v>2</v>
      </c>
    </row>
    <row r="61" spans="1:4" x14ac:dyDescent="0.25">
      <c r="A61">
        <v>46</v>
      </c>
      <c r="B61">
        <v>0</v>
      </c>
      <c r="C61">
        <v>0</v>
      </c>
      <c r="D61">
        <v>0</v>
      </c>
    </row>
    <row r="62" spans="1:4" x14ac:dyDescent="0.25">
      <c r="A62">
        <v>47</v>
      </c>
      <c r="B62">
        <v>0</v>
      </c>
      <c r="C62">
        <v>0</v>
      </c>
      <c r="D62">
        <v>0</v>
      </c>
    </row>
    <row r="63" spans="1:4" x14ac:dyDescent="0.25">
      <c r="A63">
        <v>48</v>
      </c>
      <c r="B63">
        <v>0</v>
      </c>
      <c r="C63">
        <v>0</v>
      </c>
      <c r="D63">
        <v>0</v>
      </c>
    </row>
    <row r="64" spans="1:4" x14ac:dyDescent="0.25">
      <c r="A64">
        <v>49</v>
      </c>
      <c r="B64">
        <v>1000000</v>
      </c>
      <c r="C64">
        <v>1000000</v>
      </c>
      <c r="D64">
        <v>1</v>
      </c>
    </row>
    <row r="65" spans="1:4" x14ac:dyDescent="0.25">
      <c r="A65">
        <v>50</v>
      </c>
      <c r="B65">
        <v>0</v>
      </c>
      <c r="C65">
        <v>0</v>
      </c>
      <c r="D65">
        <v>0</v>
      </c>
    </row>
    <row r="66" spans="1:4" x14ac:dyDescent="0.25">
      <c r="A66">
        <v>51</v>
      </c>
      <c r="B66">
        <v>0</v>
      </c>
      <c r="C66">
        <v>0</v>
      </c>
      <c r="D66">
        <v>0</v>
      </c>
    </row>
    <row r="67" spans="1:4" x14ac:dyDescent="0.25">
      <c r="A67">
        <v>52</v>
      </c>
      <c r="B67">
        <v>0</v>
      </c>
      <c r="C67">
        <v>0</v>
      </c>
      <c r="D67">
        <v>0</v>
      </c>
    </row>
    <row r="68" spans="1:4" x14ac:dyDescent="0.25">
      <c r="A68">
        <v>53</v>
      </c>
      <c r="B68">
        <v>10000000</v>
      </c>
      <c r="C68">
        <v>10000000</v>
      </c>
      <c r="D68">
        <v>1</v>
      </c>
    </row>
    <row r="69" spans="1:4" x14ac:dyDescent="0.25">
      <c r="A69">
        <v>54</v>
      </c>
      <c r="B69">
        <v>2500000</v>
      </c>
      <c r="C69">
        <v>2500000</v>
      </c>
      <c r="D69">
        <v>1</v>
      </c>
    </row>
    <row r="70" spans="1:4" x14ac:dyDescent="0.25">
      <c r="A70">
        <v>55</v>
      </c>
      <c r="B70">
        <v>0</v>
      </c>
      <c r="C70">
        <v>0</v>
      </c>
      <c r="D70">
        <v>0</v>
      </c>
    </row>
    <row r="71" spans="1:4" x14ac:dyDescent="0.25">
      <c r="A71">
        <v>56</v>
      </c>
      <c r="B71">
        <v>1000000</v>
      </c>
      <c r="C71">
        <v>1000000</v>
      </c>
      <c r="D71">
        <v>1</v>
      </c>
    </row>
    <row r="72" spans="1:4" x14ac:dyDescent="0.25">
      <c r="A72">
        <v>57</v>
      </c>
      <c r="B72">
        <v>0</v>
      </c>
      <c r="C72">
        <v>0</v>
      </c>
      <c r="D72">
        <v>0</v>
      </c>
    </row>
    <row r="73" spans="1:4" x14ac:dyDescent="0.25">
      <c r="A73">
        <v>58</v>
      </c>
      <c r="B73">
        <v>2000000</v>
      </c>
      <c r="C73">
        <v>1000000</v>
      </c>
      <c r="D73">
        <v>2</v>
      </c>
    </row>
    <row r="74" spans="1:4" x14ac:dyDescent="0.25">
      <c r="A74">
        <v>59</v>
      </c>
      <c r="B74">
        <v>2500000</v>
      </c>
      <c r="C74">
        <v>2500000</v>
      </c>
      <c r="D74">
        <v>1</v>
      </c>
    </row>
    <row r="75" spans="1:4" x14ac:dyDescent="0.25">
      <c r="A75">
        <v>60</v>
      </c>
      <c r="B75">
        <v>0</v>
      </c>
      <c r="C75">
        <v>0</v>
      </c>
      <c r="D75">
        <v>0</v>
      </c>
    </row>
    <row r="76" spans="1:4" x14ac:dyDescent="0.25">
      <c r="A76">
        <v>61</v>
      </c>
      <c r="B76">
        <v>0</v>
      </c>
      <c r="C76">
        <v>0</v>
      </c>
      <c r="D76">
        <v>0</v>
      </c>
    </row>
    <row r="77" spans="1:4" x14ac:dyDescent="0.25">
      <c r="A77">
        <v>62</v>
      </c>
      <c r="B77">
        <v>0</v>
      </c>
      <c r="C77">
        <v>0</v>
      </c>
      <c r="D77">
        <v>0</v>
      </c>
    </row>
    <row r="78" spans="1:4" x14ac:dyDescent="0.25">
      <c r="A78">
        <v>63</v>
      </c>
      <c r="B78">
        <v>0</v>
      </c>
      <c r="C78">
        <v>0</v>
      </c>
      <c r="D78">
        <v>0</v>
      </c>
    </row>
    <row r="79" spans="1:4" x14ac:dyDescent="0.25">
      <c r="A79">
        <v>64</v>
      </c>
      <c r="B79">
        <v>0</v>
      </c>
      <c r="C79">
        <v>0</v>
      </c>
      <c r="D79">
        <v>0</v>
      </c>
    </row>
    <row r="80" spans="1:4" x14ac:dyDescent="0.25">
      <c r="A80">
        <v>65</v>
      </c>
      <c r="B80">
        <v>3500000</v>
      </c>
      <c r="C80">
        <v>2500000</v>
      </c>
      <c r="D80">
        <v>2</v>
      </c>
    </row>
    <row r="81" spans="1:4" x14ac:dyDescent="0.25">
      <c r="A81">
        <v>66</v>
      </c>
      <c r="B81">
        <v>2000000</v>
      </c>
      <c r="C81">
        <v>1000000</v>
      </c>
      <c r="D81">
        <v>2</v>
      </c>
    </row>
    <row r="82" spans="1:4" x14ac:dyDescent="0.25">
      <c r="A82">
        <v>67</v>
      </c>
      <c r="B82">
        <v>0</v>
      </c>
      <c r="C82">
        <v>0</v>
      </c>
      <c r="D82">
        <v>0</v>
      </c>
    </row>
    <row r="83" spans="1:4" x14ac:dyDescent="0.25">
      <c r="A83">
        <v>68</v>
      </c>
      <c r="B83">
        <v>0</v>
      </c>
      <c r="C83">
        <v>0</v>
      </c>
      <c r="D83">
        <v>0</v>
      </c>
    </row>
    <row r="84" spans="1:4" x14ac:dyDescent="0.25">
      <c r="A84">
        <v>69</v>
      </c>
      <c r="B84">
        <v>0</v>
      </c>
      <c r="C84">
        <v>0</v>
      </c>
      <c r="D84">
        <v>0</v>
      </c>
    </row>
    <row r="85" spans="1:4" x14ac:dyDescent="0.25">
      <c r="A85">
        <v>70</v>
      </c>
      <c r="B85">
        <v>0</v>
      </c>
      <c r="C85">
        <v>0</v>
      </c>
      <c r="D85">
        <v>0</v>
      </c>
    </row>
    <row r="86" spans="1:4" x14ac:dyDescent="0.25">
      <c r="A86">
        <v>71</v>
      </c>
      <c r="B86">
        <v>2500000</v>
      </c>
      <c r="C86">
        <v>2500000</v>
      </c>
      <c r="D86">
        <v>1</v>
      </c>
    </row>
    <row r="87" spans="1:4" x14ac:dyDescent="0.25">
      <c r="A87">
        <v>72</v>
      </c>
      <c r="B87">
        <v>0</v>
      </c>
      <c r="C87">
        <v>0</v>
      </c>
      <c r="D87">
        <v>0</v>
      </c>
    </row>
    <row r="88" spans="1:4" x14ac:dyDescent="0.25">
      <c r="A88">
        <v>73</v>
      </c>
      <c r="B88">
        <v>0</v>
      </c>
      <c r="C88">
        <v>0</v>
      </c>
      <c r="D88">
        <v>0</v>
      </c>
    </row>
    <row r="89" spans="1:4" x14ac:dyDescent="0.25">
      <c r="A89">
        <v>74</v>
      </c>
      <c r="B89">
        <v>0</v>
      </c>
      <c r="C89">
        <v>0</v>
      </c>
      <c r="D89">
        <v>0</v>
      </c>
    </row>
    <row r="90" spans="1:4" x14ac:dyDescent="0.25">
      <c r="A90">
        <v>75</v>
      </c>
      <c r="B90">
        <v>10000000</v>
      </c>
      <c r="C90">
        <v>10000000</v>
      </c>
      <c r="D90">
        <v>1</v>
      </c>
    </row>
    <row r="91" spans="1:4" x14ac:dyDescent="0.25">
      <c r="A91">
        <v>76</v>
      </c>
      <c r="B91">
        <v>1000000</v>
      </c>
      <c r="C91">
        <v>1000000</v>
      </c>
      <c r="D91">
        <v>1</v>
      </c>
    </row>
    <row r="92" spans="1:4" x14ac:dyDescent="0.25">
      <c r="A92">
        <v>77</v>
      </c>
      <c r="B92">
        <v>0</v>
      </c>
      <c r="C92">
        <v>0</v>
      </c>
      <c r="D92">
        <v>0</v>
      </c>
    </row>
    <row r="93" spans="1:4" x14ac:dyDescent="0.25">
      <c r="A93">
        <v>78</v>
      </c>
      <c r="B93">
        <v>1000000</v>
      </c>
      <c r="C93">
        <v>1000000</v>
      </c>
      <c r="D93">
        <v>1</v>
      </c>
    </row>
    <row r="94" spans="1:4" x14ac:dyDescent="0.25">
      <c r="A94">
        <v>79</v>
      </c>
      <c r="B94">
        <v>2500000</v>
      </c>
      <c r="C94">
        <v>2500000</v>
      </c>
      <c r="D94">
        <v>1</v>
      </c>
    </row>
    <row r="95" spans="1:4" x14ac:dyDescent="0.25">
      <c r="A95">
        <v>80</v>
      </c>
      <c r="B95">
        <v>0</v>
      </c>
      <c r="C95">
        <v>0</v>
      </c>
      <c r="D95">
        <v>0</v>
      </c>
    </row>
    <row r="96" spans="1:4" x14ac:dyDescent="0.25">
      <c r="A96">
        <v>81</v>
      </c>
      <c r="B96">
        <v>0</v>
      </c>
      <c r="C96">
        <v>0</v>
      </c>
      <c r="D96">
        <v>0</v>
      </c>
    </row>
    <row r="97" spans="1:4" x14ac:dyDescent="0.25">
      <c r="A97">
        <v>82</v>
      </c>
      <c r="B97">
        <v>10000000</v>
      </c>
      <c r="C97">
        <v>10000000</v>
      </c>
      <c r="D97">
        <v>1</v>
      </c>
    </row>
    <row r="98" spans="1:4" x14ac:dyDescent="0.25">
      <c r="A98">
        <v>83</v>
      </c>
      <c r="B98">
        <v>1000000</v>
      </c>
      <c r="C98">
        <v>1000000</v>
      </c>
      <c r="D98">
        <v>1</v>
      </c>
    </row>
    <row r="99" spans="1:4" x14ac:dyDescent="0.25">
      <c r="A99">
        <v>84</v>
      </c>
      <c r="B99">
        <v>0</v>
      </c>
      <c r="C99">
        <v>0</v>
      </c>
      <c r="D99">
        <v>0</v>
      </c>
    </row>
    <row r="100" spans="1:4" x14ac:dyDescent="0.25">
      <c r="A100">
        <v>85</v>
      </c>
      <c r="B100">
        <v>0</v>
      </c>
      <c r="C100">
        <v>0</v>
      </c>
      <c r="D100">
        <v>0</v>
      </c>
    </row>
    <row r="101" spans="1:4" x14ac:dyDescent="0.25">
      <c r="A101">
        <v>86</v>
      </c>
      <c r="B101">
        <v>0</v>
      </c>
      <c r="C101">
        <v>0</v>
      </c>
      <c r="D101">
        <v>0</v>
      </c>
    </row>
    <row r="102" spans="1:4" x14ac:dyDescent="0.25">
      <c r="A102">
        <v>87</v>
      </c>
      <c r="B102">
        <v>0</v>
      </c>
      <c r="C102">
        <v>0</v>
      </c>
      <c r="D102">
        <v>0</v>
      </c>
    </row>
    <row r="103" spans="1:4" x14ac:dyDescent="0.25">
      <c r="A103">
        <v>88</v>
      </c>
      <c r="B103">
        <v>0</v>
      </c>
      <c r="C103">
        <v>0</v>
      </c>
      <c r="D103">
        <v>0</v>
      </c>
    </row>
    <row r="104" spans="1:4" x14ac:dyDescent="0.25">
      <c r="A104">
        <v>89</v>
      </c>
      <c r="B104">
        <v>2500000</v>
      </c>
      <c r="C104">
        <v>2500000</v>
      </c>
      <c r="D104">
        <v>1</v>
      </c>
    </row>
    <row r="105" spans="1:4" x14ac:dyDescent="0.25">
      <c r="A105">
        <v>90</v>
      </c>
      <c r="B105">
        <v>0</v>
      </c>
      <c r="C105">
        <v>0</v>
      </c>
      <c r="D105">
        <v>0</v>
      </c>
    </row>
    <row r="106" spans="1:4" x14ac:dyDescent="0.25">
      <c r="A106">
        <v>91</v>
      </c>
      <c r="B106">
        <v>0</v>
      </c>
      <c r="C106">
        <v>0</v>
      </c>
      <c r="D106">
        <v>0</v>
      </c>
    </row>
    <row r="107" spans="1:4" x14ac:dyDescent="0.25">
      <c r="A107">
        <v>92</v>
      </c>
      <c r="B107">
        <v>1000000</v>
      </c>
      <c r="C107">
        <v>1000000</v>
      </c>
      <c r="D107">
        <v>1</v>
      </c>
    </row>
    <row r="108" spans="1:4" x14ac:dyDescent="0.25">
      <c r="A108">
        <v>93</v>
      </c>
      <c r="B108">
        <v>0</v>
      </c>
      <c r="C108">
        <v>0</v>
      </c>
      <c r="D108">
        <v>0</v>
      </c>
    </row>
    <row r="109" spans="1:4" x14ac:dyDescent="0.25">
      <c r="A109">
        <v>94</v>
      </c>
      <c r="B109">
        <v>0</v>
      </c>
      <c r="C109">
        <v>0</v>
      </c>
      <c r="D109">
        <v>0</v>
      </c>
    </row>
    <row r="110" spans="1:4" x14ac:dyDescent="0.25">
      <c r="A110">
        <v>95</v>
      </c>
      <c r="B110">
        <v>0</v>
      </c>
      <c r="C110">
        <v>0</v>
      </c>
      <c r="D110">
        <v>0</v>
      </c>
    </row>
    <row r="111" spans="1:4" x14ac:dyDescent="0.25">
      <c r="A111">
        <v>96</v>
      </c>
      <c r="B111">
        <v>0</v>
      </c>
      <c r="C111">
        <v>0</v>
      </c>
      <c r="D111">
        <v>0</v>
      </c>
    </row>
    <row r="112" spans="1:4" x14ac:dyDescent="0.25">
      <c r="A112">
        <v>97</v>
      </c>
      <c r="B112">
        <v>10000000</v>
      </c>
      <c r="C112">
        <v>10000000</v>
      </c>
      <c r="D112">
        <v>1</v>
      </c>
    </row>
    <row r="113" spans="1:4" x14ac:dyDescent="0.25">
      <c r="A113">
        <v>98</v>
      </c>
      <c r="B113">
        <v>0</v>
      </c>
      <c r="C113">
        <v>0</v>
      </c>
      <c r="D113">
        <v>0</v>
      </c>
    </row>
    <row r="114" spans="1:4" x14ac:dyDescent="0.25">
      <c r="A114">
        <v>99</v>
      </c>
      <c r="B114">
        <v>0</v>
      </c>
      <c r="C114">
        <v>0</v>
      </c>
      <c r="D114">
        <v>0</v>
      </c>
    </row>
    <row r="115" spans="1:4" x14ac:dyDescent="0.25">
      <c r="A115">
        <v>100</v>
      </c>
      <c r="B115">
        <v>0</v>
      </c>
      <c r="C115">
        <v>0</v>
      </c>
      <c r="D115">
        <v>0</v>
      </c>
    </row>
    <row r="116" spans="1:4" x14ac:dyDescent="0.25">
      <c r="A116">
        <v>101</v>
      </c>
      <c r="B116">
        <v>1000000</v>
      </c>
      <c r="C116">
        <v>1000000</v>
      </c>
      <c r="D116">
        <v>1</v>
      </c>
    </row>
    <row r="117" spans="1:4" x14ac:dyDescent="0.25">
      <c r="A117">
        <v>102</v>
      </c>
      <c r="B117">
        <v>0</v>
      </c>
      <c r="C117">
        <v>0</v>
      </c>
      <c r="D117">
        <v>0</v>
      </c>
    </row>
    <row r="118" spans="1:4" x14ac:dyDescent="0.25">
      <c r="A118">
        <v>103</v>
      </c>
      <c r="B118">
        <v>0</v>
      </c>
      <c r="C118">
        <v>0</v>
      </c>
      <c r="D118">
        <v>0</v>
      </c>
    </row>
    <row r="119" spans="1:4" x14ac:dyDescent="0.25">
      <c r="A119">
        <v>104</v>
      </c>
      <c r="B119">
        <v>1000000</v>
      </c>
      <c r="C119">
        <v>1000000</v>
      </c>
      <c r="D119">
        <v>1</v>
      </c>
    </row>
    <row r="120" spans="1:4" x14ac:dyDescent="0.25">
      <c r="A120">
        <v>105</v>
      </c>
      <c r="B120">
        <v>0</v>
      </c>
      <c r="C120">
        <v>0</v>
      </c>
      <c r="D120">
        <v>0</v>
      </c>
    </row>
    <row r="121" spans="1:4" x14ac:dyDescent="0.25">
      <c r="A121">
        <v>106</v>
      </c>
      <c r="B121">
        <v>0</v>
      </c>
      <c r="C121">
        <v>0</v>
      </c>
      <c r="D121">
        <v>0</v>
      </c>
    </row>
    <row r="122" spans="1:4" x14ac:dyDescent="0.25">
      <c r="A122">
        <v>107</v>
      </c>
      <c r="B122">
        <v>2000000</v>
      </c>
      <c r="C122">
        <v>1000000</v>
      </c>
      <c r="D122">
        <v>2</v>
      </c>
    </row>
    <row r="123" spans="1:4" x14ac:dyDescent="0.25">
      <c r="A123">
        <v>108</v>
      </c>
      <c r="B123">
        <v>1000000</v>
      </c>
      <c r="C123">
        <v>1000000</v>
      </c>
      <c r="D123">
        <v>1</v>
      </c>
    </row>
    <row r="124" spans="1:4" x14ac:dyDescent="0.25">
      <c r="A124">
        <v>109</v>
      </c>
      <c r="B124">
        <v>0</v>
      </c>
      <c r="C124">
        <v>0</v>
      </c>
      <c r="D124">
        <v>0</v>
      </c>
    </row>
    <row r="125" spans="1:4" x14ac:dyDescent="0.25">
      <c r="A125">
        <v>110</v>
      </c>
      <c r="B125">
        <v>0</v>
      </c>
      <c r="C125">
        <v>0</v>
      </c>
      <c r="D125">
        <v>0</v>
      </c>
    </row>
    <row r="126" spans="1:4" x14ac:dyDescent="0.25">
      <c r="A126">
        <v>111</v>
      </c>
      <c r="B126">
        <v>1000000</v>
      </c>
      <c r="C126">
        <v>1000000</v>
      </c>
      <c r="D126">
        <v>1</v>
      </c>
    </row>
    <row r="127" spans="1:4" x14ac:dyDescent="0.25">
      <c r="A127">
        <v>112</v>
      </c>
      <c r="B127">
        <v>0</v>
      </c>
      <c r="C127">
        <v>0</v>
      </c>
      <c r="D127">
        <v>0</v>
      </c>
    </row>
    <row r="128" spans="1:4" x14ac:dyDescent="0.25">
      <c r="A128">
        <v>113</v>
      </c>
      <c r="B128">
        <v>0</v>
      </c>
      <c r="C128">
        <v>0</v>
      </c>
      <c r="D128">
        <v>0</v>
      </c>
    </row>
    <row r="129" spans="1:4" x14ac:dyDescent="0.25">
      <c r="A129">
        <v>114</v>
      </c>
      <c r="B129">
        <v>2500000</v>
      </c>
      <c r="C129">
        <v>2500000</v>
      </c>
      <c r="D129">
        <v>1</v>
      </c>
    </row>
    <row r="130" spans="1:4" x14ac:dyDescent="0.25">
      <c r="A130">
        <v>115</v>
      </c>
      <c r="B130">
        <v>0</v>
      </c>
      <c r="C130">
        <v>0</v>
      </c>
      <c r="D130">
        <v>0</v>
      </c>
    </row>
    <row r="131" spans="1:4" x14ac:dyDescent="0.25">
      <c r="A131">
        <v>116</v>
      </c>
      <c r="B131">
        <v>0</v>
      </c>
      <c r="C131">
        <v>0</v>
      </c>
      <c r="D131">
        <v>0</v>
      </c>
    </row>
    <row r="132" spans="1:4" x14ac:dyDescent="0.25">
      <c r="A132">
        <v>117</v>
      </c>
      <c r="B132">
        <v>0</v>
      </c>
      <c r="C132">
        <v>0</v>
      </c>
      <c r="D132">
        <v>0</v>
      </c>
    </row>
    <row r="133" spans="1:4" x14ac:dyDescent="0.25">
      <c r="A133">
        <v>118</v>
      </c>
      <c r="B133">
        <v>0</v>
      </c>
      <c r="C133">
        <v>0</v>
      </c>
      <c r="D133">
        <v>0</v>
      </c>
    </row>
    <row r="134" spans="1:4" x14ac:dyDescent="0.25">
      <c r="A134">
        <v>119</v>
      </c>
      <c r="B134">
        <v>0</v>
      </c>
      <c r="C134">
        <v>0</v>
      </c>
      <c r="D134">
        <v>0</v>
      </c>
    </row>
    <row r="135" spans="1:4" x14ac:dyDescent="0.25">
      <c r="A135">
        <v>120</v>
      </c>
      <c r="B135">
        <v>0</v>
      </c>
      <c r="C135">
        <v>0</v>
      </c>
      <c r="D135">
        <v>0</v>
      </c>
    </row>
    <row r="136" spans="1:4" x14ac:dyDescent="0.25">
      <c r="A136">
        <v>121</v>
      </c>
      <c r="B136">
        <v>0</v>
      </c>
      <c r="C136">
        <v>0</v>
      </c>
      <c r="D136">
        <v>0</v>
      </c>
    </row>
    <row r="137" spans="1:4" x14ac:dyDescent="0.25">
      <c r="A137">
        <v>122</v>
      </c>
      <c r="B137">
        <v>1000000</v>
      </c>
      <c r="C137">
        <v>1000000</v>
      </c>
      <c r="D137">
        <v>1</v>
      </c>
    </row>
    <row r="138" spans="1:4" x14ac:dyDescent="0.25">
      <c r="A138">
        <v>123</v>
      </c>
      <c r="B138">
        <v>0</v>
      </c>
      <c r="C138">
        <v>0</v>
      </c>
      <c r="D138">
        <v>0</v>
      </c>
    </row>
    <row r="139" spans="1:4" x14ac:dyDescent="0.25">
      <c r="A139">
        <v>124</v>
      </c>
      <c r="B139">
        <v>11000000</v>
      </c>
      <c r="C139">
        <v>10000000</v>
      </c>
      <c r="D139">
        <v>2</v>
      </c>
    </row>
    <row r="140" spans="1:4" x14ac:dyDescent="0.25">
      <c r="A140">
        <v>125</v>
      </c>
      <c r="B140">
        <v>0</v>
      </c>
      <c r="C140">
        <v>0</v>
      </c>
      <c r="D140">
        <v>0</v>
      </c>
    </row>
    <row r="141" spans="1:4" x14ac:dyDescent="0.25">
      <c r="A141">
        <v>126</v>
      </c>
      <c r="B141">
        <v>0</v>
      </c>
      <c r="C141">
        <v>0</v>
      </c>
      <c r="D141">
        <v>0</v>
      </c>
    </row>
    <row r="142" spans="1:4" x14ac:dyDescent="0.25">
      <c r="A142">
        <v>127</v>
      </c>
      <c r="B142">
        <v>0</v>
      </c>
      <c r="C142">
        <v>0</v>
      </c>
      <c r="D142">
        <v>0</v>
      </c>
    </row>
    <row r="143" spans="1:4" x14ac:dyDescent="0.25">
      <c r="A143">
        <v>128</v>
      </c>
      <c r="B143">
        <v>1000000</v>
      </c>
      <c r="C143">
        <v>1000000</v>
      </c>
      <c r="D143">
        <v>1</v>
      </c>
    </row>
    <row r="144" spans="1:4" x14ac:dyDescent="0.25">
      <c r="A144">
        <v>129</v>
      </c>
      <c r="B144">
        <v>11000000</v>
      </c>
      <c r="C144">
        <v>10000000</v>
      </c>
      <c r="D144">
        <v>2</v>
      </c>
    </row>
    <row r="145" spans="1:4" x14ac:dyDescent="0.25">
      <c r="A145">
        <v>130</v>
      </c>
      <c r="B145">
        <v>3500000</v>
      </c>
      <c r="C145">
        <v>2500000</v>
      </c>
      <c r="D145">
        <v>2</v>
      </c>
    </row>
    <row r="146" spans="1:4" x14ac:dyDescent="0.25">
      <c r="A146">
        <v>131</v>
      </c>
      <c r="B146">
        <v>0</v>
      </c>
      <c r="C146">
        <v>0</v>
      </c>
      <c r="D146">
        <v>0</v>
      </c>
    </row>
    <row r="147" spans="1:4" x14ac:dyDescent="0.25">
      <c r="A147">
        <v>132</v>
      </c>
      <c r="B147">
        <v>0</v>
      </c>
      <c r="C147">
        <v>0</v>
      </c>
      <c r="D147">
        <v>0</v>
      </c>
    </row>
    <row r="148" spans="1:4" x14ac:dyDescent="0.25">
      <c r="A148">
        <v>133</v>
      </c>
      <c r="B148">
        <v>0</v>
      </c>
      <c r="C148">
        <v>0</v>
      </c>
      <c r="D148">
        <v>0</v>
      </c>
    </row>
    <row r="149" spans="1:4" x14ac:dyDescent="0.25">
      <c r="A149">
        <v>134</v>
      </c>
      <c r="B149">
        <v>2500000</v>
      </c>
      <c r="C149">
        <v>2500000</v>
      </c>
      <c r="D149">
        <v>1</v>
      </c>
    </row>
    <row r="150" spans="1:4" x14ac:dyDescent="0.25">
      <c r="A150">
        <v>135</v>
      </c>
      <c r="B150">
        <v>1000000</v>
      </c>
      <c r="C150">
        <v>1000000</v>
      </c>
      <c r="D150">
        <v>1</v>
      </c>
    </row>
    <row r="151" spans="1:4" x14ac:dyDescent="0.25">
      <c r="A151">
        <v>136</v>
      </c>
      <c r="B151">
        <v>0</v>
      </c>
      <c r="C151">
        <v>0</v>
      </c>
      <c r="D151">
        <v>0</v>
      </c>
    </row>
    <row r="152" spans="1:4" x14ac:dyDescent="0.25">
      <c r="A152">
        <v>137</v>
      </c>
      <c r="B152">
        <v>3500000</v>
      </c>
      <c r="C152">
        <v>2500000</v>
      </c>
      <c r="D152">
        <v>2</v>
      </c>
    </row>
    <row r="153" spans="1:4" x14ac:dyDescent="0.25">
      <c r="A153">
        <v>138</v>
      </c>
      <c r="B153">
        <v>0</v>
      </c>
      <c r="C153">
        <v>0</v>
      </c>
      <c r="D153">
        <v>0</v>
      </c>
    </row>
    <row r="154" spans="1:4" x14ac:dyDescent="0.25">
      <c r="A154">
        <v>139</v>
      </c>
      <c r="B154">
        <v>0</v>
      </c>
      <c r="C154">
        <v>0</v>
      </c>
      <c r="D154">
        <v>0</v>
      </c>
    </row>
    <row r="155" spans="1:4" x14ac:dyDescent="0.25">
      <c r="A155">
        <v>140</v>
      </c>
      <c r="B155">
        <v>1000000</v>
      </c>
      <c r="C155">
        <v>1000000</v>
      </c>
      <c r="D155">
        <v>1</v>
      </c>
    </row>
    <row r="156" spans="1:4" x14ac:dyDescent="0.25">
      <c r="A156">
        <v>141</v>
      </c>
      <c r="B156">
        <v>1000000</v>
      </c>
      <c r="C156">
        <v>1000000</v>
      </c>
      <c r="D156">
        <v>1</v>
      </c>
    </row>
    <row r="157" spans="1:4" x14ac:dyDescent="0.25">
      <c r="A157">
        <v>142</v>
      </c>
      <c r="B157">
        <v>0</v>
      </c>
      <c r="C157">
        <v>0</v>
      </c>
      <c r="D157">
        <v>0</v>
      </c>
    </row>
    <row r="158" spans="1:4" x14ac:dyDescent="0.25">
      <c r="A158">
        <v>143</v>
      </c>
      <c r="B158">
        <v>0</v>
      </c>
      <c r="C158">
        <v>0</v>
      </c>
      <c r="D158">
        <v>0</v>
      </c>
    </row>
    <row r="159" spans="1:4" x14ac:dyDescent="0.25">
      <c r="A159">
        <v>144</v>
      </c>
      <c r="B159">
        <v>0</v>
      </c>
      <c r="C159">
        <v>0</v>
      </c>
      <c r="D159">
        <v>0</v>
      </c>
    </row>
    <row r="160" spans="1:4" x14ac:dyDescent="0.25">
      <c r="A160">
        <v>145</v>
      </c>
      <c r="B160">
        <v>0</v>
      </c>
      <c r="C160">
        <v>0</v>
      </c>
      <c r="D160">
        <v>0</v>
      </c>
    </row>
    <row r="161" spans="1:4" x14ac:dyDescent="0.25">
      <c r="A161">
        <v>146</v>
      </c>
      <c r="B161">
        <v>0</v>
      </c>
      <c r="C161">
        <v>0</v>
      </c>
      <c r="D161">
        <v>0</v>
      </c>
    </row>
    <row r="162" spans="1:4" x14ac:dyDescent="0.25">
      <c r="A162">
        <v>147</v>
      </c>
      <c r="B162">
        <v>0</v>
      </c>
      <c r="C162">
        <v>0</v>
      </c>
      <c r="D162">
        <v>0</v>
      </c>
    </row>
    <row r="163" spans="1:4" x14ac:dyDescent="0.25">
      <c r="A163">
        <v>148</v>
      </c>
      <c r="B163">
        <v>2500000</v>
      </c>
      <c r="C163">
        <v>2500000</v>
      </c>
      <c r="D163">
        <v>1</v>
      </c>
    </row>
    <row r="164" spans="1:4" x14ac:dyDescent="0.25">
      <c r="A164">
        <v>149</v>
      </c>
      <c r="B164">
        <v>0</v>
      </c>
      <c r="C164">
        <v>0</v>
      </c>
      <c r="D164">
        <v>0</v>
      </c>
    </row>
    <row r="165" spans="1:4" x14ac:dyDescent="0.25">
      <c r="A165">
        <v>150</v>
      </c>
      <c r="B165">
        <v>0</v>
      </c>
      <c r="C165">
        <v>0</v>
      </c>
      <c r="D165">
        <v>0</v>
      </c>
    </row>
    <row r="166" spans="1:4" x14ac:dyDescent="0.25">
      <c r="A166">
        <v>151</v>
      </c>
      <c r="B166">
        <v>0</v>
      </c>
      <c r="C166">
        <v>0</v>
      </c>
      <c r="D166">
        <v>0</v>
      </c>
    </row>
    <row r="167" spans="1:4" x14ac:dyDescent="0.25">
      <c r="A167">
        <v>152</v>
      </c>
      <c r="B167">
        <v>2500000</v>
      </c>
      <c r="C167">
        <v>2500000</v>
      </c>
      <c r="D167">
        <v>1</v>
      </c>
    </row>
    <row r="168" spans="1:4" x14ac:dyDescent="0.25">
      <c r="A168">
        <v>153</v>
      </c>
      <c r="B168">
        <v>0</v>
      </c>
      <c r="C168">
        <v>0</v>
      </c>
      <c r="D168">
        <v>0</v>
      </c>
    </row>
    <row r="169" spans="1:4" x14ac:dyDescent="0.25">
      <c r="A169">
        <v>154</v>
      </c>
      <c r="B169">
        <v>2500000</v>
      </c>
      <c r="C169">
        <v>2500000</v>
      </c>
      <c r="D169">
        <v>1</v>
      </c>
    </row>
    <row r="170" spans="1:4" x14ac:dyDescent="0.25">
      <c r="A170">
        <v>155</v>
      </c>
      <c r="B170">
        <v>0</v>
      </c>
      <c r="C170">
        <v>0</v>
      </c>
      <c r="D170">
        <v>0</v>
      </c>
    </row>
    <row r="171" spans="1:4" x14ac:dyDescent="0.25">
      <c r="A171">
        <v>156</v>
      </c>
      <c r="B171">
        <v>2500000</v>
      </c>
      <c r="C171">
        <v>2500000</v>
      </c>
      <c r="D171">
        <v>1</v>
      </c>
    </row>
    <row r="172" spans="1:4" x14ac:dyDescent="0.25">
      <c r="A172">
        <v>157</v>
      </c>
      <c r="B172">
        <v>0</v>
      </c>
      <c r="C172">
        <v>0</v>
      </c>
      <c r="D172">
        <v>0</v>
      </c>
    </row>
    <row r="173" spans="1:4" x14ac:dyDescent="0.25">
      <c r="A173">
        <v>158</v>
      </c>
      <c r="B173">
        <v>0</v>
      </c>
      <c r="C173">
        <v>0</v>
      </c>
      <c r="D173">
        <v>0</v>
      </c>
    </row>
    <row r="174" spans="1:4" x14ac:dyDescent="0.25">
      <c r="A174">
        <v>159</v>
      </c>
      <c r="B174">
        <v>0</v>
      </c>
      <c r="C174">
        <v>0</v>
      </c>
      <c r="D174">
        <v>0</v>
      </c>
    </row>
    <row r="175" spans="1:4" x14ac:dyDescent="0.25">
      <c r="A175">
        <v>160</v>
      </c>
      <c r="B175">
        <v>0</v>
      </c>
      <c r="C175">
        <v>0</v>
      </c>
      <c r="D175">
        <v>0</v>
      </c>
    </row>
    <row r="176" spans="1:4" x14ac:dyDescent="0.25">
      <c r="A176">
        <v>161</v>
      </c>
      <c r="B176">
        <v>0</v>
      </c>
      <c r="C176">
        <v>0</v>
      </c>
      <c r="D176">
        <v>0</v>
      </c>
    </row>
    <row r="177" spans="1:4" x14ac:dyDescent="0.25">
      <c r="A177">
        <v>162</v>
      </c>
      <c r="B177">
        <v>1000000</v>
      </c>
      <c r="C177">
        <v>1000000</v>
      </c>
      <c r="D177">
        <v>1</v>
      </c>
    </row>
    <row r="178" spans="1:4" x14ac:dyDescent="0.25">
      <c r="A178">
        <v>163</v>
      </c>
      <c r="B178">
        <v>1000000</v>
      </c>
      <c r="C178">
        <v>1000000</v>
      </c>
      <c r="D178">
        <v>1</v>
      </c>
    </row>
    <row r="179" spans="1:4" x14ac:dyDescent="0.25">
      <c r="A179">
        <v>164</v>
      </c>
      <c r="B179">
        <v>0</v>
      </c>
      <c r="C179">
        <v>0</v>
      </c>
      <c r="D179">
        <v>0</v>
      </c>
    </row>
    <row r="180" spans="1:4" x14ac:dyDescent="0.25">
      <c r="A180">
        <v>165</v>
      </c>
      <c r="B180">
        <v>0</v>
      </c>
      <c r="C180">
        <v>0</v>
      </c>
      <c r="D180">
        <v>0</v>
      </c>
    </row>
    <row r="181" spans="1:4" x14ac:dyDescent="0.25">
      <c r="A181">
        <v>166</v>
      </c>
      <c r="B181">
        <v>11000000</v>
      </c>
      <c r="C181">
        <v>10000000</v>
      </c>
      <c r="D181">
        <v>2</v>
      </c>
    </row>
    <row r="182" spans="1:4" x14ac:dyDescent="0.25">
      <c r="A182">
        <v>167</v>
      </c>
      <c r="B182">
        <v>0</v>
      </c>
      <c r="C182">
        <v>0</v>
      </c>
      <c r="D182">
        <v>0</v>
      </c>
    </row>
    <row r="183" spans="1:4" x14ac:dyDescent="0.25">
      <c r="A183">
        <v>168</v>
      </c>
      <c r="B183">
        <v>0</v>
      </c>
      <c r="C183">
        <v>0</v>
      </c>
      <c r="D183">
        <v>0</v>
      </c>
    </row>
    <row r="184" spans="1:4" x14ac:dyDescent="0.25">
      <c r="A184">
        <v>169</v>
      </c>
      <c r="B184">
        <v>0</v>
      </c>
      <c r="C184">
        <v>0</v>
      </c>
      <c r="D184">
        <v>0</v>
      </c>
    </row>
    <row r="185" spans="1:4" x14ac:dyDescent="0.25">
      <c r="A185">
        <v>170</v>
      </c>
      <c r="B185">
        <v>0</v>
      </c>
      <c r="C185">
        <v>0</v>
      </c>
      <c r="D185">
        <v>0</v>
      </c>
    </row>
    <row r="186" spans="1:4" x14ac:dyDescent="0.25">
      <c r="A186">
        <v>171</v>
      </c>
      <c r="B186">
        <v>1000000</v>
      </c>
      <c r="C186">
        <v>1000000</v>
      </c>
      <c r="D186">
        <v>1</v>
      </c>
    </row>
    <row r="187" spans="1:4" x14ac:dyDescent="0.25">
      <c r="A187">
        <v>172</v>
      </c>
      <c r="B187">
        <v>0</v>
      </c>
      <c r="C187">
        <v>0</v>
      </c>
      <c r="D187">
        <v>0</v>
      </c>
    </row>
    <row r="188" spans="1:4" x14ac:dyDescent="0.25">
      <c r="A188">
        <v>173</v>
      </c>
      <c r="B188">
        <v>0</v>
      </c>
      <c r="C188">
        <v>0</v>
      </c>
      <c r="D188">
        <v>0</v>
      </c>
    </row>
    <row r="189" spans="1:4" x14ac:dyDescent="0.25">
      <c r="A189">
        <v>174</v>
      </c>
      <c r="B189">
        <v>1000000</v>
      </c>
      <c r="C189">
        <v>1000000</v>
      </c>
      <c r="D189">
        <v>1</v>
      </c>
    </row>
    <row r="190" spans="1:4" x14ac:dyDescent="0.25">
      <c r="A190">
        <v>175</v>
      </c>
      <c r="B190">
        <v>0</v>
      </c>
      <c r="C190">
        <v>0</v>
      </c>
      <c r="D190">
        <v>0</v>
      </c>
    </row>
    <row r="191" spans="1:4" x14ac:dyDescent="0.25">
      <c r="A191">
        <v>176</v>
      </c>
      <c r="B191">
        <v>0</v>
      </c>
      <c r="C191">
        <v>0</v>
      </c>
      <c r="D191">
        <v>0</v>
      </c>
    </row>
    <row r="192" spans="1:4" x14ac:dyDescent="0.25">
      <c r="A192">
        <v>177</v>
      </c>
      <c r="B192">
        <v>2500000</v>
      </c>
      <c r="C192">
        <v>2500000</v>
      </c>
      <c r="D192">
        <v>1</v>
      </c>
    </row>
    <row r="193" spans="1:4" x14ac:dyDescent="0.25">
      <c r="A193">
        <v>178</v>
      </c>
      <c r="B193">
        <v>0</v>
      </c>
      <c r="C193">
        <v>0</v>
      </c>
      <c r="D193">
        <v>0</v>
      </c>
    </row>
    <row r="194" spans="1:4" x14ac:dyDescent="0.25">
      <c r="A194">
        <v>179</v>
      </c>
      <c r="B194">
        <v>1000000</v>
      </c>
      <c r="C194">
        <v>1000000</v>
      </c>
      <c r="D194">
        <v>1</v>
      </c>
    </row>
    <row r="195" spans="1:4" x14ac:dyDescent="0.25">
      <c r="A195">
        <v>180</v>
      </c>
      <c r="B195">
        <v>0</v>
      </c>
      <c r="C195">
        <v>0</v>
      </c>
      <c r="D195">
        <v>0</v>
      </c>
    </row>
    <row r="196" spans="1:4" x14ac:dyDescent="0.25">
      <c r="A196">
        <v>181</v>
      </c>
      <c r="B196">
        <v>1000000</v>
      </c>
      <c r="C196">
        <v>1000000</v>
      </c>
      <c r="D196">
        <v>1</v>
      </c>
    </row>
    <row r="197" spans="1:4" x14ac:dyDescent="0.25">
      <c r="A197">
        <v>182</v>
      </c>
      <c r="B197">
        <v>0</v>
      </c>
      <c r="C197">
        <v>0</v>
      </c>
      <c r="D197">
        <v>0</v>
      </c>
    </row>
    <row r="198" spans="1:4" x14ac:dyDescent="0.25">
      <c r="A198">
        <v>183</v>
      </c>
      <c r="B198">
        <v>0</v>
      </c>
      <c r="C198">
        <v>0</v>
      </c>
      <c r="D198">
        <v>0</v>
      </c>
    </row>
    <row r="199" spans="1:4" x14ac:dyDescent="0.25">
      <c r="A199">
        <v>184</v>
      </c>
      <c r="B199">
        <v>0</v>
      </c>
      <c r="C199">
        <v>0</v>
      </c>
      <c r="D199">
        <v>0</v>
      </c>
    </row>
    <row r="200" spans="1:4" x14ac:dyDescent="0.25">
      <c r="A200">
        <v>185</v>
      </c>
      <c r="B200">
        <v>2500000</v>
      </c>
      <c r="C200">
        <v>2500000</v>
      </c>
      <c r="D200">
        <v>1</v>
      </c>
    </row>
    <row r="201" spans="1:4" x14ac:dyDescent="0.25">
      <c r="A201">
        <v>186</v>
      </c>
      <c r="B201">
        <v>0</v>
      </c>
      <c r="C201">
        <v>0</v>
      </c>
      <c r="D201">
        <v>0</v>
      </c>
    </row>
    <row r="202" spans="1:4" x14ac:dyDescent="0.25">
      <c r="A202">
        <v>187</v>
      </c>
      <c r="B202">
        <v>5000000</v>
      </c>
      <c r="C202">
        <v>2500000</v>
      </c>
      <c r="D202">
        <v>2</v>
      </c>
    </row>
    <row r="203" spans="1:4" x14ac:dyDescent="0.25">
      <c r="A203">
        <v>188</v>
      </c>
      <c r="B203">
        <v>0</v>
      </c>
      <c r="C203">
        <v>0</v>
      </c>
      <c r="D203">
        <v>0</v>
      </c>
    </row>
    <row r="204" spans="1:4" x14ac:dyDescent="0.25">
      <c r="A204">
        <v>189</v>
      </c>
      <c r="B204">
        <v>0</v>
      </c>
      <c r="C204">
        <v>0</v>
      </c>
      <c r="D204">
        <v>0</v>
      </c>
    </row>
    <row r="205" spans="1:4" x14ac:dyDescent="0.25">
      <c r="A205">
        <v>190</v>
      </c>
      <c r="B205">
        <v>0</v>
      </c>
      <c r="C205">
        <v>0</v>
      </c>
      <c r="D205">
        <v>0</v>
      </c>
    </row>
    <row r="206" spans="1:4" x14ac:dyDescent="0.25">
      <c r="A206">
        <v>191</v>
      </c>
      <c r="B206">
        <v>1000000</v>
      </c>
      <c r="C206">
        <v>1000000</v>
      </c>
      <c r="D206">
        <v>1</v>
      </c>
    </row>
    <row r="207" spans="1:4" x14ac:dyDescent="0.25">
      <c r="A207">
        <v>192</v>
      </c>
      <c r="B207">
        <v>0</v>
      </c>
      <c r="C207">
        <v>0</v>
      </c>
      <c r="D207">
        <v>0</v>
      </c>
    </row>
    <row r="208" spans="1:4" x14ac:dyDescent="0.25">
      <c r="A208">
        <v>193</v>
      </c>
      <c r="B208">
        <v>0</v>
      </c>
      <c r="C208">
        <v>0</v>
      </c>
      <c r="D208">
        <v>0</v>
      </c>
    </row>
    <row r="209" spans="1:4" x14ac:dyDescent="0.25">
      <c r="A209">
        <v>194</v>
      </c>
      <c r="B209">
        <v>0</v>
      </c>
      <c r="C209">
        <v>0</v>
      </c>
      <c r="D209">
        <v>0</v>
      </c>
    </row>
    <row r="210" spans="1:4" x14ac:dyDescent="0.25">
      <c r="A210">
        <v>195</v>
      </c>
      <c r="B210">
        <v>2500000</v>
      </c>
      <c r="C210">
        <v>2500000</v>
      </c>
      <c r="D210">
        <v>1</v>
      </c>
    </row>
    <row r="211" spans="1:4" x14ac:dyDescent="0.25">
      <c r="A211">
        <v>196</v>
      </c>
      <c r="B211">
        <v>0</v>
      </c>
      <c r="C211">
        <v>0</v>
      </c>
      <c r="D211">
        <v>0</v>
      </c>
    </row>
    <row r="212" spans="1:4" x14ac:dyDescent="0.25">
      <c r="A212">
        <v>197</v>
      </c>
      <c r="B212">
        <v>0</v>
      </c>
      <c r="C212">
        <v>0</v>
      </c>
      <c r="D212">
        <v>0</v>
      </c>
    </row>
    <row r="213" spans="1:4" x14ac:dyDescent="0.25">
      <c r="A213">
        <v>198</v>
      </c>
      <c r="B213">
        <v>1000000</v>
      </c>
      <c r="C213">
        <v>1000000</v>
      </c>
      <c r="D213">
        <v>1</v>
      </c>
    </row>
    <row r="214" spans="1:4" x14ac:dyDescent="0.25">
      <c r="A214">
        <v>199</v>
      </c>
      <c r="B214">
        <v>0</v>
      </c>
      <c r="C214">
        <v>0</v>
      </c>
      <c r="D214">
        <v>0</v>
      </c>
    </row>
    <row r="215" spans="1:4" x14ac:dyDescent="0.25">
      <c r="A215">
        <v>200</v>
      </c>
      <c r="B215">
        <v>2500000</v>
      </c>
      <c r="C215">
        <v>2500000</v>
      </c>
      <c r="D215">
        <v>1</v>
      </c>
    </row>
    <row r="216" spans="1:4" x14ac:dyDescent="0.25">
      <c r="A216">
        <v>201</v>
      </c>
      <c r="B216">
        <v>0</v>
      </c>
      <c r="C216">
        <v>0</v>
      </c>
      <c r="D216">
        <v>0</v>
      </c>
    </row>
    <row r="217" spans="1:4" x14ac:dyDescent="0.25">
      <c r="A217">
        <v>202</v>
      </c>
      <c r="B217">
        <v>1000000</v>
      </c>
      <c r="C217">
        <v>1000000</v>
      </c>
      <c r="D217">
        <v>1</v>
      </c>
    </row>
    <row r="218" spans="1:4" x14ac:dyDescent="0.25">
      <c r="A218">
        <v>203</v>
      </c>
      <c r="B218">
        <v>1000000</v>
      </c>
      <c r="C218">
        <v>1000000</v>
      </c>
      <c r="D218">
        <v>1</v>
      </c>
    </row>
    <row r="219" spans="1:4" x14ac:dyDescent="0.25">
      <c r="A219">
        <v>204</v>
      </c>
      <c r="B219">
        <v>0</v>
      </c>
      <c r="C219">
        <v>0</v>
      </c>
      <c r="D219">
        <v>0</v>
      </c>
    </row>
    <row r="220" spans="1:4" x14ac:dyDescent="0.25">
      <c r="A220">
        <v>205</v>
      </c>
      <c r="B220">
        <v>0</v>
      </c>
      <c r="C220">
        <v>0</v>
      </c>
      <c r="D220">
        <v>0</v>
      </c>
    </row>
    <row r="221" spans="1:4" x14ac:dyDescent="0.25">
      <c r="A221">
        <v>206</v>
      </c>
      <c r="B221">
        <v>3000000</v>
      </c>
      <c r="C221">
        <v>1000000</v>
      </c>
      <c r="D221">
        <v>3</v>
      </c>
    </row>
    <row r="222" spans="1:4" x14ac:dyDescent="0.25">
      <c r="A222">
        <v>207</v>
      </c>
      <c r="B222">
        <v>0</v>
      </c>
      <c r="C222">
        <v>0</v>
      </c>
      <c r="D222">
        <v>0</v>
      </c>
    </row>
    <row r="223" spans="1:4" x14ac:dyDescent="0.25">
      <c r="A223">
        <v>208</v>
      </c>
      <c r="B223">
        <v>0</v>
      </c>
      <c r="C223">
        <v>0</v>
      </c>
      <c r="D223">
        <v>0</v>
      </c>
    </row>
    <row r="224" spans="1:4" x14ac:dyDescent="0.25">
      <c r="A224">
        <v>209</v>
      </c>
      <c r="B224">
        <v>2500000</v>
      </c>
      <c r="C224">
        <v>2500000</v>
      </c>
      <c r="D224">
        <v>1</v>
      </c>
    </row>
    <row r="225" spans="1:4" x14ac:dyDescent="0.25">
      <c r="A225">
        <v>210</v>
      </c>
      <c r="B225">
        <v>1000000</v>
      </c>
      <c r="C225">
        <v>1000000</v>
      </c>
      <c r="D225">
        <v>1</v>
      </c>
    </row>
    <row r="226" spans="1:4" x14ac:dyDescent="0.25">
      <c r="A226">
        <v>211</v>
      </c>
      <c r="B226">
        <v>0</v>
      </c>
      <c r="C226">
        <v>0</v>
      </c>
      <c r="D226">
        <v>0</v>
      </c>
    </row>
    <row r="227" spans="1:4" x14ac:dyDescent="0.25">
      <c r="A227">
        <v>212</v>
      </c>
      <c r="B227">
        <v>0</v>
      </c>
      <c r="C227">
        <v>0</v>
      </c>
      <c r="D227">
        <v>0</v>
      </c>
    </row>
    <row r="228" spans="1:4" x14ac:dyDescent="0.25">
      <c r="A228">
        <v>213</v>
      </c>
      <c r="B228">
        <v>0</v>
      </c>
      <c r="C228">
        <v>0</v>
      </c>
      <c r="D228">
        <v>0</v>
      </c>
    </row>
    <row r="229" spans="1:4" x14ac:dyDescent="0.25">
      <c r="A229">
        <v>214</v>
      </c>
      <c r="B229">
        <v>0</v>
      </c>
      <c r="C229">
        <v>0</v>
      </c>
      <c r="D229">
        <v>0</v>
      </c>
    </row>
    <row r="230" spans="1:4" x14ac:dyDescent="0.25">
      <c r="A230">
        <v>215</v>
      </c>
      <c r="B230">
        <v>0</v>
      </c>
      <c r="C230">
        <v>0</v>
      </c>
      <c r="D230">
        <v>0</v>
      </c>
    </row>
    <row r="231" spans="1:4" x14ac:dyDescent="0.25">
      <c r="A231">
        <v>216</v>
      </c>
      <c r="B231">
        <v>1000000</v>
      </c>
      <c r="C231">
        <v>1000000</v>
      </c>
      <c r="D231">
        <v>1</v>
      </c>
    </row>
    <row r="232" spans="1:4" x14ac:dyDescent="0.25">
      <c r="A232">
        <v>217</v>
      </c>
      <c r="B232">
        <v>1000000</v>
      </c>
      <c r="C232">
        <v>1000000</v>
      </c>
      <c r="D232">
        <v>1</v>
      </c>
    </row>
    <row r="233" spans="1:4" x14ac:dyDescent="0.25">
      <c r="A233">
        <v>218</v>
      </c>
      <c r="B233">
        <v>0</v>
      </c>
      <c r="C233">
        <v>0</v>
      </c>
      <c r="D233">
        <v>0</v>
      </c>
    </row>
    <row r="234" spans="1:4" x14ac:dyDescent="0.25">
      <c r="A234">
        <v>219</v>
      </c>
      <c r="B234">
        <v>0</v>
      </c>
      <c r="C234">
        <v>0</v>
      </c>
      <c r="D234">
        <v>0</v>
      </c>
    </row>
    <row r="235" spans="1:4" x14ac:dyDescent="0.25">
      <c r="A235">
        <v>220</v>
      </c>
      <c r="B235">
        <v>10000000</v>
      </c>
      <c r="C235">
        <v>10000000</v>
      </c>
      <c r="D235">
        <v>1</v>
      </c>
    </row>
    <row r="236" spans="1:4" x14ac:dyDescent="0.25">
      <c r="A236">
        <v>221</v>
      </c>
      <c r="B236">
        <v>0</v>
      </c>
      <c r="C236">
        <v>0</v>
      </c>
      <c r="D236">
        <v>0</v>
      </c>
    </row>
    <row r="237" spans="1:4" x14ac:dyDescent="0.25">
      <c r="A237">
        <v>222</v>
      </c>
      <c r="B237">
        <v>10000000</v>
      </c>
      <c r="C237">
        <v>10000000</v>
      </c>
      <c r="D237">
        <v>1</v>
      </c>
    </row>
    <row r="238" spans="1:4" x14ac:dyDescent="0.25">
      <c r="A238">
        <v>223</v>
      </c>
      <c r="B238">
        <v>0</v>
      </c>
      <c r="C238">
        <v>0</v>
      </c>
      <c r="D238">
        <v>0</v>
      </c>
    </row>
    <row r="239" spans="1:4" x14ac:dyDescent="0.25">
      <c r="A239">
        <v>224</v>
      </c>
      <c r="B239">
        <v>0</v>
      </c>
      <c r="C239">
        <v>0</v>
      </c>
      <c r="D239">
        <v>0</v>
      </c>
    </row>
    <row r="240" spans="1:4" x14ac:dyDescent="0.25">
      <c r="A240">
        <v>225</v>
      </c>
      <c r="B240">
        <v>2500000</v>
      </c>
      <c r="C240">
        <v>2500000</v>
      </c>
      <c r="D240">
        <v>1</v>
      </c>
    </row>
    <row r="241" spans="1:4" x14ac:dyDescent="0.25">
      <c r="A241">
        <v>226</v>
      </c>
      <c r="B241">
        <v>0</v>
      </c>
      <c r="C241">
        <v>0</v>
      </c>
      <c r="D241">
        <v>0</v>
      </c>
    </row>
    <row r="242" spans="1:4" x14ac:dyDescent="0.25">
      <c r="A242">
        <v>227</v>
      </c>
      <c r="B242">
        <v>1000000</v>
      </c>
      <c r="C242">
        <v>1000000</v>
      </c>
      <c r="D242">
        <v>1</v>
      </c>
    </row>
    <row r="243" spans="1:4" x14ac:dyDescent="0.25">
      <c r="A243">
        <v>228</v>
      </c>
      <c r="B243">
        <v>0</v>
      </c>
      <c r="C243">
        <v>0</v>
      </c>
      <c r="D243">
        <v>0</v>
      </c>
    </row>
    <row r="244" spans="1:4" x14ac:dyDescent="0.25">
      <c r="A244">
        <v>229</v>
      </c>
      <c r="B244">
        <v>0</v>
      </c>
      <c r="C244">
        <v>0</v>
      </c>
      <c r="D244">
        <v>0</v>
      </c>
    </row>
    <row r="245" spans="1:4" x14ac:dyDescent="0.25">
      <c r="A245">
        <v>230</v>
      </c>
      <c r="B245">
        <v>0</v>
      </c>
      <c r="C245">
        <v>0</v>
      </c>
      <c r="D245">
        <v>0</v>
      </c>
    </row>
    <row r="246" spans="1:4" x14ac:dyDescent="0.25">
      <c r="A246">
        <v>231</v>
      </c>
      <c r="B246">
        <v>0</v>
      </c>
      <c r="C246">
        <v>0</v>
      </c>
      <c r="D246">
        <v>0</v>
      </c>
    </row>
    <row r="247" spans="1:4" x14ac:dyDescent="0.25">
      <c r="A247">
        <v>232</v>
      </c>
      <c r="B247">
        <v>1000000</v>
      </c>
      <c r="C247">
        <v>1000000</v>
      </c>
      <c r="D247">
        <v>1</v>
      </c>
    </row>
    <row r="248" spans="1:4" x14ac:dyDescent="0.25">
      <c r="A248">
        <v>233</v>
      </c>
      <c r="B248">
        <v>0</v>
      </c>
      <c r="C248">
        <v>0</v>
      </c>
      <c r="D248">
        <v>0</v>
      </c>
    </row>
    <row r="249" spans="1:4" x14ac:dyDescent="0.25">
      <c r="A249">
        <v>234</v>
      </c>
      <c r="B249">
        <v>0</v>
      </c>
      <c r="C249">
        <v>0</v>
      </c>
      <c r="D249">
        <v>0</v>
      </c>
    </row>
    <row r="250" spans="1:4" x14ac:dyDescent="0.25">
      <c r="A250">
        <v>235</v>
      </c>
      <c r="B250">
        <v>0</v>
      </c>
      <c r="C250">
        <v>0</v>
      </c>
      <c r="D250">
        <v>0</v>
      </c>
    </row>
    <row r="251" spans="1:4" x14ac:dyDescent="0.25">
      <c r="A251">
        <v>236</v>
      </c>
      <c r="B251">
        <v>2500000</v>
      </c>
      <c r="C251">
        <v>2500000</v>
      </c>
      <c r="D251">
        <v>1</v>
      </c>
    </row>
    <row r="252" spans="1:4" x14ac:dyDescent="0.25">
      <c r="A252">
        <v>237</v>
      </c>
      <c r="B252">
        <v>10000000</v>
      </c>
      <c r="C252">
        <v>10000000</v>
      </c>
      <c r="D252">
        <v>1</v>
      </c>
    </row>
    <row r="253" spans="1:4" x14ac:dyDescent="0.25">
      <c r="A253">
        <v>238</v>
      </c>
      <c r="B253">
        <v>0</v>
      </c>
      <c r="C253">
        <v>0</v>
      </c>
      <c r="D253">
        <v>0</v>
      </c>
    </row>
    <row r="254" spans="1:4" x14ac:dyDescent="0.25">
      <c r="A254">
        <v>239</v>
      </c>
      <c r="B254">
        <v>0</v>
      </c>
      <c r="C254">
        <v>0</v>
      </c>
      <c r="D254">
        <v>0</v>
      </c>
    </row>
    <row r="255" spans="1:4" x14ac:dyDescent="0.25">
      <c r="A255">
        <v>240</v>
      </c>
      <c r="B255">
        <v>0</v>
      </c>
      <c r="C255">
        <v>0</v>
      </c>
      <c r="D255">
        <v>0</v>
      </c>
    </row>
    <row r="256" spans="1:4" x14ac:dyDescent="0.25">
      <c r="A256">
        <v>241</v>
      </c>
      <c r="B256">
        <v>0</v>
      </c>
      <c r="C256">
        <v>0</v>
      </c>
      <c r="D256">
        <v>0</v>
      </c>
    </row>
    <row r="257" spans="1:4" x14ac:dyDescent="0.25">
      <c r="A257">
        <v>242</v>
      </c>
      <c r="B257">
        <v>0</v>
      </c>
      <c r="C257">
        <v>0</v>
      </c>
      <c r="D257">
        <v>0</v>
      </c>
    </row>
    <row r="258" spans="1:4" x14ac:dyDescent="0.25">
      <c r="A258">
        <v>243</v>
      </c>
      <c r="B258">
        <v>1000000</v>
      </c>
      <c r="C258">
        <v>1000000</v>
      </c>
      <c r="D258">
        <v>1</v>
      </c>
    </row>
    <row r="259" spans="1:4" x14ac:dyDescent="0.25">
      <c r="A259">
        <v>244</v>
      </c>
      <c r="B259">
        <v>0</v>
      </c>
      <c r="C259">
        <v>0</v>
      </c>
      <c r="D259">
        <v>0</v>
      </c>
    </row>
    <row r="260" spans="1:4" x14ac:dyDescent="0.25">
      <c r="A260">
        <v>245</v>
      </c>
      <c r="B260">
        <v>0</v>
      </c>
      <c r="C260">
        <v>0</v>
      </c>
      <c r="D260">
        <v>0</v>
      </c>
    </row>
    <row r="261" spans="1:4" x14ac:dyDescent="0.25">
      <c r="A261">
        <v>246</v>
      </c>
      <c r="B261">
        <v>1000000</v>
      </c>
      <c r="C261">
        <v>1000000</v>
      </c>
      <c r="D261">
        <v>1</v>
      </c>
    </row>
    <row r="262" spans="1:4" x14ac:dyDescent="0.25">
      <c r="A262">
        <v>247</v>
      </c>
      <c r="B262">
        <v>0</v>
      </c>
      <c r="C262">
        <v>0</v>
      </c>
      <c r="D262">
        <v>0</v>
      </c>
    </row>
    <row r="263" spans="1:4" x14ac:dyDescent="0.25">
      <c r="A263">
        <v>248</v>
      </c>
      <c r="B263">
        <v>0</v>
      </c>
      <c r="C263">
        <v>0</v>
      </c>
      <c r="D263">
        <v>0</v>
      </c>
    </row>
    <row r="264" spans="1:4" x14ac:dyDescent="0.25">
      <c r="A264">
        <v>249</v>
      </c>
      <c r="B264">
        <v>0</v>
      </c>
      <c r="C264">
        <v>0</v>
      </c>
      <c r="D264">
        <v>0</v>
      </c>
    </row>
    <row r="265" spans="1:4" x14ac:dyDescent="0.25">
      <c r="A265">
        <v>250</v>
      </c>
      <c r="B265">
        <v>1000000</v>
      </c>
      <c r="C265">
        <v>1000000</v>
      </c>
      <c r="D265">
        <v>1</v>
      </c>
    </row>
    <row r="266" spans="1:4" x14ac:dyDescent="0.25">
      <c r="A266">
        <v>251</v>
      </c>
      <c r="B266">
        <v>12500000</v>
      </c>
      <c r="C266">
        <v>10000000</v>
      </c>
      <c r="D266">
        <v>2</v>
      </c>
    </row>
    <row r="267" spans="1:4" x14ac:dyDescent="0.25">
      <c r="A267">
        <v>252</v>
      </c>
      <c r="B267">
        <v>0</v>
      </c>
      <c r="C267">
        <v>0</v>
      </c>
      <c r="D267">
        <v>0</v>
      </c>
    </row>
    <row r="268" spans="1:4" x14ac:dyDescent="0.25">
      <c r="A268">
        <v>253</v>
      </c>
      <c r="B268">
        <v>0</v>
      </c>
      <c r="C268">
        <v>0</v>
      </c>
      <c r="D268">
        <v>0</v>
      </c>
    </row>
    <row r="269" spans="1:4" x14ac:dyDescent="0.25">
      <c r="A269">
        <v>254</v>
      </c>
      <c r="B269">
        <v>2500000</v>
      </c>
      <c r="C269">
        <v>2500000</v>
      </c>
      <c r="D269">
        <v>1</v>
      </c>
    </row>
    <row r="270" spans="1:4" x14ac:dyDescent="0.25">
      <c r="A270">
        <v>255</v>
      </c>
      <c r="B270">
        <v>0</v>
      </c>
      <c r="C270">
        <v>0</v>
      </c>
      <c r="D270">
        <v>0</v>
      </c>
    </row>
    <row r="271" spans="1:4" x14ac:dyDescent="0.25">
      <c r="A271">
        <v>256</v>
      </c>
      <c r="B271">
        <v>1000000</v>
      </c>
      <c r="C271">
        <v>1000000</v>
      </c>
      <c r="D271">
        <v>1</v>
      </c>
    </row>
    <row r="272" spans="1:4" x14ac:dyDescent="0.25">
      <c r="A272">
        <v>257</v>
      </c>
      <c r="B272">
        <v>0</v>
      </c>
      <c r="C272">
        <v>0</v>
      </c>
      <c r="D272">
        <v>0</v>
      </c>
    </row>
    <row r="273" spans="1:4" x14ac:dyDescent="0.25">
      <c r="A273">
        <v>258</v>
      </c>
      <c r="B273">
        <v>0</v>
      </c>
      <c r="C273">
        <v>0</v>
      </c>
      <c r="D273">
        <v>0</v>
      </c>
    </row>
    <row r="274" spans="1:4" x14ac:dyDescent="0.25">
      <c r="A274">
        <v>259</v>
      </c>
      <c r="B274">
        <v>0</v>
      </c>
      <c r="C274">
        <v>0</v>
      </c>
      <c r="D274">
        <v>0</v>
      </c>
    </row>
    <row r="275" spans="1:4" x14ac:dyDescent="0.25">
      <c r="A275">
        <v>260</v>
      </c>
      <c r="B275">
        <v>0</v>
      </c>
      <c r="C275">
        <v>0</v>
      </c>
      <c r="D275">
        <v>0</v>
      </c>
    </row>
    <row r="276" spans="1:4" x14ac:dyDescent="0.25">
      <c r="A276">
        <v>261</v>
      </c>
      <c r="B276">
        <v>0</v>
      </c>
      <c r="C276">
        <v>0</v>
      </c>
      <c r="D276">
        <v>0</v>
      </c>
    </row>
    <row r="277" spans="1:4" x14ac:dyDescent="0.25">
      <c r="A277">
        <v>262</v>
      </c>
      <c r="B277">
        <v>1000000</v>
      </c>
      <c r="C277">
        <v>1000000</v>
      </c>
      <c r="D277">
        <v>1</v>
      </c>
    </row>
    <row r="278" spans="1:4" x14ac:dyDescent="0.25">
      <c r="A278">
        <v>263</v>
      </c>
      <c r="B278">
        <v>0</v>
      </c>
      <c r="C278">
        <v>0</v>
      </c>
      <c r="D278">
        <v>0</v>
      </c>
    </row>
    <row r="279" spans="1:4" x14ac:dyDescent="0.25">
      <c r="A279">
        <v>264</v>
      </c>
      <c r="B279">
        <v>1000000</v>
      </c>
      <c r="C279">
        <v>1000000</v>
      </c>
      <c r="D279">
        <v>1</v>
      </c>
    </row>
    <row r="280" spans="1:4" x14ac:dyDescent="0.25">
      <c r="A280">
        <v>265</v>
      </c>
      <c r="B280">
        <v>0</v>
      </c>
      <c r="C280">
        <v>0</v>
      </c>
      <c r="D280">
        <v>0</v>
      </c>
    </row>
    <row r="281" spans="1:4" x14ac:dyDescent="0.25">
      <c r="A281">
        <v>266</v>
      </c>
      <c r="B281">
        <v>0</v>
      </c>
      <c r="C281">
        <v>0</v>
      </c>
      <c r="D281">
        <v>0</v>
      </c>
    </row>
    <row r="282" spans="1:4" x14ac:dyDescent="0.25">
      <c r="A282">
        <v>267</v>
      </c>
      <c r="B282">
        <v>0</v>
      </c>
      <c r="C282">
        <v>0</v>
      </c>
      <c r="D282">
        <v>0</v>
      </c>
    </row>
    <row r="283" spans="1:4" x14ac:dyDescent="0.25">
      <c r="A283">
        <v>268</v>
      </c>
      <c r="B283">
        <v>0</v>
      </c>
      <c r="C283">
        <v>0</v>
      </c>
      <c r="D283">
        <v>0</v>
      </c>
    </row>
    <row r="284" spans="1:4" x14ac:dyDescent="0.25">
      <c r="A284">
        <v>269</v>
      </c>
      <c r="B284">
        <v>0</v>
      </c>
      <c r="C284">
        <v>0</v>
      </c>
      <c r="D284">
        <v>0</v>
      </c>
    </row>
    <row r="285" spans="1:4" x14ac:dyDescent="0.25">
      <c r="A285">
        <v>270</v>
      </c>
      <c r="B285">
        <v>0</v>
      </c>
      <c r="C285">
        <v>0</v>
      </c>
      <c r="D285">
        <v>0</v>
      </c>
    </row>
    <row r="286" spans="1:4" x14ac:dyDescent="0.25">
      <c r="A286">
        <v>271</v>
      </c>
      <c r="B286">
        <v>0</v>
      </c>
      <c r="C286">
        <v>0</v>
      </c>
      <c r="D286">
        <v>0</v>
      </c>
    </row>
    <row r="287" spans="1:4" x14ac:dyDescent="0.25">
      <c r="A287">
        <v>272</v>
      </c>
      <c r="B287">
        <v>0</v>
      </c>
      <c r="C287">
        <v>0</v>
      </c>
      <c r="D287">
        <v>0</v>
      </c>
    </row>
    <row r="288" spans="1:4" x14ac:dyDescent="0.25">
      <c r="A288">
        <v>273</v>
      </c>
      <c r="B288">
        <v>0</v>
      </c>
      <c r="C288">
        <v>0</v>
      </c>
      <c r="D288">
        <v>0</v>
      </c>
    </row>
    <row r="289" spans="1:4" x14ac:dyDescent="0.25">
      <c r="A289">
        <v>274</v>
      </c>
      <c r="B289">
        <v>0</v>
      </c>
      <c r="C289">
        <v>0</v>
      </c>
      <c r="D289">
        <v>0</v>
      </c>
    </row>
    <row r="290" spans="1:4" x14ac:dyDescent="0.25">
      <c r="A290">
        <v>275</v>
      </c>
      <c r="B290">
        <v>2000000</v>
      </c>
      <c r="C290">
        <v>1000000</v>
      </c>
      <c r="D290">
        <v>2</v>
      </c>
    </row>
    <row r="291" spans="1:4" x14ac:dyDescent="0.25">
      <c r="A291">
        <v>276</v>
      </c>
      <c r="B291">
        <v>0</v>
      </c>
      <c r="C291">
        <v>0</v>
      </c>
      <c r="D291">
        <v>0</v>
      </c>
    </row>
    <row r="292" spans="1:4" x14ac:dyDescent="0.25">
      <c r="A292">
        <v>277</v>
      </c>
      <c r="B292">
        <v>0</v>
      </c>
      <c r="C292">
        <v>0</v>
      </c>
      <c r="D292">
        <v>0</v>
      </c>
    </row>
    <row r="293" spans="1:4" x14ac:dyDescent="0.25">
      <c r="A293">
        <v>278</v>
      </c>
      <c r="B293">
        <v>1000000</v>
      </c>
      <c r="C293">
        <v>1000000</v>
      </c>
      <c r="D293">
        <v>1</v>
      </c>
    </row>
    <row r="294" spans="1:4" x14ac:dyDescent="0.25">
      <c r="A294">
        <v>279</v>
      </c>
      <c r="B294">
        <v>0</v>
      </c>
      <c r="C294">
        <v>0</v>
      </c>
      <c r="D294">
        <v>0</v>
      </c>
    </row>
    <row r="295" spans="1:4" x14ac:dyDescent="0.25">
      <c r="A295">
        <v>280</v>
      </c>
      <c r="B295">
        <v>0</v>
      </c>
      <c r="C295">
        <v>0</v>
      </c>
      <c r="D295">
        <v>0</v>
      </c>
    </row>
    <row r="296" spans="1:4" x14ac:dyDescent="0.25">
      <c r="A296">
        <v>281</v>
      </c>
      <c r="B296">
        <v>0</v>
      </c>
      <c r="C296">
        <v>0</v>
      </c>
      <c r="D296">
        <v>0</v>
      </c>
    </row>
    <row r="297" spans="1:4" x14ac:dyDescent="0.25">
      <c r="A297">
        <v>282</v>
      </c>
      <c r="B297">
        <v>1000000</v>
      </c>
      <c r="C297">
        <v>1000000</v>
      </c>
      <c r="D297">
        <v>1</v>
      </c>
    </row>
    <row r="298" spans="1:4" x14ac:dyDescent="0.25">
      <c r="A298">
        <v>283</v>
      </c>
      <c r="B298">
        <v>0</v>
      </c>
      <c r="C298">
        <v>0</v>
      </c>
      <c r="D298">
        <v>0</v>
      </c>
    </row>
    <row r="299" spans="1:4" x14ac:dyDescent="0.25">
      <c r="A299">
        <v>284</v>
      </c>
      <c r="B299">
        <v>0</v>
      </c>
      <c r="C299">
        <v>0</v>
      </c>
      <c r="D299">
        <v>0</v>
      </c>
    </row>
    <row r="300" spans="1:4" x14ac:dyDescent="0.25">
      <c r="A300">
        <v>285</v>
      </c>
      <c r="B300">
        <v>0</v>
      </c>
      <c r="C300">
        <v>0</v>
      </c>
      <c r="D300">
        <v>0</v>
      </c>
    </row>
    <row r="301" spans="1:4" x14ac:dyDescent="0.25">
      <c r="A301">
        <v>286</v>
      </c>
      <c r="B301">
        <v>1000000</v>
      </c>
      <c r="C301">
        <v>1000000</v>
      </c>
      <c r="D301">
        <v>1</v>
      </c>
    </row>
    <row r="302" spans="1:4" x14ac:dyDescent="0.25">
      <c r="A302">
        <v>287</v>
      </c>
      <c r="B302">
        <v>0</v>
      </c>
      <c r="C302">
        <v>0</v>
      </c>
      <c r="D302">
        <v>0</v>
      </c>
    </row>
    <row r="303" spans="1:4" x14ac:dyDescent="0.25">
      <c r="A303">
        <v>288</v>
      </c>
      <c r="B303">
        <v>0</v>
      </c>
      <c r="C303">
        <v>0</v>
      </c>
      <c r="D303">
        <v>0</v>
      </c>
    </row>
    <row r="304" spans="1:4" x14ac:dyDescent="0.25">
      <c r="A304">
        <v>289</v>
      </c>
      <c r="B304">
        <v>0</v>
      </c>
      <c r="C304">
        <v>0</v>
      </c>
      <c r="D304">
        <v>0</v>
      </c>
    </row>
    <row r="305" spans="1:4" x14ac:dyDescent="0.25">
      <c r="A305">
        <v>290</v>
      </c>
      <c r="B305">
        <v>0</v>
      </c>
      <c r="C305">
        <v>0</v>
      </c>
      <c r="D305">
        <v>0</v>
      </c>
    </row>
    <row r="306" spans="1:4" x14ac:dyDescent="0.25">
      <c r="A306">
        <v>291</v>
      </c>
      <c r="B306">
        <v>1000000</v>
      </c>
      <c r="C306">
        <v>1000000</v>
      </c>
      <c r="D306">
        <v>1</v>
      </c>
    </row>
    <row r="307" spans="1:4" x14ac:dyDescent="0.25">
      <c r="A307">
        <v>292</v>
      </c>
      <c r="B307">
        <v>0</v>
      </c>
      <c r="C307">
        <v>0</v>
      </c>
      <c r="D307">
        <v>0</v>
      </c>
    </row>
    <row r="308" spans="1:4" x14ac:dyDescent="0.25">
      <c r="A308">
        <v>293</v>
      </c>
      <c r="B308">
        <v>0</v>
      </c>
      <c r="C308">
        <v>0</v>
      </c>
      <c r="D308">
        <v>0</v>
      </c>
    </row>
    <row r="309" spans="1:4" x14ac:dyDescent="0.25">
      <c r="A309">
        <v>294</v>
      </c>
      <c r="B309">
        <v>2500000</v>
      </c>
      <c r="C309">
        <v>2500000</v>
      </c>
      <c r="D309">
        <v>1</v>
      </c>
    </row>
    <row r="310" spans="1:4" x14ac:dyDescent="0.25">
      <c r="A310">
        <v>295</v>
      </c>
      <c r="B310">
        <v>0</v>
      </c>
      <c r="C310">
        <v>0</v>
      </c>
      <c r="D310">
        <v>0</v>
      </c>
    </row>
    <row r="311" spans="1:4" x14ac:dyDescent="0.25">
      <c r="A311">
        <v>296</v>
      </c>
      <c r="B311">
        <v>1000000</v>
      </c>
      <c r="C311">
        <v>1000000</v>
      </c>
      <c r="D311">
        <v>1</v>
      </c>
    </row>
    <row r="312" spans="1:4" x14ac:dyDescent="0.25">
      <c r="A312">
        <v>297</v>
      </c>
      <c r="B312">
        <v>2500000</v>
      </c>
      <c r="C312">
        <v>2500000</v>
      </c>
      <c r="D312">
        <v>1</v>
      </c>
    </row>
    <row r="313" spans="1:4" x14ac:dyDescent="0.25">
      <c r="A313">
        <v>298</v>
      </c>
      <c r="B313">
        <v>20000000</v>
      </c>
      <c r="C313">
        <v>10000000</v>
      </c>
      <c r="D313">
        <v>2</v>
      </c>
    </row>
    <row r="314" spans="1:4" x14ac:dyDescent="0.25">
      <c r="A314">
        <v>299</v>
      </c>
      <c r="B314">
        <v>0</v>
      </c>
      <c r="C314">
        <v>0</v>
      </c>
      <c r="D314">
        <v>0</v>
      </c>
    </row>
    <row r="315" spans="1:4" x14ac:dyDescent="0.25">
      <c r="A315">
        <v>300</v>
      </c>
      <c r="B315">
        <v>2500000</v>
      </c>
      <c r="C315">
        <v>2500000</v>
      </c>
      <c r="D315">
        <v>1</v>
      </c>
    </row>
    <row r="316" spans="1:4" x14ac:dyDescent="0.25">
      <c r="A316">
        <v>301</v>
      </c>
      <c r="B316">
        <v>1000000</v>
      </c>
      <c r="C316">
        <v>1000000</v>
      </c>
      <c r="D316">
        <v>1</v>
      </c>
    </row>
    <row r="317" spans="1:4" x14ac:dyDescent="0.25">
      <c r="A317">
        <v>302</v>
      </c>
      <c r="B317">
        <v>0</v>
      </c>
      <c r="C317">
        <v>0</v>
      </c>
      <c r="D317">
        <v>0</v>
      </c>
    </row>
    <row r="318" spans="1:4" x14ac:dyDescent="0.25">
      <c r="A318">
        <v>303</v>
      </c>
      <c r="B318">
        <v>2500000</v>
      </c>
      <c r="C318">
        <v>2500000</v>
      </c>
      <c r="D318">
        <v>1</v>
      </c>
    </row>
    <row r="319" spans="1:4" x14ac:dyDescent="0.25">
      <c r="A319">
        <v>304</v>
      </c>
      <c r="B319">
        <v>0</v>
      </c>
      <c r="C319">
        <v>0</v>
      </c>
      <c r="D319">
        <v>0</v>
      </c>
    </row>
    <row r="320" spans="1:4" x14ac:dyDescent="0.25">
      <c r="A320">
        <v>305</v>
      </c>
      <c r="B320">
        <v>0</v>
      </c>
      <c r="C320">
        <v>0</v>
      </c>
      <c r="D320">
        <v>0</v>
      </c>
    </row>
    <row r="321" spans="1:4" x14ac:dyDescent="0.25">
      <c r="A321">
        <v>306</v>
      </c>
      <c r="B321">
        <v>0</v>
      </c>
      <c r="C321">
        <v>0</v>
      </c>
      <c r="D321">
        <v>0</v>
      </c>
    </row>
    <row r="322" spans="1:4" x14ac:dyDescent="0.25">
      <c r="A322">
        <v>307</v>
      </c>
      <c r="B322">
        <v>0</v>
      </c>
      <c r="C322">
        <v>0</v>
      </c>
      <c r="D322">
        <v>0</v>
      </c>
    </row>
    <row r="323" spans="1:4" x14ac:dyDescent="0.25">
      <c r="A323">
        <v>308</v>
      </c>
      <c r="B323">
        <v>1000000</v>
      </c>
      <c r="C323">
        <v>1000000</v>
      </c>
      <c r="D323">
        <v>1</v>
      </c>
    </row>
    <row r="324" spans="1:4" x14ac:dyDescent="0.25">
      <c r="A324">
        <v>309</v>
      </c>
      <c r="B324">
        <v>0</v>
      </c>
      <c r="C324">
        <v>0</v>
      </c>
      <c r="D324">
        <v>0</v>
      </c>
    </row>
    <row r="325" spans="1:4" x14ac:dyDescent="0.25">
      <c r="A325">
        <v>310</v>
      </c>
      <c r="B325">
        <v>3500000</v>
      </c>
      <c r="C325">
        <v>2500000</v>
      </c>
      <c r="D325">
        <v>2</v>
      </c>
    </row>
    <row r="326" spans="1:4" x14ac:dyDescent="0.25">
      <c r="A326">
        <v>311</v>
      </c>
      <c r="B326">
        <v>0</v>
      </c>
      <c r="C326">
        <v>0</v>
      </c>
      <c r="D326">
        <v>0</v>
      </c>
    </row>
    <row r="327" spans="1:4" x14ac:dyDescent="0.25">
      <c r="A327">
        <v>312</v>
      </c>
      <c r="B327">
        <v>0</v>
      </c>
      <c r="C327">
        <v>0</v>
      </c>
      <c r="D327">
        <v>0</v>
      </c>
    </row>
    <row r="328" spans="1:4" x14ac:dyDescent="0.25">
      <c r="A328">
        <v>313</v>
      </c>
      <c r="B328">
        <v>0</v>
      </c>
      <c r="C328">
        <v>0</v>
      </c>
      <c r="D328">
        <v>0</v>
      </c>
    </row>
    <row r="329" spans="1:4" x14ac:dyDescent="0.25">
      <c r="A329">
        <v>314</v>
      </c>
      <c r="B329">
        <v>0</v>
      </c>
      <c r="C329">
        <v>0</v>
      </c>
      <c r="D329">
        <v>0</v>
      </c>
    </row>
    <row r="330" spans="1:4" x14ac:dyDescent="0.25">
      <c r="A330">
        <v>315</v>
      </c>
      <c r="B330">
        <v>1000000</v>
      </c>
      <c r="C330">
        <v>1000000</v>
      </c>
      <c r="D330">
        <v>1</v>
      </c>
    </row>
    <row r="331" spans="1:4" x14ac:dyDescent="0.25">
      <c r="A331">
        <v>316</v>
      </c>
      <c r="B331">
        <v>0</v>
      </c>
      <c r="C331">
        <v>0</v>
      </c>
      <c r="D331">
        <v>0</v>
      </c>
    </row>
    <row r="332" spans="1:4" x14ac:dyDescent="0.25">
      <c r="A332">
        <v>317</v>
      </c>
      <c r="B332">
        <v>1000000</v>
      </c>
      <c r="C332">
        <v>1000000</v>
      </c>
      <c r="D332">
        <v>1</v>
      </c>
    </row>
    <row r="333" spans="1:4" x14ac:dyDescent="0.25">
      <c r="A333">
        <v>318</v>
      </c>
      <c r="B333">
        <v>0</v>
      </c>
      <c r="C333">
        <v>0</v>
      </c>
      <c r="D333">
        <v>0</v>
      </c>
    </row>
    <row r="334" spans="1:4" x14ac:dyDescent="0.25">
      <c r="A334">
        <v>319</v>
      </c>
      <c r="B334">
        <v>1000000</v>
      </c>
      <c r="C334">
        <v>1000000</v>
      </c>
      <c r="D334">
        <v>1</v>
      </c>
    </row>
    <row r="335" spans="1:4" x14ac:dyDescent="0.25">
      <c r="A335">
        <v>320</v>
      </c>
      <c r="B335">
        <v>0</v>
      </c>
      <c r="C335">
        <v>0</v>
      </c>
      <c r="D335">
        <v>0</v>
      </c>
    </row>
    <row r="336" spans="1:4" x14ac:dyDescent="0.25">
      <c r="A336">
        <v>321</v>
      </c>
      <c r="B336">
        <v>0</v>
      </c>
      <c r="C336">
        <v>0</v>
      </c>
      <c r="D336">
        <v>0</v>
      </c>
    </row>
    <row r="337" spans="1:4" x14ac:dyDescent="0.25">
      <c r="A337">
        <v>322</v>
      </c>
      <c r="B337">
        <v>1000000</v>
      </c>
      <c r="C337">
        <v>1000000</v>
      </c>
      <c r="D337">
        <v>1</v>
      </c>
    </row>
    <row r="338" spans="1:4" x14ac:dyDescent="0.25">
      <c r="A338">
        <v>323</v>
      </c>
      <c r="B338">
        <v>0</v>
      </c>
      <c r="C338">
        <v>0</v>
      </c>
      <c r="D338">
        <v>0</v>
      </c>
    </row>
    <row r="339" spans="1:4" x14ac:dyDescent="0.25">
      <c r="A339">
        <v>324</v>
      </c>
      <c r="B339">
        <v>0</v>
      </c>
      <c r="C339">
        <v>0</v>
      </c>
      <c r="D339">
        <v>0</v>
      </c>
    </row>
    <row r="340" spans="1:4" x14ac:dyDescent="0.25">
      <c r="A340">
        <v>325</v>
      </c>
      <c r="B340">
        <v>2500000</v>
      </c>
      <c r="C340">
        <v>2500000</v>
      </c>
      <c r="D340">
        <v>1</v>
      </c>
    </row>
    <row r="341" spans="1:4" x14ac:dyDescent="0.25">
      <c r="A341">
        <v>326</v>
      </c>
      <c r="B341">
        <v>0</v>
      </c>
      <c r="C341">
        <v>0</v>
      </c>
      <c r="D341">
        <v>0</v>
      </c>
    </row>
    <row r="342" spans="1:4" x14ac:dyDescent="0.25">
      <c r="A342">
        <v>327</v>
      </c>
      <c r="B342">
        <v>0</v>
      </c>
      <c r="C342">
        <v>0</v>
      </c>
      <c r="D342">
        <v>0</v>
      </c>
    </row>
    <row r="343" spans="1:4" x14ac:dyDescent="0.25">
      <c r="A343">
        <v>328</v>
      </c>
      <c r="B343">
        <v>0</v>
      </c>
      <c r="C343">
        <v>0</v>
      </c>
      <c r="D343">
        <v>0</v>
      </c>
    </row>
    <row r="344" spans="1:4" x14ac:dyDescent="0.25">
      <c r="A344">
        <v>329</v>
      </c>
      <c r="B344">
        <v>1000000</v>
      </c>
      <c r="C344">
        <v>1000000</v>
      </c>
      <c r="D344">
        <v>1</v>
      </c>
    </row>
    <row r="345" spans="1:4" x14ac:dyDescent="0.25">
      <c r="A345">
        <v>330</v>
      </c>
      <c r="B345">
        <v>1000000</v>
      </c>
      <c r="C345">
        <v>1000000</v>
      </c>
      <c r="D345">
        <v>1</v>
      </c>
    </row>
    <row r="346" spans="1:4" x14ac:dyDescent="0.25">
      <c r="A346">
        <v>331</v>
      </c>
      <c r="B346">
        <v>0</v>
      </c>
      <c r="C346">
        <v>0</v>
      </c>
      <c r="D346">
        <v>0</v>
      </c>
    </row>
    <row r="347" spans="1:4" x14ac:dyDescent="0.25">
      <c r="A347">
        <v>332</v>
      </c>
      <c r="B347">
        <v>0</v>
      </c>
      <c r="C347">
        <v>0</v>
      </c>
      <c r="D347">
        <v>0</v>
      </c>
    </row>
    <row r="348" spans="1:4" x14ac:dyDescent="0.25">
      <c r="A348">
        <v>333</v>
      </c>
      <c r="B348">
        <v>3500000</v>
      </c>
      <c r="C348">
        <v>2500000</v>
      </c>
      <c r="D348">
        <v>2</v>
      </c>
    </row>
    <row r="349" spans="1:4" x14ac:dyDescent="0.25">
      <c r="A349">
        <v>334</v>
      </c>
      <c r="B349">
        <v>0</v>
      </c>
      <c r="C349">
        <v>0</v>
      </c>
      <c r="D349">
        <v>0</v>
      </c>
    </row>
    <row r="350" spans="1:4" x14ac:dyDescent="0.25">
      <c r="A350">
        <v>335</v>
      </c>
      <c r="B350">
        <v>1000000</v>
      </c>
      <c r="C350">
        <v>1000000</v>
      </c>
      <c r="D350">
        <v>1</v>
      </c>
    </row>
    <row r="351" spans="1:4" x14ac:dyDescent="0.25">
      <c r="A351">
        <v>336</v>
      </c>
      <c r="B351">
        <v>1000000</v>
      </c>
      <c r="C351">
        <v>1000000</v>
      </c>
      <c r="D351">
        <v>1</v>
      </c>
    </row>
    <row r="352" spans="1:4" x14ac:dyDescent="0.25">
      <c r="A352">
        <v>337</v>
      </c>
      <c r="B352">
        <v>0</v>
      </c>
      <c r="C352">
        <v>0</v>
      </c>
      <c r="D352">
        <v>0</v>
      </c>
    </row>
    <row r="353" spans="1:4" x14ac:dyDescent="0.25">
      <c r="A353">
        <v>338</v>
      </c>
      <c r="B353">
        <v>0</v>
      </c>
      <c r="C353">
        <v>0</v>
      </c>
      <c r="D353">
        <v>0</v>
      </c>
    </row>
    <row r="354" spans="1:4" x14ac:dyDescent="0.25">
      <c r="A354">
        <v>339</v>
      </c>
      <c r="B354">
        <v>0</v>
      </c>
      <c r="C354">
        <v>0</v>
      </c>
      <c r="D354">
        <v>0</v>
      </c>
    </row>
    <row r="355" spans="1:4" x14ac:dyDescent="0.25">
      <c r="A355">
        <v>340</v>
      </c>
      <c r="B355">
        <v>0</v>
      </c>
      <c r="C355">
        <v>0</v>
      </c>
      <c r="D355">
        <v>0</v>
      </c>
    </row>
    <row r="356" spans="1:4" x14ac:dyDescent="0.25">
      <c r="A356">
        <v>341</v>
      </c>
      <c r="B356">
        <v>0</v>
      </c>
      <c r="C356">
        <v>0</v>
      </c>
      <c r="D356">
        <v>0</v>
      </c>
    </row>
    <row r="357" spans="1:4" x14ac:dyDescent="0.25">
      <c r="A357">
        <v>342</v>
      </c>
      <c r="B357">
        <v>10000000</v>
      </c>
      <c r="C357">
        <v>10000000</v>
      </c>
      <c r="D357">
        <v>1</v>
      </c>
    </row>
    <row r="358" spans="1:4" x14ac:dyDescent="0.25">
      <c r="A358">
        <v>343</v>
      </c>
      <c r="B358">
        <v>1000000</v>
      </c>
      <c r="C358">
        <v>1000000</v>
      </c>
      <c r="D358">
        <v>1</v>
      </c>
    </row>
    <row r="359" spans="1:4" x14ac:dyDescent="0.25">
      <c r="A359">
        <v>344</v>
      </c>
      <c r="B359">
        <v>0</v>
      </c>
      <c r="C359">
        <v>0</v>
      </c>
      <c r="D359">
        <v>0</v>
      </c>
    </row>
    <row r="360" spans="1:4" x14ac:dyDescent="0.25">
      <c r="A360">
        <v>345</v>
      </c>
      <c r="B360">
        <v>2500000</v>
      </c>
      <c r="C360">
        <v>2500000</v>
      </c>
      <c r="D360">
        <v>1</v>
      </c>
    </row>
    <row r="361" spans="1:4" x14ac:dyDescent="0.25">
      <c r="A361">
        <v>346</v>
      </c>
      <c r="B361">
        <v>0</v>
      </c>
      <c r="C361">
        <v>0</v>
      </c>
      <c r="D361">
        <v>0</v>
      </c>
    </row>
    <row r="362" spans="1:4" x14ac:dyDescent="0.25">
      <c r="A362">
        <v>347</v>
      </c>
      <c r="B362">
        <v>1000000</v>
      </c>
      <c r="C362">
        <v>1000000</v>
      </c>
      <c r="D362">
        <v>1</v>
      </c>
    </row>
    <row r="363" spans="1:4" x14ac:dyDescent="0.25">
      <c r="A363">
        <v>348</v>
      </c>
      <c r="B363">
        <v>0</v>
      </c>
      <c r="C363">
        <v>0</v>
      </c>
      <c r="D363">
        <v>0</v>
      </c>
    </row>
    <row r="364" spans="1:4" x14ac:dyDescent="0.25">
      <c r="A364">
        <v>349</v>
      </c>
      <c r="B364">
        <v>0</v>
      </c>
      <c r="C364">
        <v>0</v>
      </c>
      <c r="D364">
        <v>0</v>
      </c>
    </row>
    <row r="365" spans="1:4" x14ac:dyDescent="0.25">
      <c r="A365">
        <v>350</v>
      </c>
      <c r="B365">
        <v>0</v>
      </c>
      <c r="C365">
        <v>0</v>
      </c>
      <c r="D365">
        <v>0</v>
      </c>
    </row>
    <row r="366" spans="1:4" x14ac:dyDescent="0.25">
      <c r="A366">
        <v>351</v>
      </c>
      <c r="B366">
        <v>0</v>
      </c>
      <c r="C366">
        <v>0</v>
      </c>
      <c r="D366">
        <v>0</v>
      </c>
    </row>
    <row r="367" spans="1:4" x14ac:dyDescent="0.25">
      <c r="A367">
        <v>352</v>
      </c>
      <c r="B367">
        <v>0</v>
      </c>
      <c r="C367">
        <v>0</v>
      </c>
      <c r="D367">
        <v>0</v>
      </c>
    </row>
    <row r="368" spans="1:4" x14ac:dyDescent="0.25">
      <c r="A368">
        <v>353</v>
      </c>
      <c r="B368">
        <v>11000000</v>
      </c>
      <c r="C368">
        <v>10000000</v>
      </c>
      <c r="D368">
        <v>2</v>
      </c>
    </row>
    <row r="369" spans="1:4" x14ac:dyDescent="0.25">
      <c r="A369">
        <v>354</v>
      </c>
      <c r="B369">
        <v>0</v>
      </c>
      <c r="C369">
        <v>0</v>
      </c>
      <c r="D369">
        <v>0</v>
      </c>
    </row>
    <row r="370" spans="1:4" x14ac:dyDescent="0.25">
      <c r="A370">
        <v>355</v>
      </c>
      <c r="B370">
        <v>0</v>
      </c>
      <c r="C370">
        <v>0</v>
      </c>
      <c r="D370">
        <v>0</v>
      </c>
    </row>
    <row r="371" spans="1:4" x14ac:dyDescent="0.25">
      <c r="A371">
        <v>356</v>
      </c>
      <c r="B371">
        <v>0</v>
      </c>
      <c r="C371">
        <v>0</v>
      </c>
      <c r="D371">
        <v>0</v>
      </c>
    </row>
    <row r="372" spans="1:4" x14ac:dyDescent="0.25">
      <c r="A372">
        <v>357</v>
      </c>
      <c r="B372">
        <v>11000000</v>
      </c>
      <c r="C372">
        <v>10000000</v>
      </c>
      <c r="D372">
        <v>2</v>
      </c>
    </row>
    <row r="373" spans="1:4" x14ac:dyDescent="0.25">
      <c r="A373">
        <v>358</v>
      </c>
      <c r="B373">
        <v>0</v>
      </c>
      <c r="C373">
        <v>0</v>
      </c>
      <c r="D373">
        <v>0</v>
      </c>
    </row>
    <row r="374" spans="1:4" x14ac:dyDescent="0.25">
      <c r="A374">
        <v>359</v>
      </c>
      <c r="B374">
        <v>0</v>
      </c>
      <c r="C374">
        <v>0</v>
      </c>
      <c r="D374">
        <v>0</v>
      </c>
    </row>
    <row r="375" spans="1:4" x14ac:dyDescent="0.25">
      <c r="A375">
        <v>360</v>
      </c>
      <c r="B375">
        <v>0</v>
      </c>
      <c r="C375">
        <v>0</v>
      </c>
      <c r="D375">
        <v>0</v>
      </c>
    </row>
    <row r="376" spans="1:4" x14ac:dyDescent="0.25">
      <c r="A376">
        <v>361</v>
      </c>
      <c r="B376">
        <v>10000000</v>
      </c>
      <c r="C376">
        <v>10000000</v>
      </c>
      <c r="D376">
        <v>1</v>
      </c>
    </row>
    <row r="377" spans="1:4" x14ac:dyDescent="0.25">
      <c r="A377">
        <v>362</v>
      </c>
      <c r="B377">
        <v>1000000</v>
      </c>
      <c r="C377">
        <v>1000000</v>
      </c>
      <c r="D377">
        <v>1</v>
      </c>
    </row>
    <row r="378" spans="1:4" x14ac:dyDescent="0.25">
      <c r="A378">
        <v>363</v>
      </c>
      <c r="B378">
        <v>10000000</v>
      </c>
      <c r="C378">
        <v>10000000</v>
      </c>
      <c r="D378">
        <v>1</v>
      </c>
    </row>
    <row r="379" spans="1:4" x14ac:dyDescent="0.25">
      <c r="A379">
        <v>364</v>
      </c>
      <c r="B379">
        <v>0</v>
      </c>
      <c r="C379">
        <v>0</v>
      </c>
      <c r="D379">
        <v>0</v>
      </c>
    </row>
    <row r="380" spans="1:4" x14ac:dyDescent="0.25">
      <c r="A380">
        <v>365</v>
      </c>
      <c r="B380">
        <v>0</v>
      </c>
      <c r="C380">
        <v>0</v>
      </c>
      <c r="D380">
        <v>0</v>
      </c>
    </row>
    <row r="381" spans="1:4" x14ac:dyDescent="0.25">
      <c r="A381">
        <v>366</v>
      </c>
      <c r="B381">
        <v>12500000</v>
      </c>
      <c r="C381">
        <v>10000000</v>
      </c>
      <c r="D381">
        <v>2</v>
      </c>
    </row>
    <row r="382" spans="1:4" x14ac:dyDescent="0.25">
      <c r="A382">
        <v>367</v>
      </c>
      <c r="B382">
        <v>0</v>
      </c>
      <c r="C382">
        <v>0</v>
      </c>
      <c r="D382">
        <v>0</v>
      </c>
    </row>
    <row r="383" spans="1:4" x14ac:dyDescent="0.25">
      <c r="A383">
        <v>368</v>
      </c>
      <c r="B383">
        <v>0</v>
      </c>
      <c r="C383">
        <v>0</v>
      </c>
      <c r="D383">
        <v>0</v>
      </c>
    </row>
    <row r="384" spans="1:4" x14ac:dyDescent="0.25">
      <c r="A384">
        <v>369</v>
      </c>
      <c r="B384">
        <v>0</v>
      </c>
      <c r="C384">
        <v>0</v>
      </c>
      <c r="D384">
        <v>0</v>
      </c>
    </row>
    <row r="385" spans="1:4" x14ac:dyDescent="0.25">
      <c r="A385">
        <v>370</v>
      </c>
      <c r="B385">
        <v>0</v>
      </c>
      <c r="C385">
        <v>0</v>
      </c>
      <c r="D385">
        <v>0</v>
      </c>
    </row>
    <row r="386" spans="1:4" x14ac:dyDescent="0.25">
      <c r="A386">
        <v>371</v>
      </c>
      <c r="B386">
        <v>0</v>
      </c>
      <c r="C386">
        <v>0</v>
      </c>
      <c r="D386">
        <v>0</v>
      </c>
    </row>
    <row r="387" spans="1:4" x14ac:dyDescent="0.25">
      <c r="A387">
        <v>372</v>
      </c>
      <c r="B387">
        <v>0</v>
      </c>
      <c r="C387">
        <v>0</v>
      </c>
      <c r="D387">
        <v>0</v>
      </c>
    </row>
    <row r="388" spans="1:4" x14ac:dyDescent="0.25">
      <c r="A388">
        <v>373</v>
      </c>
      <c r="B388">
        <v>11000000</v>
      </c>
      <c r="C388">
        <v>10000000</v>
      </c>
      <c r="D388">
        <v>2</v>
      </c>
    </row>
    <row r="389" spans="1:4" x14ac:dyDescent="0.25">
      <c r="A389">
        <v>374</v>
      </c>
      <c r="B389">
        <v>0</v>
      </c>
      <c r="C389">
        <v>0</v>
      </c>
      <c r="D389">
        <v>0</v>
      </c>
    </row>
    <row r="390" spans="1:4" x14ac:dyDescent="0.25">
      <c r="A390">
        <v>375</v>
      </c>
      <c r="B390">
        <v>0</v>
      </c>
      <c r="C390">
        <v>0</v>
      </c>
      <c r="D390">
        <v>0</v>
      </c>
    </row>
    <row r="391" spans="1:4" x14ac:dyDescent="0.25">
      <c r="A391">
        <v>376</v>
      </c>
      <c r="B391">
        <v>2500000</v>
      </c>
      <c r="C391">
        <v>2500000</v>
      </c>
      <c r="D391">
        <v>1</v>
      </c>
    </row>
    <row r="392" spans="1:4" x14ac:dyDescent="0.25">
      <c r="A392">
        <v>377</v>
      </c>
      <c r="B392">
        <v>5000000</v>
      </c>
      <c r="C392">
        <v>2500000</v>
      </c>
      <c r="D392">
        <v>2</v>
      </c>
    </row>
    <row r="393" spans="1:4" x14ac:dyDescent="0.25">
      <c r="A393">
        <v>378</v>
      </c>
      <c r="B393">
        <v>0</v>
      </c>
      <c r="C393">
        <v>0</v>
      </c>
      <c r="D393">
        <v>0</v>
      </c>
    </row>
    <row r="394" spans="1:4" x14ac:dyDescent="0.25">
      <c r="A394">
        <v>379</v>
      </c>
      <c r="B394">
        <v>0</v>
      </c>
      <c r="C394">
        <v>0</v>
      </c>
      <c r="D394">
        <v>0</v>
      </c>
    </row>
    <row r="395" spans="1:4" x14ac:dyDescent="0.25">
      <c r="A395">
        <v>380</v>
      </c>
      <c r="B395">
        <v>0</v>
      </c>
      <c r="C395">
        <v>0</v>
      </c>
      <c r="D395">
        <v>0</v>
      </c>
    </row>
    <row r="396" spans="1:4" x14ac:dyDescent="0.25">
      <c r="A396">
        <v>381</v>
      </c>
      <c r="B396">
        <v>1000000</v>
      </c>
      <c r="C396">
        <v>1000000</v>
      </c>
      <c r="D396">
        <v>1</v>
      </c>
    </row>
    <row r="397" spans="1:4" x14ac:dyDescent="0.25">
      <c r="A397">
        <v>382</v>
      </c>
      <c r="B397">
        <v>0</v>
      </c>
      <c r="C397">
        <v>0</v>
      </c>
      <c r="D397">
        <v>0</v>
      </c>
    </row>
    <row r="398" spans="1:4" x14ac:dyDescent="0.25">
      <c r="A398">
        <v>383</v>
      </c>
      <c r="B398">
        <v>0</v>
      </c>
      <c r="C398">
        <v>0</v>
      </c>
      <c r="D398">
        <v>0</v>
      </c>
    </row>
    <row r="399" spans="1:4" x14ac:dyDescent="0.25">
      <c r="A399">
        <v>384</v>
      </c>
      <c r="B399">
        <v>0</v>
      </c>
      <c r="C399">
        <v>0</v>
      </c>
      <c r="D399">
        <v>0</v>
      </c>
    </row>
    <row r="400" spans="1:4" x14ac:dyDescent="0.25">
      <c r="A400">
        <v>385</v>
      </c>
      <c r="B400">
        <v>0</v>
      </c>
      <c r="C400">
        <v>0</v>
      </c>
      <c r="D400">
        <v>0</v>
      </c>
    </row>
    <row r="401" spans="1:4" x14ac:dyDescent="0.25">
      <c r="A401">
        <v>386</v>
      </c>
      <c r="B401">
        <v>1000000</v>
      </c>
      <c r="C401">
        <v>1000000</v>
      </c>
      <c r="D401">
        <v>1</v>
      </c>
    </row>
    <row r="402" spans="1:4" x14ac:dyDescent="0.25">
      <c r="A402">
        <v>387</v>
      </c>
      <c r="B402">
        <v>0</v>
      </c>
      <c r="C402">
        <v>0</v>
      </c>
      <c r="D402">
        <v>0</v>
      </c>
    </row>
    <row r="403" spans="1:4" x14ac:dyDescent="0.25">
      <c r="A403">
        <v>388</v>
      </c>
      <c r="B403">
        <v>0</v>
      </c>
      <c r="C403">
        <v>0</v>
      </c>
      <c r="D403">
        <v>0</v>
      </c>
    </row>
    <row r="404" spans="1:4" x14ac:dyDescent="0.25">
      <c r="A404">
        <v>389</v>
      </c>
      <c r="B404">
        <v>2500000</v>
      </c>
      <c r="C404">
        <v>2500000</v>
      </c>
      <c r="D404">
        <v>1</v>
      </c>
    </row>
    <row r="405" spans="1:4" x14ac:dyDescent="0.25">
      <c r="A405">
        <v>390</v>
      </c>
      <c r="B405">
        <v>0</v>
      </c>
      <c r="C405">
        <v>0</v>
      </c>
      <c r="D405">
        <v>0</v>
      </c>
    </row>
    <row r="406" spans="1:4" x14ac:dyDescent="0.25">
      <c r="A406">
        <v>391</v>
      </c>
      <c r="B406">
        <v>0</v>
      </c>
      <c r="C406">
        <v>0</v>
      </c>
      <c r="D406">
        <v>0</v>
      </c>
    </row>
    <row r="407" spans="1:4" x14ac:dyDescent="0.25">
      <c r="A407">
        <v>392</v>
      </c>
      <c r="B407">
        <v>0</v>
      </c>
      <c r="C407">
        <v>0</v>
      </c>
      <c r="D407">
        <v>0</v>
      </c>
    </row>
    <row r="408" spans="1:4" x14ac:dyDescent="0.25">
      <c r="A408">
        <v>393</v>
      </c>
      <c r="B408">
        <v>0</v>
      </c>
      <c r="C408">
        <v>0</v>
      </c>
      <c r="D408">
        <v>0</v>
      </c>
    </row>
    <row r="409" spans="1:4" x14ac:dyDescent="0.25">
      <c r="A409">
        <v>394</v>
      </c>
      <c r="B409">
        <v>3500000</v>
      </c>
      <c r="C409">
        <v>2500000</v>
      </c>
      <c r="D409">
        <v>2</v>
      </c>
    </row>
    <row r="410" spans="1:4" x14ac:dyDescent="0.25">
      <c r="A410">
        <v>395</v>
      </c>
      <c r="B410">
        <v>0</v>
      </c>
      <c r="C410">
        <v>0</v>
      </c>
      <c r="D410">
        <v>0</v>
      </c>
    </row>
    <row r="411" spans="1:4" x14ac:dyDescent="0.25">
      <c r="A411">
        <v>396</v>
      </c>
      <c r="B411">
        <v>1000000</v>
      </c>
      <c r="C411">
        <v>1000000</v>
      </c>
      <c r="D411">
        <v>1</v>
      </c>
    </row>
    <row r="412" spans="1:4" x14ac:dyDescent="0.25">
      <c r="A412">
        <v>397</v>
      </c>
      <c r="B412">
        <v>0</v>
      </c>
      <c r="C412">
        <v>0</v>
      </c>
      <c r="D412">
        <v>0</v>
      </c>
    </row>
    <row r="413" spans="1:4" x14ac:dyDescent="0.25">
      <c r="A413">
        <v>398</v>
      </c>
      <c r="B413">
        <v>10000000</v>
      </c>
      <c r="C413">
        <v>10000000</v>
      </c>
      <c r="D413">
        <v>1</v>
      </c>
    </row>
    <row r="414" spans="1:4" x14ac:dyDescent="0.25">
      <c r="A414">
        <v>399</v>
      </c>
      <c r="B414">
        <v>0</v>
      </c>
      <c r="C414">
        <v>0</v>
      </c>
      <c r="D414">
        <v>0</v>
      </c>
    </row>
    <row r="415" spans="1:4" x14ac:dyDescent="0.25">
      <c r="A415">
        <v>400</v>
      </c>
      <c r="B415">
        <v>0</v>
      </c>
      <c r="C415">
        <v>0</v>
      </c>
      <c r="D415">
        <v>0</v>
      </c>
    </row>
    <row r="416" spans="1:4" x14ac:dyDescent="0.25">
      <c r="A416">
        <v>401</v>
      </c>
      <c r="B416">
        <v>0</v>
      </c>
      <c r="C416">
        <v>0</v>
      </c>
      <c r="D416">
        <v>0</v>
      </c>
    </row>
    <row r="417" spans="1:4" x14ac:dyDescent="0.25">
      <c r="A417">
        <v>402</v>
      </c>
      <c r="B417">
        <v>2500000</v>
      </c>
      <c r="C417">
        <v>2500000</v>
      </c>
      <c r="D417">
        <v>1</v>
      </c>
    </row>
    <row r="418" spans="1:4" x14ac:dyDescent="0.25">
      <c r="A418">
        <v>403</v>
      </c>
      <c r="B418">
        <v>0</v>
      </c>
      <c r="C418">
        <v>0</v>
      </c>
      <c r="D418">
        <v>0</v>
      </c>
    </row>
    <row r="419" spans="1:4" x14ac:dyDescent="0.25">
      <c r="A419">
        <v>404</v>
      </c>
      <c r="B419">
        <v>0</v>
      </c>
      <c r="C419">
        <v>0</v>
      </c>
      <c r="D419">
        <v>0</v>
      </c>
    </row>
    <row r="420" spans="1:4" x14ac:dyDescent="0.25">
      <c r="A420">
        <v>405</v>
      </c>
      <c r="B420">
        <v>0</v>
      </c>
      <c r="C420">
        <v>0</v>
      </c>
      <c r="D420">
        <v>0</v>
      </c>
    </row>
    <row r="421" spans="1:4" x14ac:dyDescent="0.25">
      <c r="A421">
        <v>406</v>
      </c>
      <c r="B421">
        <v>0</v>
      </c>
      <c r="C421">
        <v>0</v>
      </c>
      <c r="D421">
        <v>0</v>
      </c>
    </row>
    <row r="422" spans="1:4" x14ac:dyDescent="0.25">
      <c r="A422">
        <v>407</v>
      </c>
      <c r="B422">
        <v>1000000</v>
      </c>
      <c r="C422">
        <v>1000000</v>
      </c>
      <c r="D422">
        <v>1</v>
      </c>
    </row>
    <row r="423" spans="1:4" x14ac:dyDescent="0.25">
      <c r="A423">
        <v>408</v>
      </c>
      <c r="B423">
        <v>0</v>
      </c>
      <c r="C423">
        <v>0</v>
      </c>
      <c r="D423">
        <v>0</v>
      </c>
    </row>
    <row r="424" spans="1:4" x14ac:dyDescent="0.25">
      <c r="A424">
        <v>409</v>
      </c>
      <c r="B424">
        <v>0</v>
      </c>
      <c r="C424">
        <v>0</v>
      </c>
      <c r="D424">
        <v>0</v>
      </c>
    </row>
    <row r="425" spans="1:4" x14ac:dyDescent="0.25">
      <c r="A425">
        <v>410</v>
      </c>
      <c r="B425">
        <v>2500000</v>
      </c>
      <c r="C425">
        <v>2500000</v>
      </c>
      <c r="D425">
        <v>1</v>
      </c>
    </row>
    <row r="426" spans="1:4" x14ac:dyDescent="0.25">
      <c r="A426">
        <v>411</v>
      </c>
      <c r="B426">
        <v>0</v>
      </c>
      <c r="C426">
        <v>0</v>
      </c>
      <c r="D426">
        <v>0</v>
      </c>
    </row>
    <row r="427" spans="1:4" x14ac:dyDescent="0.25">
      <c r="A427">
        <v>412</v>
      </c>
      <c r="B427">
        <v>0</v>
      </c>
      <c r="C427">
        <v>0</v>
      </c>
      <c r="D427">
        <v>0</v>
      </c>
    </row>
    <row r="428" spans="1:4" x14ac:dyDescent="0.25">
      <c r="A428">
        <v>413</v>
      </c>
      <c r="B428">
        <v>0</v>
      </c>
      <c r="C428">
        <v>0</v>
      </c>
      <c r="D428">
        <v>0</v>
      </c>
    </row>
    <row r="429" spans="1:4" x14ac:dyDescent="0.25">
      <c r="A429">
        <v>414</v>
      </c>
      <c r="B429">
        <v>0</v>
      </c>
      <c r="C429">
        <v>0</v>
      </c>
      <c r="D429">
        <v>0</v>
      </c>
    </row>
    <row r="430" spans="1:4" x14ac:dyDescent="0.25">
      <c r="A430">
        <v>415</v>
      </c>
      <c r="B430">
        <v>10000000</v>
      </c>
      <c r="C430">
        <v>10000000</v>
      </c>
      <c r="D430">
        <v>1</v>
      </c>
    </row>
    <row r="431" spans="1:4" x14ac:dyDescent="0.25">
      <c r="A431">
        <v>416</v>
      </c>
      <c r="B431">
        <v>1000000</v>
      </c>
      <c r="C431">
        <v>1000000</v>
      </c>
      <c r="D431">
        <v>1</v>
      </c>
    </row>
    <row r="432" spans="1:4" x14ac:dyDescent="0.25">
      <c r="A432">
        <v>417</v>
      </c>
      <c r="B432">
        <v>0</v>
      </c>
      <c r="C432">
        <v>0</v>
      </c>
      <c r="D432">
        <v>0</v>
      </c>
    </row>
    <row r="433" spans="1:4" x14ac:dyDescent="0.25">
      <c r="A433">
        <v>418</v>
      </c>
      <c r="B433">
        <v>0</v>
      </c>
      <c r="C433">
        <v>0</v>
      </c>
      <c r="D433">
        <v>0</v>
      </c>
    </row>
    <row r="434" spans="1:4" x14ac:dyDescent="0.25">
      <c r="A434">
        <v>419</v>
      </c>
      <c r="B434">
        <v>0</v>
      </c>
      <c r="C434">
        <v>0</v>
      </c>
      <c r="D434">
        <v>0</v>
      </c>
    </row>
    <row r="435" spans="1:4" x14ac:dyDescent="0.25">
      <c r="A435">
        <v>420</v>
      </c>
      <c r="B435">
        <v>11000000</v>
      </c>
      <c r="C435">
        <v>10000000</v>
      </c>
      <c r="D435">
        <v>2</v>
      </c>
    </row>
    <row r="436" spans="1:4" x14ac:dyDescent="0.25">
      <c r="A436">
        <v>421</v>
      </c>
      <c r="B436">
        <v>0</v>
      </c>
      <c r="C436">
        <v>0</v>
      </c>
      <c r="D436">
        <v>0</v>
      </c>
    </row>
    <row r="437" spans="1:4" x14ac:dyDescent="0.25">
      <c r="A437">
        <v>422</v>
      </c>
      <c r="B437">
        <v>0</v>
      </c>
      <c r="C437">
        <v>0</v>
      </c>
      <c r="D437">
        <v>0</v>
      </c>
    </row>
    <row r="438" spans="1:4" x14ac:dyDescent="0.25">
      <c r="A438">
        <v>423</v>
      </c>
      <c r="B438">
        <v>0</v>
      </c>
      <c r="C438">
        <v>0</v>
      </c>
      <c r="D438">
        <v>0</v>
      </c>
    </row>
    <row r="439" spans="1:4" x14ac:dyDescent="0.25">
      <c r="A439">
        <v>424</v>
      </c>
      <c r="B439">
        <v>0</v>
      </c>
      <c r="C439">
        <v>0</v>
      </c>
      <c r="D439">
        <v>0</v>
      </c>
    </row>
    <row r="440" spans="1:4" x14ac:dyDescent="0.25">
      <c r="A440">
        <v>425</v>
      </c>
      <c r="B440">
        <v>0</v>
      </c>
      <c r="C440">
        <v>0</v>
      </c>
      <c r="D440">
        <v>0</v>
      </c>
    </row>
    <row r="441" spans="1:4" x14ac:dyDescent="0.25">
      <c r="A441">
        <v>426</v>
      </c>
      <c r="B441">
        <v>0</v>
      </c>
      <c r="C441">
        <v>0</v>
      </c>
      <c r="D441">
        <v>0</v>
      </c>
    </row>
    <row r="442" spans="1:4" x14ac:dyDescent="0.25">
      <c r="A442">
        <v>427</v>
      </c>
      <c r="B442">
        <v>0</v>
      </c>
      <c r="C442">
        <v>0</v>
      </c>
      <c r="D442">
        <v>0</v>
      </c>
    </row>
    <row r="443" spans="1:4" x14ac:dyDescent="0.25">
      <c r="A443">
        <v>428</v>
      </c>
      <c r="B443">
        <v>10000000</v>
      </c>
      <c r="C443">
        <v>10000000</v>
      </c>
      <c r="D443">
        <v>1</v>
      </c>
    </row>
    <row r="444" spans="1:4" x14ac:dyDescent="0.25">
      <c r="A444">
        <v>429</v>
      </c>
      <c r="B444">
        <v>0</v>
      </c>
      <c r="C444">
        <v>0</v>
      </c>
      <c r="D444">
        <v>0</v>
      </c>
    </row>
    <row r="445" spans="1:4" x14ac:dyDescent="0.25">
      <c r="A445">
        <v>430</v>
      </c>
      <c r="B445">
        <v>1000000</v>
      </c>
      <c r="C445">
        <v>1000000</v>
      </c>
      <c r="D445">
        <v>1</v>
      </c>
    </row>
    <row r="446" spans="1:4" x14ac:dyDescent="0.25">
      <c r="A446">
        <v>431</v>
      </c>
      <c r="B446">
        <v>0</v>
      </c>
      <c r="C446">
        <v>0</v>
      </c>
      <c r="D446">
        <v>0</v>
      </c>
    </row>
    <row r="447" spans="1:4" x14ac:dyDescent="0.25">
      <c r="A447">
        <v>432</v>
      </c>
      <c r="B447">
        <v>0</v>
      </c>
      <c r="C447">
        <v>0</v>
      </c>
      <c r="D447">
        <v>0</v>
      </c>
    </row>
    <row r="448" spans="1:4" x14ac:dyDescent="0.25">
      <c r="A448">
        <v>433</v>
      </c>
      <c r="B448">
        <v>0</v>
      </c>
      <c r="C448">
        <v>0</v>
      </c>
      <c r="D448">
        <v>0</v>
      </c>
    </row>
    <row r="449" spans="1:4" x14ac:dyDescent="0.25">
      <c r="A449">
        <v>434</v>
      </c>
      <c r="B449">
        <v>0</v>
      </c>
      <c r="C449">
        <v>0</v>
      </c>
      <c r="D449">
        <v>0</v>
      </c>
    </row>
    <row r="450" spans="1:4" x14ac:dyDescent="0.25">
      <c r="A450">
        <v>435</v>
      </c>
      <c r="B450">
        <v>0</v>
      </c>
      <c r="C450">
        <v>0</v>
      </c>
      <c r="D450">
        <v>0</v>
      </c>
    </row>
    <row r="451" spans="1:4" x14ac:dyDescent="0.25">
      <c r="A451">
        <v>436</v>
      </c>
      <c r="B451">
        <v>0</v>
      </c>
      <c r="C451">
        <v>0</v>
      </c>
      <c r="D451">
        <v>0</v>
      </c>
    </row>
    <row r="452" spans="1:4" x14ac:dyDescent="0.25">
      <c r="A452">
        <v>437</v>
      </c>
      <c r="B452">
        <v>0</v>
      </c>
      <c r="C452">
        <v>0</v>
      </c>
      <c r="D452">
        <v>0</v>
      </c>
    </row>
    <row r="453" spans="1:4" x14ac:dyDescent="0.25">
      <c r="A453">
        <v>438</v>
      </c>
      <c r="B453">
        <v>11000000</v>
      </c>
      <c r="C453">
        <v>10000000</v>
      </c>
      <c r="D453">
        <v>2</v>
      </c>
    </row>
    <row r="454" spans="1:4" x14ac:dyDescent="0.25">
      <c r="A454">
        <v>439</v>
      </c>
      <c r="B454">
        <v>0</v>
      </c>
      <c r="C454">
        <v>0</v>
      </c>
      <c r="D454">
        <v>0</v>
      </c>
    </row>
    <row r="455" spans="1:4" x14ac:dyDescent="0.25">
      <c r="A455">
        <v>440</v>
      </c>
      <c r="B455">
        <v>0</v>
      </c>
      <c r="C455">
        <v>0</v>
      </c>
      <c r="D455">
        <v>0</v>
      </c>
    </row>
    <row r="456" spans="1:4" x14ac:dyDescent="0.25">
      <c r="A456">
        <v>441</v>
      </c>
      <c r="B456">
        <v>1000000</v>
      </c>
      <c r="C456">
        <v>1000000</v>
      </c>
      <c r="D456">
        <v>1</v>
      </c>
    </row>
    <row r="457" spans="1:4" x14ac:dyDescent="0.25">
      <c r="A457">
        <v>442</v>
      </c>
      <c r="B457">
        <v>1000000</v>
      </c>
      <c r="C457">
        <v>1000000</v>
      </c>
      <c r="D457">
        <v>1</v>
      </c>
    </row>
    <row r="458" spans="1:4" x14ac:dyDescent="0.25">
      <c r="A458">
        <v>443</v>
      </c>
      <c r="B458">
        <v>0</v>
      </c>
      <c r="C458">
        <v>0</v>
      </c>
      <c r="D458">
        <v>0</v>
      </c>
    </row>
    <row r="459" spans="1:4" x14ac:dyDescent="0.25">
      <c r="A459">
        <v>444</v>
      </c>
      <c r="B459">
        <v>0</v>
      </c>
      <c r="C459">
        <v>0</v>
      </c>
      <c r="D459">
        <v>0</v>
      </c>
    </row>
    <row r="460" spans="1:4" x14ac:dyDescent="0.25">
      <c r="A460">
        <v>445</v>
      </c>
      <c r="B460">
        <v>10000000</v>
      </c>
      <c r="C460">
        <v>10000000</v>
      </c>
      <c r="D460">
        <v>1</v>
      </c>
    </row>
    <row r="461" spans="1:4" x14ac:dyDescent="0.25">
      <c r="A461">
        <v>446</v>
      </c>
      <c r="B461">
        <v>0</v>
      </c>
      <c r="C461">
        <v>0</v>
      </c>
      <c r="D461">
        <v>0</v>
      </c>
    </row>
    <row r="462" spans="1:4" x14ac:dyDescent="0.25">
      <c r="A462">
        <v>447</v>
      </c>
      <c r="B462">
        <v>0</v>
      </c>
      <c r="C462">
        <v>0</v>
      </c>
      <c r="D462">
        <v>0</v>
      </c>
    </row>
    <row r="463" spans="1:4" x14ac:dyDescent="0.25">
      <c r="A463">
        <v>448</v>
      </c>
      <c r="B463">
        <v>0</v>
      </c>
      <c r="C463">
        <v>0</v>
      </c>
      <c r="D463">
        <v>0</v>
      </c>
    </row>
    <row r="464" spans="1:4" x14ac:dyDescent="0.25">
      <c r="A464">
        <v>449</v>
      </c>
      <c r="B464">
        <v>0</v>
      </c>
      <c r="C464">
        <v>0</v>
      </c>
      <c r="D464">
        <v>0</v>
      </c>
    </row>
    <row r="465" spans="1:4" x14ac:dyDescent="0.25">
      <c r="A465">
        <v>450</v>
      </c>
      <c r="B465">
        <v>0</v>
      </c>
      <c r="C465">
        <v>0</v>
      </c>
      <c r="D465">
        <v>0</v>
      </c>
    </row>
    <row r="466" spans="1:4" x14ac:dyDescent="0.25">
      <c r="A466">
        <v>451</v>
      </c>
      <c r="B466">
        <v>2500000</v>
      </c>
      <c r="C466">
        <v>2500000</v>
      </c>
      <c r="D466">
        <v>1</v>
      </c>
    </row>
    <row r="467" spans="1:4" x14ac:dyDescent="0.25">
      <c r="A467">
        <v>452</v>
      </c>
      <c r="B467">
        <v>0</v>
      </c>
      <c r="C467">
        <v>0</v>
      </c>
      <c r="D467">
        <v>0</v>
      </c>
    </row>
    <row r="468" spans="1:4" x14ac:dyDescent="0.25">
      <c r="A468">
        <v>453</v>
      </c>
      <c r="B468">
        <v>0</v>
      </c>
      <c r="C468">
        <v>0</v>
      </c>
      <c r="D468">
        <v>0</v>
      </c>
    </row>
    <row r="469" spans="1:4" x14ac:dyDescent="0.25">
      <c r="A469">
        <v>454</v>
      </c>
      <c r="B469">
        <v>1000000</v>
      </c>
      <c r="C469">
        <v>1000000</v>
      </c>
      <c r="D469">
        <v>1</v>
      </c>
    </row>
    <row r="470" spans="1:4" x14ac:dyDescent="0.25">
      <c r="A470">
        <v>455</v>
      </c>
      <c r="B470">
        <v>0</v>
      </c>
      <c r="C470">
        <v>0</v>
      </c>
      <c r="D470">
        <v>0</v>
      </c>
    </row>
    <row r="471" spans="1:4" x14ac:dyDescent="0.25">
      <c r="A471">
        <v>456</v>
      </c>
      <c r="B471">
        <v>0</v>
      </c>
      <c r="C471">
        <v>0</v>
      </c>
      <c r="D471">
        <v>0</v>
      </c>
    </row>
    <row r="472" spans="1:4" x14ac:dyDescent="0.25">
      <c r="A472">
        <v>457</v>
      </c>
      <c r="B472">
        <v>2500000</v>
      </c>
      <c r="C472">
        <v>2500000</v>
      </c>
      <c r="D472">
        <v>1</v>
      </c>
    </row>
    <row r="473" spans="1:4" x14ac:dyDescent="0.25">
      <c r="A473">
        <v>458</v>
      </c>
      <c r="B473">
        <v>2500000</v>
      </c>
      <c r="C473">
        <v>2500000</v>
      </c>
      <c r="D473">
        <v>1</v>
      </c>
    </row>
    <row r="474" spans="1:4" x14ac:dyDescent="0.25">
      <c r="A474">
        <v>459</v>
      </c>
      <c r="B474">
        <v>0</v>
      </c>
      <c r="C474">
        <v>0</v>
      </c>
      <c r="D474">
        <v>0</v>
      </c>
    </row>
    <row r="475" spans="1:4" x14ac:dyDescent="0.25">
      <c r="A475">
        <v>460</v>
      </c>
      <c r="B475">
        <v>0</v>
      </c>
      <c r="C475">
        <v>0</v>
      </c>
      <c r="D475">
        <v>0</v>
      </c>
    </row>
    <row r="476" spans="1:4" x14ac:dyDescent="0.25">
      <c r="A476">
        <v>461</v>
      </c>
      <c r="B476">
        <v>0</v>
      </c>
      <c r="C476">
        <v>0</v>
      </c>
      <c r="D476">
        <v>0</v>
      </c>
    </row>
    <row r="477" spans="1:4" x14ac:dyDescent="0.25">
      <c r="A477">
        <v>462</v>
      </c>
      <c r="B477">
        <v>0</v>
      </c>
      <c r="C477">
        <v>0</v>
      </c>
      <c r="D477">
        <v>0</v>
      </c>
    </row>
    <row r="478" spans="1:4" x14ac:dyDescent="0.25">
      <c r="A478">
        <v>463</v>
      </c>
      <c r="B478">
        <v>0</v>
      </c>
      <c r="C478">
        <v>0</v>
      </c>
      <c r="D478">
        <v>0</v>
      </c>
    </row>
    <row r="479" spans="1:4" x14ac:dyDescent="0.25">
      <c r="A479">
        <v>464</v>
      </c>
      <c r="B479">
        <v>0</v>
      </c>
      <c r="C479">
        <v>0</v>
      </c>
      <c r="D479">
        <v>0</v>
      </c>
    </row>
    <row r="480" spans="1:4" x14ac:dyDescent="0.25">
      <c r="A480">
        <v>465</v>
      </c>
      <c r="B480">
        <v>0</v>
      </c>
      <c r="C480">
        <v>0</v>
      </c>
      <c r="D480">
        <v>0</v>
      </c>
    </row>
    <row r="481" spans="1:4" x14ac:dyDescent="0.25">
      <c r="A481">
        <v>466</v>
      </c>
      <c r="B481">
        <v>0</v>
      </c>
      <c r="C481">
        <v>0</v>
      </c>
      <c r="D481">
        <v>0</v>
      </c>
    </row>
    <row r="482" spans="1:4" x14ac:dyDescent="0.25">
      <c r="A482">
        <v>467</v>
      </c>
      <c r="B482">
        <v>0</v>
      </c>
      <c r="C482">
        <v>0</v>
      </c>
      <c r="D482">
        <v>0</v>
      </c>
    </row>
    <row r="483" spans="1:4" x14ac:dyDescent="0.25">
      <c r="A483">
        <v>468</v>
      </c>
      <c r="B483">
        <v>0</v>
      </c>
      <c r="C483">
        <v>0</v>
      </c>
      <c r="D483">
        <v>0</v>
      </c>
    </row>
    <row r="484" spans="1:4" x14ac:dyDescent="0.25">
      <c r="A484">
        <v>469</v>
      </c>
      <c r="B484">
        <v>0</v>
      </c>
      <c r="C484">
        <v>0</v>
      </c>
      <c r="D484">
        <v>0</v>
      </c>
    </row>
    <row r="485" spans="1:4" x14ac:dyDescent="0.25">
      <c r="A485">
        <v>470</v>
      </c>
      <c r="B485">
        <v>0</v>
      </c>
      <c r="C485">
        <v>0</v>
      </c>
      <c r="D485">
        <v>0</v>
      </c>
    </row>
    <row r="486" spans="1:4" x14ac:dyDescent="0.25">
      <c r="A486">
        <v>471</v>
      </c>
      <c r="B486">
        <v>0</v>
      </c>
      <c r="C486">
        <v>0</v>
      </c>
      <c r="D486">
        <v>0</v>
      </c>
    </row>
    <row r="487" spans="1:4" x14ac:dyDescent="0.25">
      <c r="A487">
        <v>472</v>
      </c>
      <c r="B487">
        <v>0</v>
      </c>
      <c r="C487">
        <v>0</v>
      </c>
      <c r="D487">
        <v>0</v>
      </c>
    </row>
    <row r="488" spans="1:4" x14ac:dyDescent="0.25">
      <c r="A488">
        <v>473</v>
      </c>
      <c r="B488">
        <v>0</v>
      </c>
      <c r="C488">
        <v>0</v>
      </c>
      <c r="D488">
        <v>0</v>
      </c>
    </row>
    <row r="489" spans="1:4" x14ac:dyDescent="0.25">
      <c r="A489">
        <v>474</v>
      </c>
      <c r="B489">
        <v>0</v>
      </c>
      <c r="C489">
        <v>0</v>
      </c>
      <c r="D489">
        <v>0</v>
      </c>
    </row>
    <row r="490" spans="1:4" x14ac:dyDescent="0.25">
      <c r="A490">
        <v>475</v>
      </c>
      <c r="B490">
        <v>0</v>
      </c>
      <c r="C490">
        <v>0</v>
      </c>
      <c r="D490">
        <v>0</v>
      </c>
    </row>
    <row r="491" spans="1:4" x14ac:dyDescent="0.25">
      <c r="A491">
        <v>476</v>
      </c>
      <c r="B491">
        <v>0</v>
      </c>
      <c r="C491">
        <v>0</v>
      </c>
      <c r="D491">
        <v>0</v>
      </c>
    </row>
    <row r="492" spans="1:4" x14ac:dyDescent="0.25">
      <c r="A492">
        <v>477</v>
      </c>
      <c r="B492">
        <v>1000000</v>
      </c>
      <c r="C492">
        <v>1000000</v>
      </c>
      <c r="D492">
        <v>1</v>
      </c>
    </row>
    <row r="493" spans="1:4" x14ac:dyDescent="0.25">
      <c r="A493">
        <v>478</v>
      </c>
      <c r="B493">
        <v>0</v>
      </c>
      <c r="C493">
        <v>0</v>
      </c>
      <c r="D493">
        <v>0</v>
      </c>
    </row>
    <row r="494" spans="1:4" x14ac:dyDescent="0.25">
      <c r="A494">
        <v>479</v>
      </c>
      <c r="B494">
        <v>0</v>
      </c>
      <c r="C494">
        <v>0</v>
      </c>
      <c r="D494">
        <v>0</v>
      </c>
    </row>
    <row r="495" spans="1:4" x14ac:dyDescent="0.25">
      <c r="A495">
        <v>480</v>
      </c>
      <c r="B495">
        <v>0</v>
      </c>
      <c r="C495">
        <v>0</v>
      </c>
      <c r="D495">
        <v>0</v>
      </c>
    </row>
    <row r="496" spans="1:4" x14ac:dyDescent="0.25">
      <c r="A496">
        <v>481</v>
      </c>
      <c r="B496">
        <v>10000000</v>
      </c>
      <c r="C496">
        <v>10000000</v>
      </c>
      <c r="D496">
        <v>1</v>
      </c>
    </row>
    <row r="497" spans="1:4" x14ac:dyDescent="0.25">
      <c r="A497">
        <v>482</v>
      </c>
      <c r="B497">
        <v>0</v>
      </c>
      <c r="C497">
        <v>0</v>
      </c>
      <c r="D497">
        <v>0</v>
      </c>
    </row>
    <row r="498" spans="1:4" x14ac:dyDescent="0.25">
      <c r="A498">
        <v>483</v>
      </c>
      <c r="B498">
        <v>3500000</v>
      </c>
      <c r="C498">
        <v>2500000</v>
      </c>
      <c r="D498">
        <v>2</v>
      </c>
    </row>
    <row r="499" spans="1:4" x14ac:dyDescent="0.25">
      <c r="A499">
        <v>484</v>
      </c>
      <c r="B499">
        <v>0</v>
      </c>
      <c r="C499">
        <v>0</v>
      </c>
      <c r="D499">
        <v>0</v>
      </c>
    </row>
    <row r="500" spans="1:4" x14ac:dyDescent="0.25">
      <c r="A500">
        <v>485</v>
      </c>
      <c r="B500">
        <v>1000000</v>
      </c>
      <c r="C500">
        <v>1000000</v>
      </c>
      <c r="D500">
        <v>1</v>
      </c>
    </row>
    <row r="501" spans="1:4" x14ac:dyDescent="0.25">
      <c r="A501">
        <v>486</v>
      </c>
      <c r="B501">
        <v>0</v>
      </c>
      <c r="C501">
        <v>0</v>
      </c>
      <c r="D501">
        <v>0</v>
      </c>
    </row>
    <row r="502" spans="1:4" x14ac:dyDescent="0.25">
      <c r="A502">
        <v>487</v>
      </c>
      <c r="B502">
        <v>0</v>
      </c>
      <c r="C502">
        <v>0</v>
      </c>
      <c r="D502">
        <v>0</v>
      </c>
    </row>
    <row r="503" spans="1:4" x14ac:dyDescent="0.25">
      <c r="A503">
        <v>488</v>
      </c>
      <c r="B503">
        <v>0</v>
      </c>
      <c r="C503">
        <v>0</v>
      </c>
      <c r="D503">
        <v>0</v>
      </c>
    </row>
    <row r="504" spans="1:4" x14ac:dyDescent="0.25">
      <c r="A504">
        <v>489</v>
      </c>
      <c r="B504">
        <v>10000000</v>
      </c>
      <c r="C504">
        <v>10000000</v>
      </c>
      <c r="D504">
        <v>1</v>
      </c>
    </row>
    <row r="505" spans="1:4" x14ac:dyDescent="0.25">
      <c r="A505">
        <v>490</v>
      </c>
      <c r="B505">
        <v>0</v>
      </c>
      <c r="C505">
        <v>0</v>
      </c>
      <c r="D505">
        <v>0</v>
      </c>
    </row>
    <row r="506" spans="1:4" x14ac:dyDescent="0.25">
      <c r="A506">
        <v>491</v>
      </c>
      <c r="B506">
        <v>0</v>
      </c>
      <c r="C506">
        <v>0</v>
      </c>
      <c r="D506">
        <v>0</v>
      </c>
    </row>
    <row r="507" spans="1:4" x14ac:dyDescent="0.25">
      <c r="A507">
        <v>492</v>
      </c>
      <c r="B507">
        <v>0</v>
      </c>
      <c r="C507">
        <v>0</v>
      </c>
      <c r="D507">
        <v>0</v>
      </c>
    </row>
    <row r="508" spans="1:4" x14ac:dyDescent="0.25">
      <c r="A508">
        <v>493</v>
      </c>
      <c r="B508">
        <v>0</v>
      </c>
      <c r="C508">
        <v>0</v>
      </c>
      <c r="D508">
        <v>0</v>
      </c>
    </row>
    <row r="509" spans="1:4" x14ac:dyDescent="0.25">
      <c r="A509">
        <v>494</v>
      </c>
      <c r="B509">
        <v>0</v>
      </c>
      <c r="C509">
        <v>0</v>
      </c>
      <c r="D509">
        <v>0</v>
      </c>
    </row>
    <row r="510" spans="1:4" x14ac:dyDescent="0.25">
      <c r="A510">
        <v>495</v>
      </c>
      <c r="B510">
        <v>1000000</v>
      </c>
      <c r="C510">
        <v>1000000</v>
      </c>
      <c r="D510">
        <v>1</v>
      </c>
    </row>
    <row r="511" spans="1:4" x14ac:dyDescent="0.25">
      <c r="A511">
        <v>496</v>
      </c>
      <c r="B511">
        <v>0</v>
      </c>
      <c r="C511">
        <v>0</v>
      </c>
      <c r="D511">
        <v>0</v>
      </c>
    </row>
    <row r="512" spans="1:4" x14ac:dyDescent="0.25">
      <c r="A512">
        <v>497</v>
      </c>
      <c r="B512">
        <v>2500000</v>
      </c>
      <c r="C512">
        <v>2500000</v>
      </c>
      <c r="D512">
        <v>1</v>
      </c>
    </row>
    <row r="513" spans="1:4" x14ac:dyDescent="0.25">
      <c r="A513">
        <v>498</v>
      </c>
      <c r="B513">
        <v>0</v>
      </c>
      <c r="C513">
        <v>0</v>
      </c>
      <c r="D513">
        <v>0</v>
      </c>
    </row>
    <row r="514" spans="1:4" x14ac:dyDescent="0.25">
      <c r="A514">
        <v>499</v>
      </c>
      <c r="B514">
        <v>0</v>
      </c>
      <c r="C514">
        <v>0</v>
      </c>
      <c r="D514">
        <v>0</v>
      </c>
    </row>
    <row r="515" spans="1:4" x14ac:dyDescent="0.25">
      <c r="A515">
        <v>500</v>
      </c>
      <c r="B515">
        <v>1000000</v>
      </c>
      <c r="C515">
        <v>1000000</v>
      </c>
      <c r="D515">
        <v>1</v>
      </c>
    </row>
    <row r="516" spans="1:4" x14ac:dyDescent="0.25">
      <c r="A516">
        <v>501</v>
      </c>
      <c r="B516">
        <v>0</v>
      </c>
      <c r="C516">
        <v>0</v>
      </c>
      <c r="D516">
        <v>0</v>
      </c>
    </row>
    <row r="517" spans="1:4" x14ac:dyDescent="0.25">
      <c r="A517">
        <v>502</v>
      </c>
      <c r="B517">
        <v>0</v>
      </c>
      <c r="C517">
        <v>0</v>
      </c>
      <c r="D517">
        <v>0</v>
      </c>
    </row>
    <row r="518" spans="1:4" x14ac:dyDescent="0.25">
      <c r="A518">
        <v>503</v>
      </c>
      <c r="B518">
        <v>1000000</v>
      </c>
      <c r="C518">
        <v>1000000</v>
      </c>
      <c r="D518">
        <v>1</v>
      </c>
    </row>
    <row r="519" spans="1:4" x14ac:dyDescent="0.25">
      <c r="A519">
        <v>504</v>
      </c>
      <c r="B519">
        <v>2500000</v>
      </c>
      <c r="C519">
        <v>2500000</v>
      </c>
      <c r="D519">
        <v>1</v>
      </c>
    </row>
    <row r="520" spans="1:4" x14ac:dyDescent="0.25">
      <c r="A520">
        <v>505</v>
      </c>
      <c r="B520">
        <v>0</v>
      </c>
      <c r="C520">
        <v>0</v>
      </c>
      <c r="D520">
        <v>0</v>
      </c>
    </row>
    <row r="521" spans="1:4" x14ac:dyDescent="0.25">
      <c r="A521">
        <v>506</v>
      </c>
      <c r="B521">
        <v>1000000</v>
      </c>
      <c r="C521">
        <v>1000000</v>
      </c>
      <c r="D521">
        <v>1</v>
      </c>
    </row>
    <row r="522" spans="1:4" x14ac:dyDescent="0.25">
      <c r="A522">
        <v>507</v>
      </c>
      <c r="B522">
        <v>0</v>
      </c>
      <c r="C522">
        <v>0</v>
      </c>
      <c r="D522">
        <v>0</v>
      </c>
    </row>
    <row r="523" spans="1:4" x14ac:dyDescent="0.25">
      <c r="A523">
        <v>508</v>
      </c>
      <c r="B523">
        <v>0</v>
      </c>
      <c r="C523">
        <v>0</v>
      </c>
      <c r="D523">
        <v>0</v>
      </c>
    </row>
    <row r="524" spans="1:4" x14ac:dyDescent="0.25">
      <c r="A524">
        <v>509</v>
      </c>
      <c r="B524">
        <v>1000000</v>
      </c>
      <c r="C524">
        <v>1000000</v>
      </c>
      <c r="D524">
        <v>1</v>
      </c>
    </row>
    <row r="525" spans="1:4" x14ac:dyDescent="0.25">
      <c r="A525">
        <v>510</v>
      </c>
      <c r="B525">
        <v>3500000</v>
      </c>
      <c r="C525">
        <v>2500000</v>
      </c>
      <c r="D525">
        <v>2</v>
      </c>
    </row>
    <row r="526" spans="1:4" x14ac:dyDescent="0.25">
      <c r="A526">
        <v>511</v>
      </c>
      <c r="B526">
        <v>0</v>
      </c>
      <c r="C526">
        <v>0</v>
      </c>
      <c r="D526">
        <v>0</v>
      </c>
    </row>
    <row r="527" spans="1:4" x14ac:dyDescent="0.25">
      <c r="A527">
        <v>512</v>
      </c>
      <c r="B527">
        <v>0</v>
      </c>
      <c r="C527">
        <v>0</v>
      </c>
      <c r="D527">
        <v>0</v>
      </c>
    </row>
    <row r="528" spans="1:4" x14ac:dyDescent="0.25">
      <c r="A528">
        <v>513</v>
      </c>
      <c r="B528">
        <v>0</v>
      </c>
      <c r="C528">
        <v>0</v>
      </c>
      <c r="D528">
        <v>0</v>
      </c>
    </row>
    <row r="529" spans="1:4" x14ac:dyDescent="0.25">
      <c r="A529">
        <v>514</v>
      </c>
      <c r="B529">
        <v>0</v>
      </c>
      <c r="C529">
        <v>0</v>
      </c>
      <c r="D529">
        <v>0</v>
      </c>
    </row>
    <row r="530" spans="1:4" x14ac:dyDescent="0.25">
      <c r="A530">
        <v>515</v>
      </c>
      <c r="B530">
        <v>0</v>
      </c>
      <c r="C530">
        <v>0</v>
      </c>
      <c r="D530">
        <v>0</v>
      </c>
    </row>
    <row r="531" spans="1:4" x14ac:dyDescent="0.25">
      <c r="A531">
        <v>516</v>
      </c>
      <c r="B531">
        <v>0</v>
      </c>
      <c r="C531">
        <v>0</v>
      </c>
      <c r="D531">
        <v>0</v>
      </c>
    </row>
    <row r="532" spans="1:4" x14ac:dyDescent="0.25">
      <c r="A532">
        <v>517</v>
      </c>
      <c r="B532">
        <v>0</v>
      </c>
      <c r="C532">
        <v>0</v>
      </c>
      <c r="D532">
        <v>0</v>
      </c>
    </row>
    <row r="533" spans="1:4" x14ac:dyDescent="0.25">
      <c r="A533">
        <v>518</v>
      </c>
      <c r="B533">
        <v>0</v>
      </c>
      <c r="C533">
        <v>0</v>
      </c>
      <c r="D533">
        <v>0</v>
      </c>
    </row>
    <row r="534" spans="1:4" x14ac:dyDescent="0.25">
      <c r="A534">
        <v>519</v>
      </c>
      <c r="B534">
        <v>0</v>
      </c>
      <c r="C534">
        <v>0</v>
      </c>
      <c r="D534">
        <v>0</v>
      </c>
    </row>
    <row r="535" spans="1:4" x14ac:dyDescent="0.25">
      <c r="A535">
        <v>520</v>
      </c>
      <c r="B535">
        <v>0</v>
      </c>
      <c r="C535">
        <v>0</v>
      </c>
      <c r="D535">
        <v>0</v>
      </c>
    </row>
    <row r="536" spans="1:4" x14ac:dyDescent="0.25">
      <c r="A536">
        <v>521</v>
      </c>
      <c r="B536">
        <v>0</v>
      </c>
      <c r="C536">
        <v>0</v>
      </c>
      <c r="D536">
        <v>0</v>
      </c>
    </row>
    <row r="537" spans="1:4" x14ac:dyDescent="0.25">
      <c r="A537">
        <v>522</v>
      </c>
      <c r="B537">
        <v>0</v>
      </c>
      <c r="C537">
        <v>0</v>
      </c>
      <c r="D537">
        <v>0</v>
      </c>
    </row>
    <row r="538" spans="1:4" x14ac:dyDescent="0.25">
      <c r="A538">
        <v>523</v>
      </c>
      <c r="B538">
        <v>0</v>
      </c>
      <c r="C538">
        <v>0</v>
      </c>
      <c r="D538">
        <v>0</v>
      </c>
    </row>
    <row r="539" spans="1:4" x14ac:dyDescent="0.25">
      <c r="A539">
        <v>524</v>
      </c>
      <c r="B539">
        <v>0</v>
      </c>
      <c r="C539">
        <v>0</v>
      </c>
      <c r="D539">
        <v>0</v>
      </c>
    </row>
    <row r="540" spans="1:4" x14ac:dyDescent="0.25">
      <c r="A540">
        <v>525</v>
      </c>
      <c r="B540">
        <v>0</v>
      </c>
      <c r="C540">
        <v>0</v>
      </c>
      <c r="D540">
        <v>0</v>
      </c>
    </row>
    <row r="541" spans="1:4" x14ac:dyDescent="0.25">
      <c r="A541">
        <v>526</v>
      </c>
      <c r="B541">
        <v>2000000</v>
      </c>
      <c r="C541">
        <v>1000000</v>
      </c>
      <c r="D541">
        <v>2</v>
      </c>
    </row>
    <row r="542" spans="1:4" x14ac:dyDescent="0.25">
      <c r="A542">
        <v>527</v>
      </c>
      <c r="B542">
        <v>0</v>
      </c>
      <c r="C542">
        <v>0</v>
      </c>
      <c r="D542">
        <v>0</v>
      </c>
    </row>
    <row r="543" spans="1:4" x14ac:dyDescent="0.25">
      <c r="A543">
        <v>528</v>
      </c>
      <c r="B543">
        <v>0</v>
      </c>
      <c r="C543">
        <v>0</v>
      </c>
      <c r="D543">
        <v>0</v>
      </c>
    </row>
    <row r="544" spans="1:4" x14ac:dyDescent="0.25">
      <c r="A544">
        <v>529</v>
      </c>
      <c r="B544">
        <v>0</v>
      </c>
      <c r="C544">
        <v>0</v>
      </c>
      <c r="D544">
        <v>0</v>
      </c>
    </row>
    <row r="545" spans="1:4" x14ac:dyDescent="0.25">
      <c r="A545">
        <v>530</v>
      </c>
      <c r="B545">
        <v>0</v>
      </c>
      <c r="C545">
        <v>0</v>
      </c>
      <c r="D545">
        <v>0</v>
      </c>
    </row>
    <row r="546" spans="1:4" x14ac:dyDescent="0.25">
      <c r="A546">
        <v>531</v>
      </c>
      <c r="B546">
        <v>0</v>
      </c>
      <c r="C546">
        <v>0</v>
      </c>
      <c r="D546">
        <v>0</v>
      </c>
    </row>
    <row r="547" spans="1:4" x14ac:dyDescent="0.25">
      <c r="A547">
        <v>532</v>
      </c>
      <c r="B547">
        <v>0</v>
      </c>
      <c r="C547">
        <v>0</v>
      </c>
      <c r="D547">
        <v>0</v>
      </c>
    </row>
    <row r="548" spans="1:4" x14ac:dyDescent="0.25">
      <c r="A548">
        <v>533</v>
      </c>
      <c r="B548">
        <v>5000000</v>
      </c>
      <c r="C548">
        <v>2500000</v>
      </c>
      <c r="D548">
        <v>2</v>
      </c>
    </row>
    <row r="549" spans="1:4" x14ac:dyDescent="0.25">
      <c r="A549">
        <v>534</v>
      </c>
      <c r="B549">
        <v>1000000</v>
      </c>
      <c r="C549">
        <v>1000000</v>
      </c>
      <c r="D549">
        <v>1</v>
      </c>
    </row>
    <row r="550" spans="1:4" x14ac:dyDescent="0.25">
      <c r="A550">
        <v>535</v>
      </c>
      <c r="B550">
        <v>0</v>
      </c>
      <c r="C550">
        <v>0</v>
      </c>
      <c r="D550">
        <v>0</v>
      </c>
    </row>
    <row r="551" spans="1:4" x14ac:dyDescent="0.25">
      <c r="A551">
        <v>536</v>
      </c>
      <c r="B551">
        <v>0</v>
      </c>
      <c r="C551">
        <v>0</v>
      </c>
      <c r="D551">
        <v>0</v>
      </c>
    </row>
    <row r="552" spans="1:4" x14ac:dyDescent="0.25">
      <c r="A552">
        <v>537</v>
      </c>
      <c r="B552">
        <v>0</v>
      </c>
      <c r="C552">
        <v>0</v>
      </c>
      <c r="D552">
        <v>0</v>
      </c>
    </row>
    <row r="553" spans="1:4" x14ac:dyDescent="0.25">
      <c r="A553">
        <v>538</v>
      </c>
      <c r="B553">
        <v>0</v>
      </c>
      <c r="C553">
        <v>0</v>
      </c>
      <c r="D553">
        <v>0</v>
      </c>
    </row>
    <row r="554" spans="1:4" x14ac:dyDescent="0.25">
      <c r="A554">
        <v>539</v>
      </c>
      <c r="B554">
        <v>0</v>
      </c>
      <c r="C554">
        <v>0</v>
      </c>
      <c r="D554">
        <v>0</v>
      </c>
    </row>
    <row r="555" spans="1:4" x14ac:dyDescent="0.25">
      <c r="A555">
        <v>540</v>
      </c>
      <c r="B555">
        <v>1000000</v>
      </c>
      <c r="C555">
        <v>1000000</v>
      </c>
      <c r="D555">
        <v>1</v>
      </c>
    </row>
    <row r="556" spans="1:4" x14ac:dyDescent="0.25">
      <c r="A556">
        <v>541</v>
      </c>
      <c r="B556">
        <v>0</v>
      </c>
      <c r="C556">
        <v>0</v>
      </c>
      <c r="D556">
        <v>0</v>
      </c>
    </row>
    <row r="557" spans="1:4" x14ac:dyDescent="0.25">
      <c r="A557">
        <v>542</v>
      </c>
      <c r="B557">
        <v>0</v>
      </c>
      <c r="C557">
        <v>0</v>
      </c>
      <c r="D557">
        <v>0</v>
      </c>
    </row>
    <row r="558" spans="1:4" x14ac:dyDescent="0.25">
      <c r="A558">
        <v>543</v>
      </c>
      <c r="B558">
        <v>0</v>
      </c>
      <c r="C558">
        <v>0</v>
      </c>
      <c r="D558">
        <v>0</v>
      </c>
    </row>
    <row r="559" spans="1:4" x14ac:dyDescent="0.25">
      <c r="A559">
        <v>544</v>
      </c>
      <c r="B559">
        <v>0</v>
      </c>
      <c r="C559">
        <v>0</v>
      </c>
      <c r="D559">
        <v>0</v>
      </c>
    </row>
    <row r="560" spans="1:4" x14ac:dyDescent="0.25">
      <c r="A560">
        <v>545</v>
      </c>
      <c r="B560">
        <v>0</v>
      </c>
      <c r="C560">
        <v>0</v>
      </c>
      <c r="D560">
        <v>0</v>
      </c>
    </row>
    <row r="561" spans="1:4" x14ac:dyDescent="0.25">
      <c r="A561">
        <v>546</v>
      </c>
      <c r="B561">
        <v>0</v>
      </c>
      <c r="C561">
        <v>0</v>
      </c>
      <c r="D561">
        <v>0</v>
      </c>
    </row>
    <row r="562" spans="1:4" x14ac:dyDescent="0.25">
      <c r="A562">
        <v>547</v>
      </c>
      <c r="B562">
        <v>0</v>
      </c>
      <c r="C562">
        <v>0</v>
      </c>
      <c r="D562">
        <v>0</v>
      </c>
    </row>
    <row r="563" spans="1:4" x14ac:dyDescent="0.25">
      <c r="A563">
        <v>548</v>
      </c>
      <c r="B563">
        <v>10000000</v>
      </c>
      <c r="C563">
        <v>10000000</v>
      </c>
      <c r="D563">
        <v>1</v>
      </c>
    </row>
    <row r="564" spans="1:4" x14ac:dyDescent="0.25">
      <c r="A564">
        <v>549</v>
      </c>
      <c r="B564">
        <v>0</v>
      </c>
      <c r="C564">
        <v>0</v>
      </c>
      <c r="D564">
        <v>0</v>
      </c>
    </row>
    <row r="565" spans="1:4" x14ac:dyDescent="0.25">
      <c r="A565">
        <v>550</v>
      </c>
      <c r="B565">
        <v>0</v>
      </c>
      <c r="C565">
        <v>0</v>
      </c>
      <c r="D565">
        <v>0</v>
      </c>
    </row>
    <row r="566" spans="1:4" x14ac:dyDescent="0.25">
      <c r="A566">
        <v>551</v>
      </c>
      <c r="B566">
        <v>0</v>
      </c>
      <c r="C566">
        <v>0</v>
      </c>
      <c r="D566">
        <v>0</v>
      </c>
    </row>
    <row r="567" spans="1:4" x14ac:dyDescent="0.25">
      <c r="A567">
        <v>552</v>
      </c>
      <c r="B567">
        <v>0</v>
      </c>
      <c r="C567">
        <v>0</v>
      </c>
      <c r="D567">
        <v>0</v>
      </c>
    </row>
    <row r="568" spans="1:4" x14ac:dyDescent="0.25">
      <c r="A568">
        <v>553</v>
      </c>
      <c r="B568">
        <v>0</v>
      </c>
      <c r="C568">
        <v>0</v>
      </c>
      <c r="D568">
        <v>0</v>
      </c>
    </row>
    <row r="569" spans="1:4" x14ac:dyDescent="0.25">
      <c r="A569">
        <v>554</v>
      </c>
      <c r="B569">
        <v>2500000</v>
      </c>
      <c r="C569">
        <v>2500000</v>
      </c>
      <c r="D569">
        <v>1</v>
      </c>
    </row>
    <row r="570" spans="1:4" x14ac:dyDescent="0.25">
      <c r="A570">
        <v>555</v>
      </c>
      <c r="B570">
        <v>0</v>
      </c>
      <c r="C570">
        <v>0</v>
      </c>
      <c r="D570">
        <v>0</v>
      </c>
    </row>
    <row r="571" spans="1:4" x14ac:dyDescent="0.25">
      <c r="A571">
        <v>556</v>
      </c>
      <c r="B571">
        <v>1000000</v>
      </c>
      <c r="C571">
        <v>1000000</v>
      </c>
      <c r="D571">
        <v>1</v>
      </c>
    </row>
    <row r="572" spans="1:4" x14ac:dyDescent="0.25">
      <c r="A572">
        <v>557</v>
      </c>
      <c r="B572">
        <v>0</v>
      </c>
      <c r="C572">
        <v>0</v>
      </c>
      <c r="D572">
        <v>0</v>
      </c>
    </row>
    <row r="573" spans="1:4" x14ac:dyDescent="0.25">
      <c r="A573">
        <v>558</v>
      </c>
      <c r="B573">
        <v>0</v>
      </c>
      <c r="C573">
        <v>0</v>
      </c>
      <c r="D573">
        <v>0</v>
      </c>
    </row>
    <row r="574" spans="1:4" x14ac:dyDescent="0.25">
      <c r="A574">
        <v>559</v>
      </c>
      <c r="B574">
        <v>0</v>
      </c>
      <c r="C574">
        <v>0</v>
      </c>
      <c r="D574">
        <v>0</v>
      </c>
    </row>
    <row r="575" spans="1:4" x14ac:dyDescent="0.25">
      <c r="A575">
        <v>560</v>
      </c>
      <c r="B575">
        <v>0</v>
      </c>
      <c r="C575">
        <v>0</v>
      </c>
      <c r="D575">
        <v>0</v>
      </c>
    </row>
    <row r="576" spans="1:4" x14ac:dyDescent="0.25">
      <c r="A576">
        <v>561</v>
      </c>
      <c r="B576">
        <v>2500000</v>
      </c>
      <c r="C576">
        <v>2500000</v>
      </c>
      <c r="D576">
        <v>1</v>
      </c>
    </row>
    <row r="577" spans="1:4" x14ac:dyDescent="0.25">
      <c r="A577">
        <v>562</v>
      </c>
      <c r="B577">
        <v>0</v>
      </c>
      <c r="C577">
        <v>0</v>
      </c>
      <c r="D577">
        <v>0</v>
      </c>
    </row>
    <row r="578" spans="1:4" x14ac:dyDescent="0.25">
      <c r="A578">
        <v>563</v>
      </c>
      <c r="B578">
        <v>0</v>
      </c>
      <c r="C578">
        <v>0</v>
      </c>
      <c r="D578">
        <v>0</v>
      </c>
    </row>
    <row r="579" spans="1:4" x14ac:dyDescent="0.25">
      <c r="A579">
        <v>564</v>
      </c>
      <c r="B579">
        <v>0</v>
      </c>
      <c r="C579">
        <v>0</v>
      </c>
      <c r="D579">
        <v>0</v>
      </c>
    </row>
    <row r="580" spans="1:4" x14ac:dyDescent="0.25">
      <c r="A580">
        <v>565</v>
      </c>
      <c r="B580">
        <v>0</v>
      </c>
      <c r="C580">
        <v>0</v>
      </c>
      <c r="D580">
        <v>0</v>
      </c>
    </row>
    <row r="581" spans="1:4" x14ac:dyDescent="0.25">
      <c r="A581">
        <v>566</v>
      </c>
      <c r="B581">
        <v>3500000</v>
      </c>
      <c r="C581">
        <v>2500000</v>
      </c>
      <c r="D581">
        <v>2</v>
      </c>
    </row>
    <row r="582" spans="1:4" x14ac:dyDescent="0.25">
      <c r="A582">
        <v>567</v>
      </c>
      <c r="B582">
        <v>2000000</v>
      </c>
      <c r="C582">
        <v>1000000</v>
      </c>
      <c r="D582">
        <v>2</v>
      </c>
    </row>
    <row r="583" spans="1:4" x14ac:dyDescent="0.25">
      <c r="A583">
        <v>568</v>
      </c>
      <c r="B583">
        <v>0</v>
      </c>
      <c r="C583">
        <v>0</v>
      </c>
      <c r="D583">
        <v>0</v>
      </c>
    </row>
    <row r="584" spans="1:4" x14ac:dyDescent="0.25">
      <c r="A584">
        <v>569</v>
      </c>
      <c r="B584">
        <v>0</v>
      </c>
      <c r="C584">
        <v>0</v>
      </c>
      <c r="D584">
        <v>0</v>
      </c>
    </row>
    <row r="585" spans="1:4" x14ac:dyDescent="0.25">
      <c r="A585">
        <v>570</v>
      </c>
      <c r="B585">
        <v>1000000</v>
      </c>
      <c r="C585">
        <v>1000000</v>
      </c>
      <c r="D585">
        <v>1</v>
      </c>
    </row>
    <row r="586" spans="1:4" x14ac:dyDescent="0.25">
      <c r="A586">
        <v>571</v>
      </c>
      <c r="B586">
        <v>1000000</v>
      </c>
      <c r="C586">
        <v>1000000</v>
      </c>
      <c r="D586">
        <v>1</v>
      </c>
    </row>
    <row r="587" spans="1:4" x14ac:dyDescent="0.25">
      <c r="A587">
        <v>572</v>
      </c>
      <c r="B587">
        <v>0</v>
      </c>
      <c r="C587">
        <v>0</v>
      </c>
      <c r="D587">
        <v>0</v>
      </c>
    </row>
    <row r="588" spans="1:4" x14ac:dyDescent="0.25">
      <c r="A588">
        <v>573</v>
      </c>
      <c r="B588">
        <v>10000000</v>
      </c>
      <c r="C588">
        <v>10000000</v>
      </c>
      <c r="D588">
        <v>1</v>
      </c>
    </row>
    <row r="589" spans="1:4" x14ac:dyDescent="0.25">
      <c r="A589">
        <v>574</v>
      </c>
      <c r="B589">
        <v>0</v>
      </c>
      <c r="C589">
        <v>0</v>
      </c>
      <c r="D589">
        <v>0</v>
      </c>
    </row>
    <row r="590" spans="1:4" x14ac:dyDescent="0.25">
      <c r="A590">
        <v>575</v>
      </c>
      <c r="B590">
        <v>0</v>
      </c>
      <c r="C590">
        <v>0</v>
      </c>
      <c r="D590">
        <v>0</v>
      </c>
    </row>
    <row r="591" spans="1:4" x14ac:dyDescent="0.25">
      <c r="A591">
        <v>576</v>
      </c>
      <c r="B591">
        <v>0</v>
      </c>
      <c r="C591">
        <v>0</v>
      </c>
      <c r="D591">
        <v>0</v>
      </c>
    </row>
    <row r="592" spans="1:4" x14ac:dyDescent="0.25">
      <c r="A592">
        <v>577</v>
      </c>
      <c r="B592">
        <v>0</v>
      </c>
      <c r="C592">
        <v>0</v>
      </c>
      <c r="D592">
        <v>0</v>
      </c>
    </row>
    <row r="593" spans="1:4" x14ac:dyDescent="0.25">
      <c r="A593">
        <v>578</v>
      </c>
      <c r="B593">
        <v>10000000</v>
      </c>
      <c r="C593">
        <v>10000000</v>
      </c>
      <c r="D593">
        <v>1</v>
      </c>
    </row>
    <row r="594" spans="1:4" x14ac:dyDescent="0.25">
      <c r="A594">
        <v>579</v>
      </c>
      <c r="B594">
        <v>0</v>
      </c>
      <c r="C594">
        <v>0</v>
      </c>
      <c r="D594">
        <v>0</v>
      </c>
    </row>
    <row r="595" spans="1:4" x14ac:dyDescent="0.25">
      <c r="A595">
        <v>580</v>
      </c>
      <c r="B595">
        <v>1000000</v>
      </c>
      <c r="C595">
        <v>1000000</v>
      </c>
      <c r="D595">
        <v>1</v>
      </c>
    </row>
    <row r="596" spans="1:4" x14ac:dyDescent="0.25">
      <c r="A596">
        <v>581</v>
      </c>
      <c r="B596">
        <v>0</v>
      </c>
      <c r="C596">
        <v>0</v>
      </c>
      <c r="D596">
        <v>0</v>
      </c>
    </row>
    <row r="597" spans="1:4" x14ac:dyDescent="0.25">
      <c r="A597">
        <v>582</v>
      </c>
      <c r="B597">
        <v>0</v>
      </c>
      <c r="C597">
        <v>0</v>
      </c>
      <c r="D597">
        <v>0</v>
      </c>
    </row>
    <row r="598" spans="1:4" x14ac:dyDescent="0.25">
      <c r="A598">
        <v>583</v>
      </c>
      <c r="B598">
        <v>1000000</v>
      </c>
      <c r="C598">
        <v>1000000</v>
      </c>
      <c r="D598">
        <v>1</v>
      </c>
    </row>
    <row r="599" spans="1:4" x14ac:dyDescent="0.25">
      <c r="A599">
        <v>584</v>
      </c>
      <c r="B599">
        <v>2500000</v>
      </c>
      <c r="C599">
        <v>2500000</v>
      </c>
      <c r="D599">
        <v>1</v>
      </c>
    </row>
    <row r="600" spans="1:4" x14ac:dyDescent="0.25">
      <c r="A600">
        <v>585</v>
      </c>
      <c r="B600">
        <v>0</v>
      </c>
      <c r="C600">
        <v>0</v>
      </c>
      <c r="D600">
        <v>0</v>
      </c>
    </row>
    <row r="601" spans="1:4" x14ac:dyDescent="0.25">
      <c r="A601">
        <v>586</v>
      </c>
      <c r="B601">
        <v>0</v>
      </c>
      <c r="C601">
        <v>0</v>
      </c>
      <c r="D601">
        <v>0</v>
      </c>
    </row>
    <row r="602" spans="1:4" x14ac:dyDescent="0.25">
      <c r="A602">
        <v>587</v>
      </c>
      <c r="B602">
        <v>0</v>
      </c>
      <c r="C602">
        <v>0</v>
      </c>
      <c r="D602">
        <v>0</v>
      </c>
    </row>
    <row r="603" spans="1:4" x14ac:dyDescent="0.25">
      <c r="A603">
        <v>588</v>
      </c>
      <c r="B603">
        <v>0</v>
      </c>
      <c r="C603">
        <v>0</v>
      </c>
      <c r="D603">
        <v>0</v>
      </c>
    </row>
    <row r="604" spans="1:4" x14ac:dyDescent="0.25">
      <c r="A604">
        <v>589</v>
      </c>
      <c r="B604">
        <v>0</v>
      </c>
      <c r="C604">
        <v>0</v>
      </c>
      <c r="D604">
        <v>0</v>
      </c>
    </row>
    <row r="605" spans="1:4" x14ac:dyDescent="0.25">
      <c r="A605">
        <v>590</v>
      </c>
      <c r="B605">
        <v>0</v>
      </c>
      <c r="C605">
        <v>0</v>
      </c>
      <c r="D605">
        <v>0</v>
      </c>
    </row>
    <row r="606" spans="1:4" x14ac:dyDescent="0.25">
      <c r="A606">
        <v>591</v>
      </c>
      <c r="B606">
        <v>0</v>
      </c>
      <c r="C606">
        <v>0</v>
      </c>
      <c r="D606">
        <v>0</v>
      </c>
    </row>
    <row r="607" spans="1:4" x14ac:dyDescent="0.25">
      <c r="A607">
        <v>592</v>
      </c>
      <c r="B607">
        <v>0</v>
      </c>
      <c r="C607">
        <v>0</v>
      </c>
      <c r="D607">
        <v>0</v>
      </c>
    </row>
    <row r="608" spans="1:4" x14ac:dyDescent="0.25">
      <c r="A608">
        <v>593</v>
      </c>
      <c r="B608">
        <v>2500000</v>
      </c>
      <c r="C608">
        <v>2500000</v>
      </c>
      <c r="D608">
        <v>1</v>
      </c>
    </row>
    <row r="609" spans="1:4" x14ac:dyDescent="0.25">
      <c r="A609">
        <v>594</v>
      </c>
      <c r="B609">
        <v>0</v>
      </c>
      <c r="C609">
        <v>0</v>
      </c>
      <c r="D609">
        <v>0</v>
      </c>
    </row>
    <row r="610" spans="1:4" x14ac:dyDescent="0.25">
      <c r="A610">
        <v>595</v>
      </c>
      <c r="B610">
        <v>0</v>
      </c>
      <c r="C610">
        <v>0</v>
      </c>
      <c r="D610">
        <v>0</v>
      </c>
    </row>
    <row r="611" spans="1:4" x14ac:dyDescent="0.25">
      <c r="A611">
        <v>596</v>
      </c>
      <c r="B611">
        <v>0</v>
      </c>
      <c r="C611">
        <v>0</v>
      </c>
      <c r="D611">
        <v>0</v>
      </c>
    </row>
    <row r="612" spans="1:4" x14ac:dyDescent="0.25">
      <c r="A612">
        <v>597</v>
      </c>
      <c r="B612">
        <v>0</v>
      </c>
      <c r="C612">
        <v>0</v>
      </c>
      <c r="D612">
        <v>0</v>
      </c>
    </row>
    <row r="613" spans="1:4" x14ac:dyDescent="0.25">
      <c r="A613">
        <v>598</v>
      </c>
      <c r="B613">
        <v>0</v>
      </c>
      <c r="C613">
        <v>0</v>
      </c>
      <c r="D613">
        <v>0</v>
      </c>
    </row>
    <row r="614" spans="1:4" x14ac:dyDescent="0.25">
      <c r="A614">
        <v>599</v>
      </c>
      <c r="B614">
        <v>10000000</v>
      </c>
      <c r="C614">
        <v>10000000</v>
      </c>
      <c r="D614">
        <v>1</v>
      </c>
    </row>
    <row r="615" spans="1:4" x14ac:dyDescent="0.25">
      <c r="A615">
        <v>600</v>
      </c>
      <c r="B615">
        <v>1000000</v>
      </c>
      <c r="C615">
        <v>1000000</v>
      </c>
      <c r="D615">
        <v>1</v>
      </c>
    </row>
    <row r="616" spans="1:4" x14ac:dyDescent="0.25">
      <c r="A616">
        <v>601</v>
      </c>
      <c r="B616">
        <v>1000000</v>
      </c>
      <c r="C616">
        <v>1000000</v>
      </c>
      <c r="D616">
        <v>1</v>
      </c>
    </row>
    <row r="617" spans="1:4" x14ac:dyDescent="0.25">
      <c r="A617">
        <v>602</v>
      </c>
      <c r="B617">
        <v>2500000</v>
      </c>
      <c r="C617">
        <v>2500000</v>
      </c>
      <c r="D617">
        <v>1</v>
      </c>
    </row>
    <row r="618" spans="1:4" x14ac:dyDescent="0.25">
      <c r="A618">
        <v>603</v>
      </c>
      <c r="B618">
        <v>0</v>
      </c>
      <c r="C618">
        <v>0</v>
      </c>
      <c r="D618">
        <v>0</v>
      </c>
    </row>
    <row r="619" spans="1:4" x14ac:dyDescent="0.25">
      <c r="A619">
        <v>604</v>
      </c>
      <c r="B619">
        <v>0</v>
      </c>
      <c r="C619">
        <v>0</v>
      </c>
      <c r="D619">
        <v>0</v>
      </c>
    </row>
    <row r="620" spans="1:4" x14ac:dyDescent="0.25">
      <c r="A620">
        <v>605</v>
      </c>
      <c r="B620">
        <v>2500000</v>
      </c>
      <c r="C620">
        <v>2500000</v>
      </c>
      <c r="D620">
        <v>1</v>
      </c>
    </row>
    <row r="621" spans="1:4" x14ac:dyDescent="0.25">
      <c r="A621">
        <v>606</v>
      </c>
      <c r="B621">
        <v>1000000</v>
      </c>
      <c r="C621">
        <v>1000000</v>
      </c>
      <c r="D621">
        <v>1</v>
      </c>
    </row>
    <row r="622" spans="1:4" x14ac:dyDescent="0.25">
      <c r="A622">
        <v>607</v>
      </c>
      <c r="B622">
        <v>0</v>
      </c>
      <c r="C622">
        <v>0</v>
      </c>
      <c r="D622">
        <v>0</v>
      </c>
    </row>
    <row r="623" spans="1:4" x14ac:dyDescent="0.25">
      <c r="A623">
        <v>608</v>
      </c>
      <c r="B623">
        <v>0</v>
      </c>
      <c r="C623">
        <v>0</v>
      </c>
      <c r="D623">
        <v>0</v>
      </c>
    </row>
    <row r="624" spans="1:4" x14ac:dyDescent="0.25">
      <c r="A624">
        <v>609</v>
      </c>
      <c r="B624">
        <v>2500000</v>
      </c>
      <c r="C624">
        <v>2500000</v>
      </c>
      <c r="D624">
        <v>1</v>
      </c>
    </row>
    <row r="625" spans="1:4" x14ac:dyDescent="0.25">
      <c r="A625">
        <v>610</v>
      </c>
      <c r="B625">
        <v>0</v>
      </c>
      <c r="C625">
        <v>0</v>
      </c>
      <c r="D625">
        <v>0</v>
      </c>
    </row>
    <row r="626" spans="1:4" x14ac:dyDescent="0.25">
      <c r="A626">
        <v>611</v>
      </c>
      <c r="B626">
        <v>0</v>
      </c>
      <c r="C626">
        <v>0</v>
      </c>
      <c r="D626">
        <v>0</v>
      </c>
    </row>
    <row r="627" spans="1:4" x14ac:dyDescent="0.25">
      <c r="A627">
        <v>612</v>
      </c>
      <c r="B627">
        <v>0</v>
      </c>
      <c r="C627">
        <v>0</v>
      </c>
      <c r="D627">
        <v>0</v>
      </c>
    </row>
    <row r="628" spans="1:4" x14ac:dyDescent="0.25">
      <c r="A628">
        <v>613</v>
      </c>
      <c r="B628">
        <v>0</v>
      </c>
      <c r="C628">
        <v>0</v>
      </c>
      <c r="D628">
        <v>0</v>
      </c>
    </row>
    <row r="629" spans="1:4" x14ac:dyDescent="0.25">
      <c r="A629">
        <v>614</v>
      </c>
      <c r="B629">
        <v>0</v>
      </c>
      <c r="C629">
        <v>0</v>
      </c>
      <c r="D629">
        <v>0</v>
      </c>
    </row>
    <row r="630" spans="1:4" x14ac:dyDescent="0.25">
      <c r="A630">
        <v>615</v>
      </c>
      <c r="B630">
        <v>0</v>
      </c>
      <c r="C630">
        <v>0</v>
      </c>
      <c r="D630">
        <v>0</v>
      </c>
    </row>
    <row r="631" spans="1:4" x14ac:dyDescent="0.25">
      <c r="A631">
        <v>616</v>
      </c>
      <c r="B631">
        <v>0</v>
      </c>
      <c r="C631">
        <v>0</v>
      </c>
      <c r="D631">
        <v>0</v>
      </c>
    </row>
    <row r="632" spans="1:4" x14ac:dyDescent="0.25">
      <c r="A632">
        <v>617</v>
      </c>
      <c r="B632">
        <v>0</v>
      </c>
      <c r="C632">
        <v>0</v>
      </c>
      <c r="D632">
        <v>0</v>
      </c>
    </row>
    <row r="633" spans="1:4" x14ac:dyDescent="0.25">
      <c r="A633">
        <v>618</v>
      </c>
      <c r="B633">
        <v>0</v>
      </c>
      <c r="C633">
        <v>0</v>
      </c>
      <c r="D633">
        <v>0</v>
      </c>
    </row>
    <row r="634" spans="1:4" x14ac:dyDescent="0.25">
      <c r="A634">
        <v>619</v>
      </c>
      <c r="B634">
        <v>0</v>
      </c>
      <c r="C634">
        <v>0</v>
      </c>
      <c r="D634">
        <v>0</v>
      </c>
    </row>
    <row r="635" spans="1:4" x14ac:dyDescent="0.25">
      <c r="A635">
        <v>620</v>
      </c>
      <c r="B635">
        <v>1000000</v>
      </c>
      <c r="C635">
        <v>1000000</v>
      </c>
      <c r="D635">
        <v>1</v>
      </c>
    </row>
    <row r="636" spans="1:4" x14ac:dyDescent="0.25">
      <c r="A636">
        <v>621</v>
      </c>
      <c r="B636">
        <v>1000000</v>
      </c>
      <c r="C636">
        <v>1000000</v>
      </c>
      <c r="D636">
        <v>1</v>
      </c>
    </row>
    <row r="637" spans="1:4" x14ac:dyDescent="0.25">
      <c r="A637">
        <v>622</v>
      </c>
      <c r="B637">
        <v>0</v>
      </c>
      <c r="C637">
        <v>0</v>
      </c>
      <c r="D637">
        <v>0</v>
      </c>
    </row>
    <row r="638" spans="1:4" x14ac:dyDescent="0.25">
      <c r="A638">
        <v>623</v>
      </c>
      <c r="B638">
        <v>1000000</v>
      </c>
      <c r="C638">
        <v>1000000</v>
      </c>
      <c r="D638">
        <v>1</v>
      </c>
    </row>
    <row r="639" spans="1:4" x14ac:dyDescent="0.25">
      <c r="A639">
        <v>624</v>
      </c>
      <c r="B639">
        <v>0</v>
      </c>
      <c r="C639">
        <v>0</v>
      </c>
      <c r="D639">
        <v>0</v>
      </c>
    </row>
    <row r="640" spans="1:4" x14ac:dyDescent="0.25">
      <c r="A640">
        <v>625</v>
      </c>
      <c r="B640">
        <v>1000000</v>
      </c>
      <c r="C640">
        <v>1000000</v>
      </c>
      <c r="D640">
        <v>1</v>
      </c>
    </row>
    <row r="641" spans="1:4" x14ac:dyDescent="0.25">
      <c r="A641">
        <v>626</v>
      </c>
      <c r="B641">
        <v>1000000</v>
      </c>
      <c r="C641">
        <v>1000000</v>
      </c>
      <c r="D641">
        <v>1</v>
      </c>
    </row>
    <row r="642" spans="1:4" x14ac:dyDescent="0.25">
      <c r="A642">
        <v>627</v>
      </c>
      <c r="B642">
        <v>0</v>
      </c>
      <c r="C642">
        <v>0</v>
      </c>
      <c r="D642">
        <v>0</v>
      </c>
    </row>
    <row r="643" spans="1:4" x14ac:dyDescent="0.25">
      <c r="A643">
        <v>628</v>
      </c>
      <c r="B643">
        <v>0</v>
      </c>
      <c r="C643">
        <v>0</v>
      </c>
      <c r="D643">
        <v>0</v>
      </c>
    </row>
    <row r="644" spans="1:4" x14ac:dyDescent="0.25">
      <c r="A644">
        <v>629</v>
      </c>
      <c r="B644">
        <v>0</v>
      </c>
      <c r="C644">
        <v>0</v>
      </c>
      <c r="D644">
        <v>0</v>
      </c>
    </row>
    <row r="645" spans="1:4" x14ac:dyDescent="0.25">
      <c r="A645">
        <v>630</v>
      </c>
      <c r="B645">
        <v>0</v>
      </c>
      <c r="C645">
        <v>0</v>
      </c>
      <c r="D645">
        <v>0</v>
      </c>
    </row>
    <row r="646" spans="1:4" x14ac:dyDescent="0.25">
      <c r="A646">
        <v>631</v>
      </c>
      <c r="B646">
        <v>0</v>
      </c>
      <c r="C646">
        <v>0</v>
      </c>
      <c r="D646">
        <v>0</v>
      </c>
    </row>
    <row r="647" spans="1:4" x14ac:dyDescent="0.25">
      <c r="A647">
        <v>632</v>
      </c>
      <c r="B647">
        <v>2500000</v>
      </c>
      <c r="C647">
        <v>2500000</v>
      </c>
      <c r="D647">
        <v>1</v>
      </c>
    </row>
    <row r="648" spans="1:4" x14ac:dyDescent="0.25">
      <c r="A648">
        <v>633</v>
      </c>
      <c r="B648">
        <v>0</v>
      </c>
      <c r="C648">
        <v>0</v>
      </c>
      <c r="D648">
        <v>0</v>
      </c>
    </row>
    <row r="649" spans="1:4" x14ac:dyDescent="0.25">
      <c r="A649">
        <v>634</v>
      </c>
      <c r="B649">
        <v>0</v>
      </c>
      <c r="C649">
        <v>0</v>
      </c>
      <c r="D649">
        <v>0</v>
      </c>
    </row>
    <row r="650" spans="1:4" x14ac:dyDescent="0.25">
      <c r="A650">
        <v>635</v>
      </c>
      <c r="B650">
        <v>0</v>
      </c>
      <c r="C650">
        <v>0</v>
      </c>
      <c r="D650">
        <v>0</v>
      </c>
    </row>
    <row r="651" spans="1:4" x14ac:dyDescent="0.25">
      <c r="A651">
        <v>636</v>
      </c>
      <c r="B651">
        <v>0</v>
      </c>
      <c r="C651">
        <v>0</v>
      </c>
      <c r="D651">
        <v>0</v>
      </c>
    </row>
    <row r="652" spans="1:4" x14ac:dyDescent="0.25">
      <c r="A652">
        <v>637</v>
      </c>
      <c r="B652">
        <v>0</v>
      </c>
      <c r="C652">
        <v>0</v>
      </c>
      <c r="D652">
        <v>0</v>
      </c>
    </row>
    <row r="653" spans="1:4" x14ac:dyDescent="0.25">
      <c r="A653">
        <v>638</v>
      </c>
      <c r="B653">
        <v>0</v>
      </c>
      <c r="C653">
        <v>0</v>
      </c>
      <c r="D653">
        <v>0</v>
      </c>
    </row>
    <row r="654" spans="1:4" x14ac:dyDescent="0.25">
      <c r="A654">
        <v>639</v>
      </c>
      <c r="B654">
        <v>0</v>
      </c>
      <c r="C654">
        <v>0</v>
      </c>
      <c r="D654">
        <v>0</v>
      </c>
    </row>
    <row r="655" spans="1:4" x14ac:dyDescent="0.25">
      <c r="A655">
        <v>640</v>
      </c>
      <c r="B655">
        <v>10000000</v>
      </c>
      <c r="C655">
        <v>10000000</v>
      </c>
      <c r="D655">
        <v>1</v>
      </c>
    </row>
    <row r="656" spans="1:4" x14ac:dyDescent="0.25">
      <c r="A656">
        <v>641</v>
      </c>
      <c r="B656">
        <v>0</v>
      </c>
      <c r="C656">
        <v>0</v>
      </c>
      <c r="D656">
        <v>0</v>
      </c>
    </row>
    <row r="657" spans="1:4" x14ac:dyDescent="0.25">
      <c r="A657">
        <v>642</v>
      </c>
      <c r="B657">
        <v>0</v>
      </c>
      <c r="C657">
        <v>0</v>
      </c>
      <c r="D657">
        <v>0</v>
      </c>
    </row>
    <row r="658" spans="1:4" x14ac:dyDescent="0.25">
      <c r="A658">
        <v>643</v>
      </c>
      <c r="B658">
        <v>0</v>
      </c>
      <c r="C658">
        <v>0</v>
      </c>
      <c r="D658">
        <v>0</v>
      </c>
    </row>
    <row r="659" spans="1:4" x14ac:dyDescent="0.25">
      <c r="A659">
        <v>644</v>
      </c>
      <c r="B659">
        <v>0</v>
      </c>
      <c r="C659">
        <v>0</v>
      </c>
      <c r="D659">
        <v>0</v>
      </c>
    </row>
    <row r="660" spans="1:4" x14ac:dyDescent="0.25">
      <c r="A660">
        <v>645</v>
      </c>
      <c r="B660">
        <v>0</v>
      </c>
      <c r="C660">
        <v>0</v>
      </c>
      <c r="D660">
        <v>0</v>
      </c>
    </row>
    <row r="661" spans="1:4" x14ac:dyDescent="0.25">
      <c r="A661">
        <v>646</v>
      </c>
      <c r="B661">
        <v>0</v>
      </c>
      <c r="C661">
        <v>0</v>
      </c>
      <c r="D661">
        <v>0</v>
      </c>
    </row>
    <row r="662" spans="1:4" x14ac:dyDescent="0.25">
      <c r="A662">
        <v>647</v>
      </c>
      <c r="B662">
        <v>0</v>
      </c>
      <c r="C662">
        <v>0</v>
      </c>
      <c r="D662">
        <v>0</v>
      </c>
    </row>
    <row r="663" spans="1:4" x14ac:dyDescent="0.25">
      <c r="A663">
        <v>648</v>
      </c>
      <c r="B663">
        <v>0</v>
      </c>
      <c r="C663">
        <v>0</v>
      </c>
      <c r="D663">
        <v>0</v>
      </c>
    </row>
    <row r="664" spans="1:4" x14ac:dyDescent="0.25">
      <c r="A664">
        <v>649</v>
      </c>
      <c r="B664">
        <v>2500000</v>
      </c>
      <c r="C664">
        <v>2500000</v>
      </c>
      <c r="D664">
        <v>1</v>
      </c>
    </row>
    <row r="665" spans="1:4" x14ac:dyDescent="0.25">
      <c r="A665">
        <v>650</v>
      </c>
      <c r="B665">
        <v>0</v>
      </c>
      <c r="C665">
        <v>0</v>
      </c>
      <c r="D665">
        <v>0</v>
      </c>
    </row>
    <row r="666" spans="1:4" x14ac:dyDescent="0.25">
      <c r="A666">
        <v>651</v>
      </c>
      <c r="B666">
        <v>2500000</v>
      </c>
      <c r="C666">
        <v>2500000</v>
      </c>
      <c r="D666">
        <v>1</v>
      </c>
    </row>
    <row r="667" spans="1:4" x14ac:dyDescent="0.25">
      <c r="A667">
        <v>652</v>
      </c>
      <c r="B667">
        <v>0</v>
      </c>
      <c r="C667">
        <v>0</v>
      </c>
      <c r="D667">
        <v>0</v>
      </c>
    </row>
    <row r="668" spans="1:4" x14ac:dyDescent="0.25">
      <c r="A668">
        <v>653</v>
      </c>
      <c r="B668">
        <v>1000000</v>
      </c>
      <c r="C668">
        <v>1000000</v>
      </c>
      <c r="D668">
        <v>1</v>
      </c>
    </row>
    <row r="669" spans="1:4" x14ac:dyDescent="0.25">
      <c r="A669">
        <v>654</v>
      </c>
      <c r="B669">
        <v>1000000</v>
      </c>
      <c r="C669">
        <v>1000000</v>
      </c>
      <c r="D669">
        <v>1</v>
      </c>
    </row>
    <row r="670" spans="1:4" x14ac:dyDescent="0.25">
      <c r="A670">
        <v>655</v>
      </c>
      <c r="B670">
        <v>0</v>
      </c>
      <c r="C670">
        <v>0</v>
      </c>
      <c r="D670">
        <v>0</v>
      </c>
    </row>
    <row r="671" spans="1:4" x14ac:dyDescent="0.25">
      <c r="A671">
        <v>656</v>
      </c>
      <c r="B671">
        <v>1000000</v>
      </c>
      <c r="C671">
        <v>1000000</v>
      </c>
      <c r="D671">
        <v>1</v>
      </c>
    </row>
    <row r="672" spans="1:4" x14ac:dyDescent="0.25">
      <c r="A672">
        <v>657</v>
      </c>
      <c r="B672">
        <v>0</v>
      </c>
      <c r="C672">
        <v>0</v>
      </c>
      <c r="D672">
        <v>0</v>
      </c>
    </row>
    <row r="673" spans="1:4" x14ac:dyDescent="0.25">
      <c r="A673">
        <v>658</v>
      </c>
      <c r="B673">
        <v>0</v>
      </c>
      <c r="C673">
        <v>0</v>
      </c>
      <c r="D673">
        <v>0</v>
      </c>
    </row>
    <row r="674" spans="1:4" x14ac:dyDescent="0.25">
      <c r="A674">
        <v>659</v>
      </c>
      <c r="B674">
        <v>0</v>
      </c>
      <c r="C674">
        <v>0</v>
      </c>
      <c r="D674">
        <v>0</v>
      </c>
    </row>
    <row r="675" spans="1:4" x14ac:dyDescent="0.25">
      <c r="A675">
        <v>660</v>
      </c>
      <c r="B675">
        <v>3500000</v>
      </c>
      <c r="C675">
        <v>2500000</v>
      </c>
      <c r="D675">
        <v>2</v>
      </c>
    </row>
    <row r="676" spans="1:4" x14ac:dyDescent="0.25">
      <c r="A676">
        <v>661</v>
      </c>
      <c r="B676">
        <v>0</v>
      </c>
      <c r="C676">
        <v>0</v>
      </c>
      <c r="D676">
        <v>0</v>
      </c>
    </row>
    <row r="677" spans="1:4" x14ac:dyDescent="0.25">
      <c r="A677">
        <v>662</v>
      </c>
      <c r="B677">
        <v>0</v>
      </c>
      <c r="C677">
        <v>0</v>
      </c>
      <c r="D677">
        <v>0</v>
      </c>
    </row>
    <row r="678" spans="1:4" x14ac:dyDescent="0.25">
      <c r="A678">
        <v>663</v>
      </c>
      <c r="B678">
        <v>3500000</v>
      </c>
      <c r="C678">
        <v>2500000</v>
      </c>
      <c r="D678">
        <v>2</v>
      </c>
    </row>
    <row r="679" spans="1:4" x14ac:dyDescent="0.25">
      <c r="A679">
        <v>664</v>
      </c>
      <c r="B679">
        <v>2500000</v>
      </c>
      <c r="C679">
        <v>2500000</v>
      </c>
      <c r="D679">
        <v>1</v>
      </c>
    </row>
    <row r="680" spans="1:4" x14ac:dyDescent="0.25">
      <c r="A680">
        <v>665</v>
      </c>
      <c r="B680">
        <v>3500000</v>
      </c>
      <c r="C680">
        <v>2500000</v>
      </c>
      <c r="D680">
        <v>2</v>
      </c>
    </row>
    <row r="681" spans="1:4" x14ac:dyDescent="0.25">
      <c r="A681">
        <v>666</v>
      </c>
      <c r="B681">
        <v>0</v>
      </c>
      <c r="C681">
        <v>0</v>
      </c>
      <c r="D681">
        <v>0</v>
      </c>
    </row>
    <row r="682" spans="1:4" x14ac:dyDescent="0.25">
      <c r="A682">
        <v>667</v>
      </c>
      <c r="B682">
        <v>0</v>
      </c>
      <c r="C682">
        <v>0</v>
      </c>
      <c r="D682">
        <v>0</v>
      </c>
    </row>
    <row r="683" spans="1:4" x14ac:dyDescent="0.25">
      <c r="A683">
        <v>668</v>
      </c>
      <c r="B683">
        <v>0</v>
      </c>
      <c r="C683">
        <v>0</v>
      </c>
      <c r="D683">
        <v>0</v>
      </c>
    </row>
    <row r="684" spans="1:4" x14ac:dyDescent="0.25">
      <c r="A684">
        <v>669</v>
      </c>
      <c r="B684">
        <v>0</v>
      </c>
      <c r="C684">
        <v>0</v>
      </c>
      <c r="D684">
        <v>0</v>
      </c>
    </row>
    <row r="685" spans="1:4" x14ac:dyDescent="0.25">
      <c r="A685">
        <v>670</v>
      </c>
      <c r="B685">
        <v>2500000</v>
      </c>
      <c r="C685">
        <v>2500000</v>
      </c>
      <c r="D685">
        <v>1</v>
      </c>
    </row>
    <row r="686" spans="1:4" x14ac:dyDescent="0.25">
      <c r="A686">
        <v>671</v>
      </c>
      <c r="B686">
        <v>0</v>
      </c>
      <c r="C686">
        <v>0</v>
      </c>
      <c r="D686">
        <v>0</v>
      </c>
    </row>
    <row r="687" spans="1:4" x14ac:dyDescent="0.25">
      <c r="A687">
        <v>672</v>
      </c>
      <c r="B687">
        <v>0</v>
      </c>
      <c r="C687">
        <v>0</v>
      </c>
      <c r="D687">
        <v>0</v>
      </c>
    </row>
    <row r="688" spans="1:4" x14ac:dyDescent="0.25">
      <c r="A688">
        <v>673</v>
      </c>
      <c r="B688">
        <v>0</v>
      </c>
      <c r="C688">
        <v>0</v>
      </c>
      <c r="D688">
        <v>0</v>
      </c>
    </row>
    <row r="689" spans="1:4" x14ac:dyDescent="0.25">
      <c r="A689">
        <v>674</v>
      </c>
      <c r="B689">
        <v>1000000</v>
      </c>
      <c r="C689">
        <v>1000000</v>
      </c>
      <c r="D689">
        <v>1</v>
      </c>
    </row>
    <row r="690" spans="1:4" x14ac:dyDescent="0.25">
      <c r="A690">
        <v>675</v>
      </c>
      <c r="B690">
        <v>0</v>
      </c>
      <c r="C690">
        <v>0</v>
      </c>
      <c r="D690">
        <v>0</v>
      </c>
    </row>
    <row r="691" spans="1:4" x14ac:dyDescent="0.25">
      <c r="A691">
        <v>676</v>
      </c>
      <c r="B691">
        <v>0</v>
      </c>
      <c r="C691">
        <v>0</v>
      </c>
      <c r="D691">
        <v>0</v>
      </c>
    </row>
    <row r="692" spans="1:4" x14ac:dyDescent="0.25">
      <c r="A692">
        <v>677</v>
      </c>
      <c r="B692">
        <v>0</v>
      </c>
      <c r="C692">
        <v>0</v>
      </c>
      <c r="D692">
        <v>0</v>
      </c>
    </row>
    <row r="693" spans="1:4" x14ac:dyDescent="0.25">
      <c r="A693">
        <v>678</v>
      </c>
      <c r="B693">
        <v>0</v>
      </c>
      <c r="C693">
        <v>0</v>
      </c>
      <c r="D693">
        <v>0</v>
      </c>
    </row>
    <row r="694" spans="1:4" x14ac:dyDescent="0.25">
      <c r="A694">
        <v>679</v>
      </c>
      <c r="B694">
        <v>0</v>
      </c>
      <c r="C694">
        <v>0</v>
      </c>
      <c r="D694">
        <v>0</v>
      </c>
    </row>
    <row r="695" spans="1:4" x14ac:dyDescent="0.25">
      <c r="A695">
        <v>680</v>
      </c>
      <c r="B695">
        <v>0</v>
      </c>
      <c r="C695">
        <v>0</v>
      </c>
      <c r="D695">
        <v>0</v>
      </c>
    </row>
    <row r="696" spans="1:4" x14ac:dyDescent="0.25">
      <c r="A696">
        <v>681</v>
      </c>
      <c r="B696">
        <v>1000000</v>
      </c>
      <c r="C696">
        <v>1000000</v>
      </c>
      <c r="D696">
        <v>1</v>
      </c>
    </row>
    <row r="697" spans="1:4" x14ac:dyDescent="0.25">
      <c r="A697">
        <v>682</v>
      </c>
      <c r="B697">
        <v>0</v>
      </c>
      <c r="C697">
        <v>0</v>
      </c>
      <c r="D697">
        <v>0</v>
      </c>
    </row>
    <row r="698" spans="1:4" x14ac:dyDescent="0.25">
      <c r="A698">
        <v>683</v>
      </c>
      <c r="B698">
        <v>0</v>
      </c>
      <c r="C698">
        <v>0</v>
      </c>
      <c r="D698">
        <v>0</v>
      </c>
    </row>
    <row r="699" spans="1:4" x14ac:dyDescent="0.25">
      <c r="A699">
        <v>684</v>
      </c>
      <c r="B699">
        <v>0</v>
      </c>
      <c r="C699">
        <v>0</v>
      </c>
      <c r="D699">
        <v>0</v>
      </c>
    </row>
    <row r="700" spans="1:4" x14ac:dyDescent="0.25">
      <c r="A700">
        <v>685</v>
      </c>
      <c r="B700">
        <v>1000000</v>
      </c>
      <c r="C700">
        <v>1000000</v>
      </c>
      <c r="D700">
        <v>1</v>
      </c>
    </row>
    <row r="701" spans="1:4" x14ac:dyDescent="0.25">
      <c r="A701">
        <v>686</v>
      </c>
      <c r="B701">
        <v>0</v>
      </c>
      <c r="C701">
        <v>0</v>
      </c>
      <c r="D701">
        <v>0</v>
      </c>
    </row>
    <row r="702" spans="1:4" x14ac:dyDescent="0.25">
      <c r="A702">
        <v>687</v>
      </c>
      <c r="B702">
        <v>10000000</v>
      </c>
      <c r="C702">
        <v>10000000</v>
      </c>
      <c r="D702">
        <v>1</v>
      </c>
    </row>
    <row r="703" spans="1:4" x14ac:dyDescent="0.25">
      <c r="A703">
        <v>688</v>
      </c>
      <c r="B703">
        <v>1000000</v>
      </c>
      <c r="C703">
        <v>1000000</v>
      </c>
      <c r="D703">
        <v>1</v>
      </c>
    </row>
    <row r="704" spans="1:4" x14ac:dyDescent="0.25">
      <c r="A704">
        <v>689</v>
      </c>
      <c r="B704">
        <v>0</v>
      </c>
      <c r="C704">
        <v>0</v>
      </c>
      <c r="D704">
        <v>0</v>
      </c>
    </row>
    <row r="705" spans="1:4" x14ac:dyDescent="0.25">
      <c r="A705">
        <v>690</v>
      </c>
      <c r="B705">
        <v>1000000</v>
      </c>
      <c r="C705">
        <v>1000000</v>
      </c>
      <c r="D705">
        <v>1</v>
      </c>
    </row>
    <row r="706" spans="1:4" x14ac:dyDescent="0.25">
      <c r="A706">
        <v>691</v>
      </c>
      <c r="B706">
        <v>0</v>
      </c>
      <c r="C706">
        <v>0</v>
      </c>
      <c r="D706">
        <v>0</v>
      </c>
    </row>
    <row r="707" spans="1:4" x14ac:dyDescent="0.25">
      <c r="A707">
        <v>692</v>
      </c>
      <c r="B707">
        <v>0</v>
      </c>
      <c r="C707">
        <v>0</v>
      </c>
      <c r="D707">
        <v>0</v>
      </c>
    </row>
    <row r="708" spans="1:4" x14ac:dyDescent="0.25">
      <c r="A708">
        <v>693</v>
      </c>
      <c r="B708">
        <v>10000000</v>
      </c>
      <c r="C708">
        <v>10000000</v>
      </c>
      <c r="D708">
        <v>1</v>
      </c>
    </row>
    <row r="709" spans="1:4" x14ac:dyDescent="0.25">
      <c r="A709">
        <v>694</v>
      </c>
      <c r="B709">
        <v>0</v>
      </c>
      <c r="C709">
        <v>0</v>
      </c>
      <c r="D709">
        <v>0</v>
      </c>
    </row>
    <row r="710" spans="1:4" x14ac:dyDescent="0.25">
      <c r="A710">
        <v>695</v>
      </c>
      <c r="B710">
        <v>12500000</v>
      </c>
      <c r="C710">
        <v>10000000</v>
      </c>
      <c r="D710">
        <v>2</v>
      </c>
    </row>
    <row r="711" spans="1:4" x14ac:dyDescent="0.25">
      <c r="A711">
        <v>696</v>
      </c>
      <c r="B711">
        <v>0</v>
      </c>
      <c r="C711">
        <v>0</v>
      </c>
      <c r="D711">
        <v>0</v>
      </c>
    </row>
    <row r="712" spans="1:4" x14ac:dyDescent="0.25">
      <c r="A712">
        <v>697</v>
      </c>
      <c r="B712">
        <v>2500000</v>
      </c>
      <c r="C712">
        <v>2500000</v>
      </c>
      <c r="D712">
        <v>1</v>
      </c>
    </row>
    <row r="713" spans="1:4" x14ac:dyDescent="0.25">
      <c r="A713">
        <v>698</v>
      </c>
      <c r="B713">
        <v>3500000</v>
      </c>
      <c r="C713">
        <v>2500000</v>
      </c>
      <c r="D713">
        <v>2</v>
      </c>
    </row>
    <row r="714" spans="1:4" x14ac:dyDescent="0.25">
      <c r="A714">
        <v>699</v>
      </c>
      <c r="B714">
        <v>0</v>
      </c>
      <c r="C714">
        <v>0</v>
      </c>
      <c r="D714">
        <v>0</v>
      </c>
    </row>
    <row r="715" spans="1:4" x14ac:dyDescent="0.25">
      <c r="A715">
        <v>700</v>
      </c>
      <c r="B715">
        <v>0</v>
      </c>
      <c r="C715">
        <v>0</v>
      </c>
      <c r="D715">
        <v>0</v>
      </c>
    </row>
    <row r="716" spans="1:4" x14ac:dyDescent="0.25">
      <c r="A716">
        <v>701</v>
      </c>
      <c r="B716">
        <v>0</v>
      </c>
      <c r="C716">
        <v>0</v>
      </c>
      <c r="D716">
        <v>0</v>
      </c>
    </row>
    <row r="717" spans="1:4" x14ac:dyDescent="0.25">
      <c r="A717">
        <v>702</v>
      </c>
      <c r="B717">
        <v>0</v>
      </c>
      <c r="C717">
        <v>0</v>
      </c>
      <c r="D717">
        <v>0</v>
      </c>
    </row>
    <row r="718" spans="1:4" x14ac:dyDescent="0.25">
      <c r="A718">
        <v>703</v>
      </c>
      <c r="B718">
        <v>0</v>
      </c>
      <c r="C718">
        <v>0</v>
      </c>
      <c r="D718">
        <v>0</v>
      </c>
    </row>
    <row r="719" spans="1:4" x14ac:dyDescent="0.25">
      <c r="A719">
        <v>704</v>
      </c>
      <c r="B719">
        <v>0</v>
      </c>
      <c r="C719">
        <v>0</v>
      </c>
      <c r="D719">
        <v>0</v>
      </c>
    </row>
    <row r="720" spans="1:4" x14ac:dyDescent="0.25">
      <c r="A720">
        <v>705</v>
      </c>
      <c r="B720">
        <v>0</v>
      </c>
      <c r="C720">
        <v>0</v>
      </c>
      <c r="D720">
        <v>0</v>
      </c>
    </row>
    <row r="721" spans="1:4" x14ac:dyDescent="0.25">
      <c r="A721">
        <v>706</v>
      </c>
      <c r="B721">
        <v>0</v>
      </c>
      <c r="C721">
        <v>0</v>
      </c>
      <c r="D721">
        <v>0</v>
      </c>
    </row>
    <row r="722" spans="1:4" x14ac:dyDescent="0.25">
      <c r="A722">
        <v>707</v>
      </c>
      <c r="B722">
        <v>2500000</v>
      </c>
      <c r="C722">
        <v>2500000</v>
      </c>
      <c r="D722">
        <v>1</v>
      </c>
    </row>
    <row r="723" spans="1:4" x14ac:dyDescent="0.25">
      <c r="A723">
        <v>708</v>
      </c>
      <c r="B723">
        <v>0</v>
      </c>
      <c r="C723">
        <v>0</v>
      </c>
      <c r="D723">
        <v>0</v>
      </c>
    </row>
    <row r="724" spans="1:4" x14ac:dyDescent="0.25">
      <c r="A724">
        <v>709</v>
      </c>
      <c r="B724">
        <v>0</v>
      </c>
      <c r="C724">
        <v>0</v>
      </c>
      <c r="D724">
        <v>0</v>
      </c>
    </row>
    <row r="725" spans="1:4" x14ac:dyDescent="0.25">
      <c r="A725">
        <v>710</v>
      </c>
      <c r="B725">
        <v>1000000</v>
      </c>
      <c r="C725">
        <v>1000000</v>
      </c>
      <c r="D725">
        <v>1</v>
      </c>
    </row>
    <row r="726" spans="1:4" x14ac:dyDescent="0.25">
      <c r="A726">
        <v>711</v>
      </c>
      <c r="B726">
        <v>0</v>
      </c>
      <c r="C726">
        <v>0</v>
      </c>
      <c r="D726">
        <v>0</v>
      </c>
    </row>
    <row r="727" spans="1:4" x14ac:dyDescent="0.25">
      <c r="A727">
        <v>712</v>
      </c>
      <c r="B727">
        <v>2500000</v>
      </c>
      <c r="C727">
        <v>2500000</v>
      </c>
      <c r="D727">
        <v>1</v>
      </c>
    </row>
    <row r="728" spans="1:4" x14ac:dyDescent="0.25">
      <c r="A728">
        <v>713</v>
      </c>
      <c r="B728">
        <v>0</v>
      </c>
      <c r="C728">
        <v>0</v>
      </c>
      <c r="D728">
        <v>0</v>
      </c>
    </row>
    <row r="729" spans="1:4" x14ac:dyDescent="0.25">
      <c r="A729">
        <v>714</v>
      </c>
      <c r="B729">
        <v>0</v>
      </c>
      <c r="C729">
        <v>0</v>
      </c>
      <c r="D729">
        <v>0</v>
      </c>
    </row>
    <row r="730" spans="1:4" x14ac:dyDescent="0.25">
      <c r="A730">
        <v>715</v>
      </c>
      <c r="B730">
        <v>0</v>
      </c>
      <c r="C730">
        <v>0</v>
      </c>
      <c r="D730">
        <v>0</v>
      </c>
    </row>
    <row r="731" spans="1:4" x14ac:dyDescent="0.25">
      <c r="A731">
        <v>716</v>
      </c>
      <c r="B731">
        <v>5000000</v>
      </c>
      <c r="C731">
        <v>2500000</v>
      </c>
      <c r="D731">
        <v>2</v>
      </c>
    </row>
    <row r="732" spans="1:4" x14ac:dyDescent="0.25">
      <c r="A732">
        <v>717</v>
      </c>
      <c r="B732">
        <v>0</v>
      </c>
      <c r="C732">
        <v>0</v>
      </c>
      <c r="D732">
        <v>0</v>
      </c>
    </row>
    <row r="733" spans="1:4" x14ac:dyDescent="0.25">
      <c r="A733">
        <v>718</v>
      </c>
      <c r="B733">
        <v>2500000</v>
      </c>
      <c r="C733">
        <v>2500000</v>
      </c>
      <c r="D733">
        <v>1</v>
      </c>
    </row>
    <row r="734" spans="1:4" x14ac:dyDescent="0.25">
      <c r="A734">
        <v>719</v>
      </c>
      <c r="B734">
        <v>0</v>
      </c>
      <c r="C734">
        <v>0</v>
      </c>
      <c r="D734">
        <v>0</v>
      </c>
    </row>
    <row r="735" spans="1:4" x14ac:dyDescent="0.25">
      <c r="A735">
        <v>720</v>
      </c>
      <c r="B735">
        <v>0</v>
      </c>
      <c r="C735">
        <v>0</v>
      </c>
      <c r="D735">
        <v>0</v>
      </c>
    </row>
    <row r="736" spans="1:4" x14ac:dyDescent="0.25">
      <c r="A736">
        <v>721</v>
      </c>
      <c r="B736">
        <v>1000000</v>
      </c>
      <c r="C736">
        <v>1000000</v>
      </c>
      <c r="D736">
        <v>1</v>
      </c>
    </row>
    <row r="737" spans="1:4" x14ac:dyDescent="0.25">
      <c r="A737">
        <v>722</v>
      </c>
      <c r="B737">
        <v>1000000</v>
      </c>
      <c r="C737">
        <v>1000000</v>
      </c>
      <c r="D737">
        <v>1</v>
      </c>
    </row>
    <row r="738" spans="1:4" x14ac:dyDescent="0.25">
      <c r="A738">
        <v>723</v>
      </c>
      <c r="B738">
        <v>0</v>
      </c>
      <c r="C738">
        <v>0</v>
      </c>
      <c r="D738">
        <v>0</v>
      </c>
    </row>
    <row r="739" spans="1:4" x14ac:dyDescent="0.25">
      <c r="A739">
        <v>724</v>
      </c>
      <c r="B739">
        <v>0</v>
      </c>
      <c r="C739">
        <v>0</v>
      </c>
      <c r="D739">
        <v>0</v>
      </c>
    </row>
    <row r="740" spans="1:4" x14ac:dyDescent="0.25">
      <c r="A740">
        <v>725</v>
      </c>
      <c r="B740">
        <v>2000000</v>
      </c>
      <c r="C740">
        <v>1000000</v>
      </c>
      <c r="D740">
        <v>2</v>
      </c>
    </row>
    <row r="741" spans="1:4" x14ac:dyDescent="0.25">
      <c r="A741">
        <v>726</v>
      </c>
      <c r="B741">
        <v>1000000</v>
      </c>
      <c r="C741">
        <v>1000000</v>
      </c>
      <c r="D741">
        <v>1</v>
      </c>
    </row>
    <row r="742" spans="1:4" x14ac:dyDescent="0.25">
      <c r="A742">
        <v>727</v>
      </c>
      <c r="B742">
        <v>0</v>
      </c>
      <c r="C742">
        <v>0</v>
      </c>
      <c r="D742">
        <v>0</v>
      </c>
    </row>
    <row r="743" spans="1:4" x14ac:dyDescent="0.25">
      <c r="A743">
        <v>728</v>
      </c>
      <c r="B743">
        <v>0</v>
      </c>
      <c r="C743">
        <v>0</v>
      </c>
      <c r="D743">
        <v>0</v>
      </c>
    </row>
    <row r="744" spans="1:4" x14ac:dyDescent="0.25">
      <c r="A744">
        <v>729</v>
      </c>
      <c r="B744">
        <v>0</v>
      </c>
      <c r="C744">
        <v>0</v>
      </c>
      <c r="D744">
        <v>0</v>
      </c>
    </row>
    <row r="745" spans="1:4" x14ac:dyDescent="0.25">
      <c r="A745">
        <v>730</v>
      </c>
      <c r="B745">
        <v>1000000</v>
      </c>
      <c r="C745">
        <v>1000000</v>
      </c>
      <c r="D745">
        <v>1</v>
      </c>
    </row>
    <row r="746" spans="1:4" x14ac:dyDescent="0.25">
      <c r="A746">
        <v>731</v>
      </c>
      <c r="B746">
        <v>0</v>
      </c>
      <c r="C746">
        <v>0</v>
      </c>
      <c r="D746">
        <v>0</v>
      </c>
    </row>
    <row r="747" spans="1:4" x14ac:dyDescent="0.25">
      <c r="A747">
        <v>732</v>
      </c>
      <c r="B747">
        <v>0</v>
      </c>
      <c r="C747">
        <v>0</v>
      </c>
      <c r="D747">
        <v>0</v>
      </c>
    </row>
    <row r="748" spans="1:4" x14ac:dyDescent="0.25">
      <c r="A748">
        <v>733</v>
      </c>
      <c r="B748">
        <v>0</v>
      </c>
      <c r="C748">
        <v>0</v>
      </c>
      <c r="D748">
        <v>0</v>
      </c>
    </row>
    <row r="749" spans="1:4" x14ac:dyDescent="0.25">
      <c r="A749">
        <v>734</v>
      </c>
      <c r="B749">
        <v>0</v>
      </c>
      <c r="C749">
        <v>0</v>
      </c>
      <c r="D749">
        <v>0</v>
      </c>
    </row>
    <row r="750" spans="1:4" x14ac:dyDescent="0.25">
      <c r="A750">
        <v>735</v>
      </c>
      <c r="B750">
        <v>1000000</v>
      </c>
      <c r="C750">
        <v>1000000</v>
      </c>
      <c r="D750">
        <v>1</v>
      </c>
    </row>
    <row r="751" spans="1:4" x14ac:dyDescent="0.25">
      <c r="A751">
        <v>736</v>
      </c>
      <c r="B751">
        <v>0</v>
      </c>
      <c r="C751">
        <v>0</v>
      </c>
      <c r="D751">
        <v>0</v>
      </c>
    </row>
    <row r="752" spans="1:4" x14ac:dyDescent="0.25">
      <c r="A752">
        <v>737</v>
      </c>
      <c r="B752">
        <v>0</v>
      </c>
      <c r="C752">
        <v>0</v>
      </c>
      <c r="D752">
        <v>0</v>
      </c>
    </row>
    <row r="753" spans="1:4" x14ac:dyDescent="0.25">
      <c r="A753">
        <v>738</v>
      </c>
      <c r="B753">
        <v>3500000</v>
      </c>
      <c r="C753">
        <v>2500000</v>
      </c>
      <c r="D753">
        <v>2</v>
      </c>
    </row>
    <row r="754" spans="1:4" x14ac:dyDescent="0.25">
      <c r="A754">
        <v>739</v>
      </c>
      <c r="B754">
        <v>22000000</v>
      </c>
      <c r="C754">
        <v>10000000</v>
      </c>
      <c r="D754">
        <v>4</v>
      </c>
    </row>
    <row r="755" spans="1:4" x14ac:dyDescent="0.25">
      <c r="A755">
        <v>740</v>
      </c>
      <c r="B755">
        <v>0</v>
      </c>
      <c r="C755">
        <v>0</v>
      </c>
      <c r="D755">
        <v>0</v>
      </c>
    </row>
    <row r="756" spans="1:4" x14ac:dyDescent="0.25">
      <c r="A756">
        <v>741</v>
      </c>
      <c r="B756">
        <v>0</v>
      </c>
      <c r="C756">
        <v>0</v>
      </c>
      <c r="D756">
        <v>0</v>
      </c>
    </row>
    <row r="757" spans="1:4" x14ac:dyDescent="0.25">
      <c r="A757">
        <v>742</v>
      </c>
      <c r="B757">
        <v>1000000</v>
      </c>
      <c r="C757">
        <v>1000000</v>
      </c>
      <c r="D757">
        <v>1</v>
      </c>
    </row>
    <row r="758" spans="1:4" x14ac:dyDescent="0.25">
      <c r="A758">
        <v>743</v>
      </c>
      <c r="B758">
        <v>0</v>
      </c>
      <c r="C758">
        <v>0</v>
      </c>
      <c r="D758">
        <v>0</v>
      </c>
    </row>
    <row r="759" spans="1:4" x14ac:dyDescent="0.25">
      <c r="A759">
        <v>744</v>
      </c>
      <c r="B759">
        <v>0</v>
      </c>
      <c r="C759">
        <v>0</v>
      </c>
      <c r="D759">
        <v>0</v>
      </c>
    </row>
    <row r="760" spans="1:4" x14ac:dyDescent="0.25">
      <c r="A760">
        <v>745</v>
      </c>
      <c r="B760">
        <v>0</v>
      </c>
      <c r="C760">
        <v>0</v>
      </c>
      <c r="D760">
        <v>0</v>
      </c>
    </row>
    <row r="761" spans="1:4" x14ac:dyDescent="0.25">
      <c r="A761">
        <v>746</v>
      </c>
      <c r="B761">
        <v>0</v>
      </c>
      <c r="C761">
        <v>0</v>
      </c>
      <c r="D761">
        <v>0</v>
      </c>
    </row>
    <row r="762" spans="1:4" x14ac:dyDescent="0.25">
      <c r="A762">
        <v>747</v>
      </c>
      <c r="B762">
        <v>0</v>
      </c>
      <c r="C762">
        <v>0</v>
      </c>
      <c r="D762">
        <v>0</v>
      </c>
    </row>
    <row r="763" spans="1:4" x14ac:dyDescent="0.25">
      <c r="A763">
        <v>748</v>
      </c>
      <c r="B763">
        <v>0</v>
      </c>
      <c r="C763">
        <v>0</v>
      </c>
      <c r="D763">
        <v>0</v>
      </c>
    </row>
    <row r="764" spans="1:4" x14ac:dyDescent="0.25">
      <c r="A764">
        <v>749</v>
      </c>
      <c r="B764">
        <v>1000000</v>
      </c>
      <c r="C764">
        <v>1000000</v>
      </c>
      <c r="D764">
        <v>1</v>
      </c>
    </row>
    <row r="765" spans="1:4" x14ac:dyDescent="0.25">
      <c r="A765">
        <v>750</v>
      </c>
      <c r="B765">
        <v>0</v>
      </c>
      <c r="C765">
        <v>0</v>
      </c>
      <c r="D765">
        <v>0</v>
      </c>
    </row>
    <row r="766" spans="1:4" x14ac:dyDescent="0.25">
      <c r="A766">
        <v>751</v>
      </c>
      <c r="B766">
        <v>0</v>
      </c>
      <c r="C766">
        <v>0</v>
      </c>
      <c r="D766">
        <v>0</v>
      </c>
    </row>
    <row r="767" spans="1:4" x14ac:dyDescent="0.25">
      <c r="A767">
        <v>752</v>
      </c>
      <c r="B767">
        <v>0</v>
      </c>
      <c r="C767">
        <v>0</v>
      </c>
      <c r="D767">
        <v>0</v>
      </c>
    </row>
    <row r="768" spans="1:4" x14ac:dyDescent="0.25">
      <c r="A768">
        <v>753</v>
      </c>
      <c r="B768">
        <v>0</v>
      </c>
      <c r="C768">
        <v>0</v>
      </c>
      <c r="D768">
        <v>0</v>
      </c>
    </row>
    <row r="769" spans="1:4" x14ac:dyDescent="0.25">
      <c r="A769">
        <v>754</v>
      </c>
      <c r="B769">
        <v>0</v>
      </c>
      <c r="C769">
        <v>0</v>
      </c>
      <c r="D769">
        <v>0</v>
      </c>
    </row>
    <row r="770" spans="1:4" x14ac:dyDescent="0.25">
      <c r="A770">
        <v>755</v>
      </c>
      <c r="B770">
        <v>0</v>
      </c>
      <c r="C770">
        <v>0</v>
      </c>
      <c r="D770">
        <v>0</v>
      </c>
    </row>
    <row r="771" spans="1:4" x14ac:dyDescent="0.25">
      <c r="A771">
        <v>756</v>
      </c>
      <c r="B771">
        <v>2500000</v>
      </c>
      <c r="C771">
        <v>2500000</v>
      </c>
      <c r="D771">
        <v>1</v>
      </c>
    </row>
    <row r="772" spans="1:4" x14ac:dyDescent="0.25">
      <c r="A772">
        <v>757</v>
      </c>
      <c r="B772">
        <v>0</v>
      </c>
      <c r="C772">
        <v>0</v>
      </c>
      <c r="D772">
        <v>0</v>
      </c>
    </row>
    <row r="773" spans="1:4" x14ac:dyDescent="0.25">
      <c r="A773">
        <v>758</v>
      </c>
      <c r="B773">
        <v>0</v>
      </c>
      <c r="C773">
        <v>0</v>
      </c>
      <c r="D773">
        <v>0</v>
      </c>
    </row>
    <row r="774" spans="1:4" x14ac:dyDescent="0.25">
      <c r="A774">
        <v>759</v>
      </c>
      <c r="B774">
        <v>1000000</v>
      </c>
      <c r="C774">
        <v>1000000</v>
      </c>
      <c r="D774">
        <v>1</v>
      </c>
    </row>
    <row r="775" spans="1:4" x14ac:dyDescent="0.25">
      <c r="A775">
        <v>760</v>
      </c>
      <c r="B775">
        <v>1000000</v>
      </c>
      <c r="C775">
        <v>1000000</v>
      </c>
      <c r="D775">
        <v>1</v>
      </c>
    </row>
    <row r="776" spans="1:4" x14ac:dyDescent="0.25">
      <c r="A776">
        <v>761</v>
      </c>
      <c r="B776">
        <v>0</v>
      </c>
      <c r="C776">
        <v>0</v>
      </c>
      <c r="D776">
        <v>0</v>
      </c>
    </row>
    <row r="777" spans="1:4" x14ac:dyDescent="0.25">
      <c r="A777">
        <v>762</v>
      </c>
      <c r="B777">
        <v>5000000</v>
      </c>
      <c r="C777">
        <v>2500000</v>
      </c>
      <c r="D777">
        <v>2</v>
      </c>
    </row>
    <row r="778" spans="1:4" x14ac:dyDescent="0.25">
      <c r="A778">
        <v>763</v>
      </c>
      <c r="B778">
        <v>0</v>
      </c>
      <c r="C778">
        <v>0</v>
      </c>
      <c r="D778">
        <v>0</v>
      </c>
    </row>
    <row r="779" spans="1:4" x14ac:dyDescent="0.25">
      <c r="A779">
        <v>764</v>
      </c>
      <c r="B779">
        <v>1000000</v>
      </c>
      <c r="C779">
        <v>1000000</v>
      </c>
      <c r="D779">
        <v>1</v>
      </c>
    </row>
    <row r="780" spans="1:4" x14ac:dyDescent="0.25">
      <c r="A780">
        <v>765</v>
      </c>
      <c r="B780">
        <v>0</v>
      </c>
      <c r="C780">
        <v>0</v>
      </c>
      <c r="D780">
        <v>0</v>
      </c>
    </row>
    <row r="781" spans="1:4" x14ac:dyDescent="0.25">
      <c r="A781">
        <v>766</v>
      </c>
      <c r="B781">
        <v>0</v>
      </c>
      <c r="C781">
        <v>0</v>
      </c>
      <c r="D781">
        <v>0</v>
      </c>
    </row>
    <row r="782" spans="1:4" x14ac:dyDescent="0.25">
      <c r="A782">
        <v>767</v>
      </c>
      <c r="B782">
        <v>0</v>
      </c>
      <c r="C782">
        <v>0</v>
      </c>
      <c r="D782">
        <v>0</v>
      </c>
    </row>
    <row r="783" spans="1:4" x14ac:dyDescent="0.25">
      <c r="A783">
        <v>768</v>
      </c>
      <c r="B783">
        <v>0</v>
      </c>
      <c r="C783">
        <v>0</v>
      </c>
      <c r="D783">
        <v>0</v>
      </c>
    </row>
    <row r="784" spans="1:4" x14ac:dyDescent="0.25">
      <c r="A784">
        <v>769</v>
      </c>
      <c r="B784">
        <v>2500000</v>
      </c>
      <c r="C784">
        <v>2500000</v>
      </c>
      <c r="D784">
        <v>1</v>
      </c>
    </row>
    <row r="785" spans="1:4" x14ac:dyDescent="0.25">
      <c r="A785">
        <v>770</v>
      </c>
      <c r="B785">
        <v>0</v>
      </c>
      <c r="C785">
        <v>0</v>
      </c>
      <c r="D785">
        <v>0</v>
      </c>
    </row>
    <row r="786" spans="1:4" x14ac:dyDescent="0.25">
      <c r="A786">
        <v>771</v>
      </c>
      <c r="B786">
        <v>15000000</v>
      </c>
      <c r="C786">
        <v>10000000</v>
      </c>
      <c r="D786">
        <v>3</v>
      </c>
    </row>
    <row r="787" spans="1:4" x14ac:dyDescent="0.25">
      <c r="A787">
        <v>772</v>
      </c>
      <c r="B787">
        <v>1000000</v>
      </c>
      <c r="C787">
        <v>1000000</v>
      </c>
      <c r="D787">
        <v>1</v>
      </c>
    </row>
    <row r="788" spans="1:4" x14ac:dyDescent="0.25">
      <c r="A788">
        <v>773</v>
      </c>
      <c r="B788">
        <v>0</v>
      </c>
      <c r="C788">
        <v>0</v>
      </c>
      <c r="D788">
        <v>0</v>
      </c>
    </row>
    <row r="789" spans="1:4" x14ac:dyDescent="0.25">
      <c r="A789">
        <v>774</v>
      </c>
      <c r="B789">
        <v>0</v>
      </c>
      <c r="C789">
        <v>0</v>
      </c>
      <c r="D789">
        <v>0</v>
      </c>
    </row>
    <row r="790" spans="1:4" x14ac:dyDescent="0.25">
      <c r="A790">
        <v>775</v>
      </c>
      <c r="B790">
        <v>0</v>
      </c>
      <c r="C790">
        <v>0</v>
      </c>
      <c r="D790">
        <v>0</v>
      </c>
    </row>
    <row r="791" spans="1:4" x14ac:dyDescent="0.25">
      <c r="A791">
        <v>776</v>
      </c>
      <c r="B791">
        <v>0</v>
      </c>
      <c r="C791">
        <v>0</v>
      </c>
      <c r="D791">
        <v>0</v>
      </c>
    </row>
    <row r="792" spans="1:4" x14ac:dyDescent="0.25">
      <c r="A792">
        <v>777</v>
      </c>
      <c r="B792">
        <v>0</v>
      </c>
      <c r="C792">
        <v>0</v>
      </c>
      <c r="D792">
        <v>0</v>
      </c>
    </row>
    <row r="793" spans="1:4" x14ac:dyDescent="0.25">
      <c r="A793">
        <v>778</v>
      </c>
      <c r="B793">
        <v>1000000</v>
      </c>
      <c r="C793">
        <v>1000000</v>
      </c>
      <c r="D793">
        <v>1</v>
      </c>
    </row>
    <row r="794" spans="1:4" x14ac:dyDescent="0.25">
      <c r="A794">
        <v>779</v>
      </c>
      <c r="B794">
        <v>0</v>
      </c>
      <c r="C794">
        <v>0</v>
      </c>
      <c r="D794">
        <v>0</v>
      </c>
    </row>
    <row r="795" spans="1:4" x14ac:dyDescent="0.25">
      <c r="A795">
        <v>780</v>
      </c>
      <c r="B795">
        <v>0</v>
      </c>
      <c r="C795">
        <v>0</v>
      </c>
      <c r="D795">
        <v>0</v>
      </c>
    </row>
    <row r="796" spans="1:4" x14ac:dyDescent="0.25">
      <c r="A796">
        <v>781</v>
      </c>
      <c r="B796">
        <v>10000000</v>
      </c>
      <c r="C796">
        <v>10000000</v>
      </c>
      <c r="D796">
        <v>1</v>
      </c>
    </row>
    <row r="797" spans="1:4" x14ac:dyDescent="0.25">
      <c r="A797">
        <v>782</v>
      </c>
      <c r="B797">
        <v>0</v>
      </c>
      <c r="C797">
        <v>0</v>
      </c>
      <c r="D797">
        <v>0</v>
      </c>
    </row>
    <row r="798" spans="1:4" x14ac:dyDescent="0.25">
      <c r="A798">
        <v>783</v>
      </c>
      <c r="B798">
        <v>10000000</v>
      </c>
      <c r="C798">
        <v>10000000</v>
      </c>
      <c r="D798">
        <v>1</v>
      </c>
    </row>
    <row r="799" spans="1:4" x14ac:dyDescent="0.25">
      <c r="A799">
        <v>784</v>
      </c>
      <c r="B799">
        <v>0</v>
      </c>
      <c r="C799">
        <v>0</v>
      </c>
      <c r="D799">
        <v>0</v>
      </c>
    </row>
    <row r="800" spans="1:4" x14ac:dyDescent="0.25">
      <c r="A800">
        <v>785</v>
      </c>
      <c r="B800">
        <v>0</v>
      </c>
      <c r="C800">
        <v>0</v>
      </c>
      <c r="D800">
        <v>0</v>
      </c>
    </row>
    <row r="801" spans="1:4" x14ac:dyDescent="0.25">
      <c r="A801">
        <v>786</v>
      </c>
      <c r="B801">
        <v>0</v>
      </c>
      <c r="C801">
        <v>0</v>
      </c>
      <c r="D801">
        <v>0</v>
      </c>
    </row>
    <row r="802" spans="1:4" x14ac:dyDescent="0.25">
      <c r="A802">
        <v>787</v>
      </c>
      <c r="B802">
        <v>0</v>
      </c>
      <c r="C802">
        <v>0</v>
      </c>
      <c r="D802">
        <v>0</v>
      </c>
    </row>
    <row r="803" spans="1:4" x14ac:dyDescent="0.25">
      <c r="A803">
        <v>788</v>
      </c>
      <c r="B803">
        <v>0</v>
      </c>
      <c r="C803">
        <v>0</v>
      </c>
      <c r="D803">
        <v>0</v>
      </c>
    </row>
    <row r="804" spans="1:4" x14ac:dyDescent="0.25">
      <c r="A804">
        <v>789</v>
      </c>
      <c r="B804">
        <v>10000000</v>
      </c>
      <c r="C804">
        <v>10000000</v>
      </c>
      <c r="D804">
        <v>1</v>
      </c>
    </row>
    <row r="805" spans="1:4" x14ac:dyDescent="0.25">
      <c r="A805">
        <v>790</v>
      </c>
      <c r="B805">
        <v>0</v>
      </c>
      <c r="C805">
        <v>0</v>
      </c>
      <c r="D805">
        <v>0</v>
      </c>
    </row>
    <row r="806" spans="1:4" x14ac:dyDescent="0.25">
      <c r="A806">
        <v>791</v>
      </c>
      <c r="B806">
        <v>0</v>
      </c>
      <c r="C806">
        <v>0</v>
      </c>
      <c r="D806">
        <v>0</v>
      </c>
    </row>
    <row r="807" spans="1:4" x14ac:dyDescent="0.25">
      <c r="A807">
        <v>792</v>
      </c>
      <c r="B807">
        <v>0</v>
      </c>
      <c r="C807">
        <v>0</v>
      </c>
      <c r="D807">
        <v>0</v>
      </c>
    </row>
    <row r="808" spans="1:4" x14ac:dyDescent="0.25">
      <c r="A808">
        <v>793</v>
      </c>
      <c r="B808">
        <v>3500000</v>
      </c>
      <c r="C808">
        <v>2500000</v>
      </c>
      <c r="D808">
        <v>2</v>
      </c>
    </row>
    <row r="809" spans="1:4" x14ac:dyDescent="0.25">
      <c r="A809">
        <v>794</v>
      </c>
      <c r="B809">
        <v>0</v>
      </c>
      <c r="C809">
        <v>0</v>
      </c>
      <c r="D809">
        <v>0</v>
      </c>
    </row>
    <row r="810" spans="1:4" x14ac:dyDescent="0.25">
      <c r="A810">
        <v>795</v>
      </c>
      <c r="B810">
        <v>0</v>
      </c>
      <c r="C810">
        <v>0</v>
      </c>
      <c r="D810">
        <v>0</v>
      </c>
    </row>
    <row r="811" spans="1:4" x14ac:dyDescent="0.25">
      <c r="A811">
        <v>796</v>
      </c>
      <c r="B811">
        <v>2000000</v>
      </c>
      <c r="C811">
        <v>1000000</v>
      </c>
      <c r="D811">
        <v>2</v>
      </c>
    </row>
    <row r="812" spans="1:4" x14ac:dyDescent="0.25">
      <c r="A812">
        <v>797</v>
      </c>
      <c r="B812">
        <v>0</v>
      </c>
      <c r="C812">
        <v>0</v>
      </c>
      <c r="D812">
        <v>0</v>
      </c>
    </row>
    <row r="813" spans="1:4" x14ac:dyDescent="0.25">
      <c r="A813">
        <v>798</v>
      </c>
      <c r="B813">
        <v>0</v>
      </c>
      <c r="C813">
        <v>0</v>
      </c>
      <c r="D813">
        <v>0</v>
      </c>
    </row>
    <row r="814" spans="1:4" x14ac:dyDescent="0.25">
      <c r="A814">
        <v>799</v>
      </c>
      <c r="B814">
        <v>0</v>
      </c>
      <c r="C814">
        <v>0</v>
      </c>
      <c r="D814">
        <v>0</v>
      </c>
    </row>
    <row r="815" spans="1:4" x14ac:dyDescent="0.25">
      <c r="A815">
        <v>800</v>
      </c>
      <c r="B815">
        <v>2500000</v>
      </c>
      <c r="C815">
        <v>2500000</v>
      </c>
      <c r="D815">
        <v>1</v>
      </c>
    </row>
    <row r="816" spans="1:4" x14ac:dyDescent="0.25">
      <c r="A816">
        <v>801</v>
      </c>
      <c r="B816">
        <v>0</v>
      </c>
      <c r="C816">
        <v>0</v>
      </c>
      <c r="D816">
        <v>0</v>
      </c>
    </row>
    <row r="817" spans="1:4" x14ac:dyDescent="0.25">
      <c r="A817">
        <v>802</v>
      </c>
      <c r="B817">
        <v>0</v>
      </c>
      <c r="C817">
        <v>0</v>
      </c>
      <c r="D817">
        <v>0</v>
      </c>
    </row>
    <row r="818" spans="1:4" x14ac:dyDescent="0.25">
      <c r="A818">
        <v>803</v>
      </c>
      <c r="B818">
        <v>3500000</v>
      </c>
      <c r="C818">
        <v>2500000</v>
      </c>
      <c r="D818">
        <v>2</v>
      </c>
    </row>
    <row r="819" spans="1:4" x14ac:dyDescent="0.25">
      <c r="A819">
        <v>804</v>
      </c>
      <c r="B819">
        <v>0</v>
      </c>
      <c r="C819">
        <v>0</v>
      </c>
      <c r="D819">
        <v>0</v>
      </c>
    </row>
    <row r="820" spans="1:4" x14ac:dyDescent="0.25">
      <c r="A820">
        <v>805</v>
      </c>
      <c r="B820">
        <v>0</v>
      </c>
      <c r="C820">
        <v>0</v>
      </c>
      <c r="D820">
        <v>0</v>
      </c>
    </row>
    <row r="821" spans="1:4" x14ac:dyDescent="0.25">
      <c r="A821">
        <v>806</v>
      </c>
      <c r="B821">
        <v>0</v>
      </c>
      <c r="C821">
        <v>0</v>
      </c>
      <c r="D821">
        <v>0</v>
      </c>
    </row>
    <row r="822" spans="1:4" x14ac:dyDescent="0.25">
      <c r="A822">
        <v>807</v>
      </c>
      <c r="B822">
        <v>1000000</v>
      </c>
      <c r="C822">
        <v>1000000</v>
      </c>
      <c r="D822">
        <v>1</v>
      </c>
    </row>
    <row r="823" spans="1:4" x14ac:dyDescent="0.25">
      <c r="A823">
        <v>808</v>
      </c>
      <c r="B823">
        <v>2500000</v>
      </c>
      <c r="C823">
        <v>2500000</v>
      </c>
      <c r="D823">
        <v>1</v>
      </c>
    </row>
    <row r="824" spans="1:4" x14ac:dyDescent="0.25">
      <c r="A824">
        <v>809</v>
      </c>
      <c r="B824">
        <v>2500000</v>
      </c>
      <c r="C824">
        <v>2500000</v>
      </c>
      <c r="D824">
        <v>1</v>
      </c>
    </row>
    <row r="825" spans="1:4" x14ac:dyDescent="0.25">
      <c r="A825">
        <v>810</v>
      </c>
      <c r="B825">
        <v>0</v>
      </c>
      <c r="C825">
        <v>0</v>
      </c>
      <c r="D825">
        <v>0</v>
      </c>
    </row>
    <row r="826" spans="1:4" x14ac:dyDescent="0.25">
      <c r="A826">
        <v>811</v>
      </c>
      <c r="B826">
        <v>0</v>
      </c>
      <c r="C826">
        <v>0</v>
      </c>
      <c r="D826">
        <v>0</v>
      </c>
    </row>
    <row r="827" spans="1:4" x14ac:dyDescent="0.25">
      <c r="A827">
        <v>812</v>
      </c>
      <c r="B827">
        <v>2500000</v>
      </c>
      <c r="C827">
        <v>2500000</v>
      </c>
      <c r="D827">
        <v>1</v>
      </c>
    </row>
    <row r="828" spans="1:4" x14ac:dyDescent="0.25">
      <c r="A828">
        <v>813</v>
      </c>
      <c r="B828">
        <v>0</v>
      </c>
      <c r="C828">
        <v>0</v>
      </c>
      <c r="D828">
        <v>0</v>
      </c>
    </row>
    <row r="829" spans="1:4" x14ac:dyDescent="0.25">
      <c r="A829">
        <v>814</v>
      </c>
      <c r="B829">
        <v>3500000</v>
      </c>
      <c r="C829">
        <v>2500000</v>
      </c>
      <c r="D829">
        <v>2</v>
      </c>
    </row>
    <row r="830" spans="1:4" x14ac:dyDescent="0.25">
      <c r="A830">
        <v>815</v>
      </c>
      <c r="B830">
        <v>0</v>
      </c>
      <c r="C830">
        <v>0</v>
      </c>
      <c r="D830">
        <v>0</v>
      </c>
    </row>
    <row r="831" spans="1:4" x14ac:dyDescent="0.25">
      <c r="A831">
        <v>816</v>
      </c>
      <c r="B831">
        <v>10000000</v>
      </c>
      <c r="C831">
        <v>10000000</v>
      </c>
      <c r="D831">
        <v>1</v>
      </c>
    </row>
    <row r="832" spans="1:4" x14ac:dyDescent="0.25">
      <c r="A832">
        <v>817</v>
      </c>
      <c r="B832">
        <v>0</v>
      </c>
      <c r="C832">
        <v>0</v>
      </c>
      <c r="D832">
        <v>0</v>
      </c>
    </row>
    <row r="833" spans="1:4" x14ac:dyDescent="0.25">
      <c r="A833">
        <v>818</v>
      </c>
      <c r="B833">
        <v>0</v>
      </c>
      <c r="C833">
        <v>0</v>
      </c>
      <c r="D833">
        <v>0</v>
      </c>
    </row>
    <row r="834" spans="1:4" x14ac:dyDescent="0.25">
      <c r="A834">
        <v>819</v>
      </c>
      <c r="B834">
        <v>1000000</v>
      </c>
      <c r="C834">
        <v>1000000</v>
      </c>
      <c r="D834">
        <v>1</v>
      </c>
    </row>
    <row r="835" spans="1:4" x14ac:dyDescent="0.25">
      <c r="A835">
        <v>820</v>
      </c>
      <c r="B835">
        <v>3500000</v>
      </c>
      <c r="C835">
        <v>2500000</v>
      </c>
      <c r="D835">
        <v>2</v>
      </c>
    </row>
    <row r="836" spans="1:4" x14ac:dyDescent="0.25">
      <c r="A836">
        <v>821</v>
      </c>
      <c r="B836">
        <v>1000000</v>
      </c>
      <c r="C836">
        <v>1000000</v>
      </c>
      <c r="D836">
        <v>1</v>
      </c>
    </row>
    <row r="837" spans="1:4" x14ac:dyDescent="0.25">
      <c r="A837">
        <v>822</v>
      </c>
      <c r="B837">
        <v>10000000</v>
      </c>
      <c r="C837">
        <v>10000000</v>
      </c>
      <c r="D837">
        <v>1</v>
      </c>
    </row>
    <row r="838" spans="1:4" x14ac:dyDescent="0.25">
      <c r="A838">
        <v>823</v>
      </c>
      <c r="B838">
        <v>1000000</v>
      </c>
      <c r="C838">
        <v>1000000</v>
      </c>
      <c r="D838">
        <v>1</v>
      </c>
    </row>
    <row r="839" spans="1:4" x14ac:dyDescent="0.25">
      <c r="A839">
        <v>824</v>
      </c>
      <c r="B839">
        <v>0</v>
      </c>
      <c r="C839">
        <v>0</v>
      </c>
      <c r="D839">
        <v>0</v>
      </c>
    </row>
    <row r="840" spans="1:4" x14ac:dyDescent="0.25">
      <c r="A840">
        <v>825</v>
      </c>
      <c r="B840">
        <v>0</v>
      </c>
      <c r="C840">
        <v>0</v>
      </c>
      <c r="D840">
        <v>0</v>
      </c>
    </row>
    <row r="841" spans="1:4" x14ac:dyDescent="0.25">
      <c r="A841">
        <v>826</v>
      </c>
      <c r="B841">
        <v>0</v>
      </c>
      <c r="C841">
        <v>0</v>
      </c>
      <c r="D841">
        <v>0</v>
      </c>
    </row>
    <row r="842" spans="1:4" x14ac:dyDescent="0.25">
      <c r="A842">
        <v>827</v>
      </c>
      <c r="B842">
        <v>0</v>
      </c>
      <c r="C842">
        <v>0</v>
      </c>
      <c r="D842">
        <v>0</v>
      </c>
    </row>
    <row r="843" spans="1:4" x14ac:dyDescent="0.25">
      <c r="A843">
        <v>828</v>
      </c>
      <c r="B843">
        <v>0</v>
      </c>
      <c r="C843">
        <v>0</v>
      </c>
      <c r="D843">
        <v>0</v>
      </c>
    </row>
    <row r="844" spans="1:4" x14ac:dyDescent="0.25">
      <c r="A844">
        <v>829</v>
      </c>
      <c r="B844">
        <v>0</v>
      </c>
      <c r="C844">
        <v>0</v>
      </c>
      <c r="D844">
        <v>0</v>
      </c>
    </row>
    <row r="845" spans="1:4" x14ac:dyDescent="0.25">
      <c r="A845">
        <v>830</v>
      </c>
      <c r="B845">
        <v>0</v>
      </c>
      <c r="C845">
        <v>0</v>
      </c>
      <c r="D845">
        <v>0</v>
      </c>
    </row>
    <row r="846" spans="1:4" x14ac:dyDescent="0.25">
      <c r="A846">
        <v>831</v>
      </c>
      <c r="B846">
        <v>0</v>
      </c>
      <c r="C846">
        <v>0</v>
      </c>
      <c r="D846">
        <v>0</v>
      </c>
    </row>
    <row r="847" spans="1:4" x14ac:dyDescent="0.25">
      <c r="A847">
        <v>832</v>
      </c>
      <c r="B847">
        <v>0</v>
      </c>
      <c r="C847">
        <v>0</v>
      </c>
      <c r="D847">
        <v>0</v>
      </c>
    </row>
    <row r="848" spans="1:4" x14ac:dyDescent="0.25">
      <c r="A848">
        <v>833</v>
      </c>
      <c r="B848">
        <v>0</v>
      </c>
      <c r="C848">
        <v>0</v>
      </c>
      <c r="D848">
        <v>0</v>
      </c>
    </row>
    <row r="849" spans="1:4" x14ac:dyDescent="0.25">
      <c r="A849">
        <v>834</v>
      </c>
      <c r="B849">
        <v>0</v>
      </c>
      <c r="C849">
        <v>0</v>
      </c>
      <c r="D849">
        <v>0</v>
      </c>
    </row>
    <row r="850" spans="1:4" x14ac:dyDescent="0.25">
      <c r="A850">
        <v>835</v>
      </c>
      <c r="B850">
        <v>0</v>
      </c>
      <c r="C850">
        <v>0</v>
      </c>
      <c r="D850">
        <v>0</v>
      </c>
    </row>
    <row r="851" spans="1:4" x14ac:dyDescent="0.25">
      <c r="A851">
        <v>836</v>
      </c>
      <c r="B851">
        <v>0</v>
      </c>
      <c r="C851">
        <v>0</v>
      </c>
      <c r="D851">
        <v>0</v>
      </c>
    </row>
    <row r="852" spans="1:4" x14ac:dyDescent="0.25">
      <c r="A852">
        <v>837</v>
      </c>
      <c r="B852">
        <v>0</v>
      </c>
      <c r="C852">
        <v>0</v>
      </c>
      <c r="D852">
        <v>0</v>
      </c>
    </row>
    <row r="853" spans="1:4" x14ac:dyDescent="0.25">
      <c r="A853">
        <v>838</v>
      </c>
      <c r="B853">
        <v>0</v>
      </c>
      <c r="C853">
        <v>0</v>
      </c>
      <c r="D853">
        <v>0</v>
      </c>
    </row>
    <row r="854" spans="1:4" x14ac:dyDescent="0.25">
      <c r="A854">
        <v>839</v>
      </c>
      <c r="B854">
        <v>0</v>
      </c>
      <c r="C854">
        <v>0</v>
      </c>
      <c r="D854">
        <v>0</v>
      </c>
    </row>
    <row r="855" spans="1:4" x14ac:dyDescent="0.25">
      <c r="A855">
        <v>840</v>
      </c>
      <c r="B855">
        <v>0</v>
      </c>
      <c r="C855">
        <v>0</v>
      </c>
      <c r="D855">
        <v>0</v>
      </c>
    </row>
    <row r="856" spans="1:4" x14ac:dyDescent="0.25">
      <c r="A856">
        <v>841</v>
      </c>
      <c r="B856">
        <v>0</v>
      </c>
      <c r="C856">
        <v>0</v>
      </c>
      <c r="D856">
        <v>0</v>
      </c>
    </row>
    <row r="857" spans="1:4" x14ac:dyDescent="0.25">
      <c r="A857">
        <v>842</v>
      </c>
      <c r="B857">
        <v>0</v>
      </c>
      <c r="C857">
        <v>0</v>
      </c>
      <c r="D857">
        <v>0</v>
      </c>
    </row>
    <row r="858" spans="1:4" x14ac:dyDescent="0.25">
      <c r="A858">
        <v>843</v>
      </c>
      <c r="B858">
        <v>0</v>
      </c>
      <c r="C858">
        <v>0</v>
      </c>
      <c r="D858">
        <v>0</v>
      </c>
    </row>
    <row r="859" spans="1:4" x14ac:dyDescent="0.25">
      <c r="A859">
        <v>844</v>
      </c>
      <c r="B859">
        <v>0</v>
      </c>
      <c r="C859">
        <v>0</v>
      </c>
      <c r="D859">
        <v>0</v>
      </c>
    </row>
    <row r="860" spans="1:4" x14ac:dyDescent="0.25">
      <c r="A860">
        <v>845</v>
      </c>
      <c r="B860">
        <v>0</v>
      </c>
      <c r="C860">
        <v>0</v>
      </c>
      <c r="D860">
        <v>0</v>
      </c>
    </row>
    <row r="861" spans="1:4" x14ac:dyDescent="0.25">
      <c r="A861">
        <v>846</v>
      </c>
      <c r="B861">
        <v>0</v>
      </c>
      <c r="C861">
        <v>0</v>
      </c>
      <c r="D861">
        <v>0</v>
      </c>
    </row>
    <row r="862" spans="1:4" x14ac:dyDescent="0.25">
      <c r="A862">
        <v>847</v>
      </c>
      <c r="B862">
        <v>1000000</v>
      </c>
      <c r="C862">
        <v>1000000</v>
      </c>
      <c r="D862">
        <v>1</v>
      </c>
    </row>
    <row r="863" spans="1:4" x14ac:dyDescent="0.25">
      <c r="A863">
        <v>848</v>
      </c>
      <c r="B863">
        <v>0</v>
      </c>
      <c r="C863">
        <v>0</v>
      </c>
      <c r="D863">
        <v>0</v>
      </c>
    </row>
    <row r="864" spans="1:4" x14ac:dyDescent="0.25">
      <c r="A864">
        <v>849</v>
      </c>
      <c r="B864">
        <v>0</v>
      </c>
      <c r="C864">
        <v>0</v>
      </c>
      <c r="D864">
        <v>0</v>
      </c>
    </row>
    <row r="865" spans="1:4" x14ac:dyDescent="0.25">
      <c r="A865">
        <v>850</v>
      </c>
      <c r="B865">
        <v>0</v>
      </c>
      <c r="C865">
        <v>0</v>
      </c>
      <c r="D865">
        <v>0</v>
      </c>
    </row>
    <row r="866" spans="1:4" x14ac:dyDescent="0.25">
      <c r="A866">
        <v>851</v>
      </c>
      <c r="B866">
        <v>0</v>
      </c>
      <c r="C866">
        <v>0</v>
      </c>
      <c r="D866">
        <v>0</v>
      </c>
    </row>
    <row r="867" spans="1:4" x14ac:dyDescent="0.25">
      <c r="A867">
        <v>852</v>
      </c>
      <c r="B867">
        <v>0</v>
      </c>
      <c r="C867">
        <v>0</v>
      </c>
      <c r="D867">
        <v>0</v>
      </c>
    </row>
    <row r="868" spans="1:4" x14ac:dyDescent="0.25">
      <c r="A868">
        <v>853</v>
      </c>
      <c r="B868">
        <v>0</v>
      </c>
      <c r="C868">
        <v>0</v>
      </c>
      <c r="D868">
        <v>0</v>
      </c>
    </row>
    <row r="869" spans="1:4" x14ac:dyDescent="0.25">
      <c r="A869">
        <v>854</v>
      </c>
      <c r="B869">
        <v>0</v>
      </c>
      <c r="C869">
        <v>0</v>
      </c>
      <c r="D869">
        <v>0</v>
      </c>
    </row>
    <row r="870" spans="1:4" x14ac:dyDescent="0.25">
      <c r="A870">
        <v>855</v>
      </c>
      <c r="B870">
        <v>1000000</v>
      </c>
      <c r="C870">
        <v>1000000</v>
      </c>
      <c r="D870">
        <v>1</v>
      </c>
    </row>
    <row r="871" spans="1:4" x14ac:dyDescent="0.25">
      <c r="A871">
        <v>856</v>
      </c>
      <c r="B871">
        <v>0</v>
      </c>
      <c r="C871">
        <v>0</v>
      </c>
      <c r="D871">
        <v>0</v>
      </c>
    </row>
    <row r="872" spans="1:4" x14ac:dyDescent="0.25">
      <c r="A872">
        <v>857</v>
      </c>
      <c r="B872">
        <v>0</v>
      </c>
      <c r="C872">
        <v>0</v>
      </c>
      <c r="D872">
        <v>0</v>
      </c>
    </row>
    <row r="873" spans="1:4" x14ac:dyDescent="0.25">
      <c r="A873">
        <v>858</v>
      </c>
      <c r="B873">
        <v>0</v>
      </c>
      <c r="C873">
        <v>0</v>
      </c>
      <c r="D873">
        <v>0</v>
      </c>
    </row>
    <row r="874" spans="1:4" x14ac:dyDescent="0.25">
      <c r="A874">
        <v>859</v>
      </c>
      <c r="B874">
        <v>0</v>
      </c>
      <c r="C874">
        <v>0</v>
      </c>
      <c r="D874">
        <v>0</v>
      </c>
    </row>
    <row r="875" spans="1:4" x14ac:dyDescent="0.25">
      <c r="A875">
        <v>860</v>
      </c>
      <c r="B875">
        <v>0</v>
      </c>
      <c r="C875">
        <v>0</v>
      </c>
      <c r="D875">
        <v>0</v>
      </c>
    </row>
    <row r="876" spans="1:4" x14ac:dyDescent="0.25">
      <c r="A876">
        <v>861</v>
      </c>
      <c r="B876">
        <v>10000000</v>
      </c>
      <c r="C876">
        <v>10000000</v>
      </c>
      <c r="D876">
        <v>1</v>
      </c>
    </row>
    <row r="877" spans="1:4" x14ac:dyDescent="0.25">
      <c r="A877">
        <v>862</v>
      </c>
      <c r="B877">
        <v>0</v>
      </c>
      <c r="C877">
        <v>0</v>
      </c>
      <c r="D877">
        <v>0</v>
      </c>
    </row>
    <row r="878" spans="1:4" x14ac:dyDescent="0.25">
      <c r="A878">
        <v>863</v>
      </c>
      <c r="B878">
        <v>0</v>
      </c>
      <c r="C878">
        <v>0</v>
      </c>
      <c r="D878">
        <v>0</v>
      </c>
    </row>
    <row r="879" spans="1:4" x14ac:dyDescent="0.25">
      <c r="A879">
        <v>864</v>
      </c>
      <c r="B879">
        <v>0</v>
      </c>
      <c r="C879">
        <v>0</v>
      </c>
      <c r="D879">
        <v>0</v>
      </c>
    </row>
    <row r="880" spans="1:4" x14ac:dyDescent="0.25">
      <c r="A880">
        <v>865</v>
      </c>
      <c r="B880">
        <v>0</v>
      </c>
      <c r="C880">
        <v>0</v>
      </c>
      <c r="D880">
        <v>0</v>
      </c>
    </row>
    <row r="881" spans="1:4" x14ac:dyDescent="0.25">
      <c r="A881">
        <v>866</v>
      </c>
      <c r="B881">
        <v>0</v>
      </c>
      <c r="C881">
        <v>0</v>
      </c>
      <c r="D881">
        <v>0</v>
      </c>
    </row>
    <row r="882" spans="1:4" x14ac:dyDescent="0.25">
      <c r="A882">
        <v>867</v>
      </c>
      <c r="B882">
        <v>0</v>
      </c>
      <c r="C882">
        <v>0</v>
      </c>
      <c r="D882">
        <v>0</v>
      </c>
    </row>
    <row r="883" spans="1:4" x14ac:dyDescent="0.25">
      <c r="A883">
        <v>868</v>
      </c>
      <c r="B883">
        <v>0</v>
      </c>
      <c r="C883">
        <v>0</v>
      </c>
      <c r="D883">
        <v>0</v>
      </c>
    </row>
    <row r="884" spans="1:4" x14ac:dyDescent="0.25">
      <c r="A884">
        <v>869</v>
      </c>
      <c r="B884">
        <v>0</v>
      </c>
      <c r="C884">
        <v>0</v>
      </c>
      <c r="D884">
        <v>0</v>
      </c>
    </row>
    <row r="885" spans="1:4" x14ac:dyDescent="0.25">
      <c r="A885">
        <v>870</v>
      </c>
      <c r="B885">
        <v>1000000</v>
      </c>
      <c r="C885">
        <v>1000000</v>
      </c>
      <c r="D885">
        <v>1</v>
      </c>
    </row>
    <row r="886" spans="1:4" x14ac:dyDescent="0.25">
      <c r="A886">
        <v>871</v>
      </c>
      <c r="B886">
        <v>0</v>
      </c>
      <c r="C886">
        <v>0</v>
      </c>
      <c r="D886">
        <v>0</v>
      </c>
    </row>
    <row r="887" spans="1:4" x14ac:dyDescent="0.25">
      <c r="A887">
        <v>872</v>
      </c>
      <c r="B887">
        <v>0</v>
      </c>
      <c r="C887">
        <v>0</v>
      </c>
      <c r="D887">
        <v>0</v>
      </c>
    </row>
    <row r="888" spans="1:4" x14ac:dyDescent="0.25">
      <c r="A888">
        <v>873</v>
      </c>
      <c r="B888">
        <v>0</v>
      </c>
      <c r="C888">
        <v>0</v>
      </c>
      <c r="D888">
        <v>0</v>
      </c>
    </row>
    <row r="889" spans="1:4" x14ac:dyDescent="0.25">
      <c r="A889">
        <v>874</v>
      </c>
      <c r="B889">
        <v>2500000</v>
      </c>
      <c r="C889">
        <v>2500000</v>
      </c>
      <c r="D889">
        <v>1</v>
      </c>
    </row>
    <row r="890" spans="1:4" x14ac:dyDescent="0.25">
      <c r="A890">
        <v>875</v>
      </c>
      <c r="B890">
        <v>1000000</v>
      </c>
      <c r="C890">
        <v>1000000</v>
      </c>
      <c r="D890">
        <v>1</v>
      </c>
    </row>
    <row r="891" spans="1:4" x14ac:dyDescent="0.25">
      <c r="A891">
        <v>876</v>
      </c>
      <c r="B891">
        <v>0</v>
      </c>
      <c r="C891">
        <v>0</v>
      </c>
      <c r="D891">
        <v>0</v>
      </c>
    </row>
    <row r="892" spans="1:4" x14ac:dyDescent="0.25">
      <c r="A892">
        <v>877</v>
      </c>
      <c r="B892">
        <v>2500000</v>
      </c>
      <c r="C892">
        <v>2500000</v>
      </c>
      <c r="D892">
        <v>1</v>
      </c>
    </row>
    <row r="893" spans="1:4" x14ac:dyDescent="0.25">
      <c r="A893">
        <v>878</v>
      </c>
      <c r="B893">
        <v>2500000</v>
      </c>
      <c r="C893">
        <v>2500000</v>
      </c>
      <c r="D893">
        <v>1</v>
      </c>
    </row>
    <row r="894" spans="1:4" x14ac:dyDescent="0.25">
      <c r="A894">
        <v>879</v>
      </c>
      <c r="B894">
        <v>12000000</v>
      </c>
      <c r="C894">
        <v>10000000</v>
      </c>
      <c r="D894">
        <v>3</v>
      </c>
    </row>
    <row r="895" spans="1:4" x14ac:dyDescent="0.25">
      <c r="A895">
        <v>880</v>
      </c>
      <c r="B895">
        <v>0</v>
      </c>
      <c r="C895">
        <v>0</v>
      </c>
      <c r="D895">
        <v>0</v>
      </c>
    </row>
    <row r="896" spans="1:4" x14ac:dyDescent="0.25">
      <c r="A896">
        <v>881</v>
      </c>
      <c r="B896">
        <v>0</v>
      </c>
      <c r="C896">
        <v>0</v>
      </c>
      <c r="D896">
        <v>0</v>
      </c>
    </row>
    <row r="897" spans="1:4" x14ac:dyDescent="0.25">
      <c r="A897">
        <v>882</v>
      </c>
      <c r="B897">
        <v>1000000</v>
      </c>
      <c r="C897">
        <v>1000000</v>
      </c>
      <c r="D897">
        <v>1</v>
      </c>
    </row>
    <row r="898" spans="1:4" x14ac:dyDescent="0.25">
      <c r="A898">
        <v>883</v>
      </c>
      <c r="B898">
        <v>0</v>
      </c>
      <c r="C898">
        <v>0</v>
      </c>
      <c r="D898">
        <v>0</v>
      </c>
    </row>
    <row r="899" spans="1:4" x14ac:dyDescent="0.25">
      <c r="A899">
        <v>884</v>
      </c>
      <c r="B899">
        <v>0</v>
      </c>
      <c r="C899">
        <v>0</v>
      </c>
      <c r="D899">
        <v>0</v>
      </c>
    </row>
    <row r="900" spans="1:4" x14ac:dyDescent="0.25">
      <c r="A900">
        <v>885</v>
      </c>
      <c r="B900">
        <v>0</v>
      </c>
      <c r="C900">
        <v>0</v>
      </c>
      <c r="D900">
        <v>0</v>
      </c>
    </row>
    <row r="901" spans="1:4" x14ac:dyDescent="0.25">
      <c r="A901">
        <v>886</v>
      </c>
      <c r="B901">
        <v>0</v>
      </c>
      <c r="C901">
        <v>0</v>
      </c>
      <c r="D901">
        <v>0</v>
      </c>
    </row>
    <row r="902" spans="1:4" x14ac:dyDescent="0.25">
      <c r="A902">
        <v>887</v>
      </c>
      <c r="B902">
        <v>0</v>
      </c>
      <c r="C902">
        <v>0</v>
      </c>
      <c r="D902">
        <v>0</v>
      </c>
    </row>
    <row r="903" spans="1:4" x14ac:dyDescent="0.25">
      <c r="A903">
        <v>888</v>
      </c>
      <c r="B903">
        <v>1000000</v>
      </c>
      <c r="C903">
        <v>1000000</v>
      </c>
      <c r="D903">
        <v>1</v>
      </c>
    </row>
    <row r="904" spans="1:4" x14ac:dyDescent="0.25">
      <c r="A904">
        <v>889</v>
      </c>
      <c r="B904">
        <v>1000000</v>
      </c>
      <c r="C904">
        <v>1000000</v>
      </c>
      <c r="D904">
        <v>1</v>
      </c>
    </row>
    <row r="905" spans="1:4" x14ac:dyDescent="0.25">
      <c r="A905">
        <v>890</v>
      </c>
      <c r="B905">
        <v>0</v>
      </c>
      <c r="C905">
        <v>0</v>
      </c>
      <c r="D905">
        <v>0</v>
      </c>
    </row>
    <row r="906" spans="1:4" x14ac:dyDescent="0.25">
      <c r="A906">
        <v>891</v>
      </c>
      <c r="B906">
        <v>0</v>
      </c>
      <c r="C906">
        <v>0</v>
      </c>
      <c r="D906">
        <v>0</v>
      </c>
    </row>
    <row r="907" spans="1:4" x14ac:dyDescent="0.25">
      <c r="A907">
        <v>892</v>
      </c>
      <c r="B907">
        <v>1000000</v>
      </c>
      <c r="C907">
        <v>1000000</v>
      </c>
      <c r="D907">
        <v>1</v>
      </c>
    </row>
    <row r="908" spans="1:4" x14ac:dyDescent="0.25">
      <c r="A908">
        <v>893</v>
      </c>
      <c r="B908">
        <v>0</v>
      </c>
      <c r="C908">
        <v>0</v>
      </c>
      <c r="D908">
        <v>0</v>
      </c>
    </row>
    <row r="909" spans="1:4" x14ac:dyDescent="0.25">
      <c r="A909">
        <v>894</v>
      </c>
      <c r="B909">
        <v>0</v>
      </c>
      <c r="C909">
        <v>0</v>
      </c>
      <c r="D909">
        <v>0</v>
      </c>
    </row>
    <row r="910" spans="1:4" x14ac:dyDescent="0.25">
      <c r="A910">
        <v>895</v>
      </c>
      <c r="B910">
        <v>2500000</v>
      </c>
      <c r="C910">
        <v>2500000</v>
      </c>
      <c r="D910">
        <v>1</v>
      </c>
    </row>
    <row r="911" spans="1:4" x14ac:dyDescent="0.25">
      <c r="A911">
        <v>896</v>
      </c>
      <c r="B911">
        <v>1000000</v>
      </c>
      <c r="C911">
        <v>1000000</v>
      </c>
      <c r="D911">
        <v>1</v>
      </c>
    </row>
    <row r="912" spans="1:4" x14ac:dyDescent="0.25">
      <c r="A912">
        <v>897</v>
      </c>
      <c r="B912">
        <v>0</v>
      </c>
      <c r="C912">
        <v>0</v>
      </c>
      <c r="D912">
        <v>0</v>
      </c>
    </row>
    <row r="913" spans="1:4" x14ac:dyDescent="0.25">
      <c r="A913">
        <v>898</v>
      </c>
      <c r="B913">
        <v>0</v>
      </c>
      <c r="C913">
        <v>0</v>
      </c>
      <c r="D913">
        <v>0</v>
      </c>
    </row>
    <row r="914" spans="1:4" x14ac:dyDescent="0.25">
      <c r="A914">
        <v>899</v>
      </c>
      <c r="B914">
        <v>1000000</v>
      </c>
      <c r="C914">
        <v>1000000</v>
      </c>
      <c r="D914">
        <v>1</v>
      </c>
    </row>
    <row r="915" spans="1:4" x14ac:dyDescent="0.25">
      <c r="A915">
        <v>900</v>
      </c>
      <c r="B915">
        <v>0</v>
      </c>
      <c r="C915">
        <v>0</v>
      </c>
      <c r="D915">
        <v>0</v>
      </c>
    </row>
    <row r="916" spans="1:4" x14ac:dyDescent="0.25">
      <c r="A916">
        <v>901</v>
      </c>
      <c r="B916">
        <v>0</v>
      </c>
      <c r="C916">
        <v>0</v>
      </c>
      <c r="D916">
        <v>0</v>
      </c>
    </row>
    <row r="917" spans="1:4" x14ac:dyDescent="0.25">
      <c r="A917">
        <v>902</v>
      </c>
      <c r="B917">
        <v>0</v>
      </c>
      <c r="C917">
        <v>0</v>
      </c>
      <c r="D917">
        <v>0</v>
      </c>
    </row>
    <row r="918" spans="1:4" x14ac:dyDescent="0.25">
      <c r="A918">
        <v>903</v>
      </c>
      <c r="B918">
        <v>1000000</v>
      </c>
      <c r="C918">
        <v>1000000</v>
      </c>
      <c r="D918">
        <v>1</v>
      </c>
    </row>
    <row r="919" spans="1:4" x14ac:dyDescent="0.25">
      <c r="A919">
        <v>904</v>
      </c>
      <c r="B919">
        <v>0</v>
      </c>
      <c r="C919">
        <v>0</v>
      </c>
      <c r="D919">
        <v>0</v>
      </c>
    </row>
    <row r="920" spans="1:4" x14ac:dyDescent="0.25">
      <c r="A920">
        <v>905</v>
      </c>
      <c r="B920">
        <v>2500000</v>
      </c>
      <c r="C920">
        <v>2500000</v>
      </c>
      <c r="D920">
        <v>1</v>
      </c>
    </row>
    <row r="921" spans="1:4" x14ac:dyDescent="0.25">
      <c r="A921">
        <v>906</v>
      </c>
      <c r="B921">
        <v>1000000</v>
      </c>
      <c r="C921">
        <v>1000000</v>
      </c>
      <c r="D921">
        <v>1</v>
      </c>
    </row>
    <row r="922" spans="1:4" x14ac:dyDescent="0.25">
      <c r="A922">
        <v>907</v>
      </c>
      <c r="B922">
        <v>0</v>
      </c>
      <c r="C922">
        <v>0</v>
      </c>
      <c r="D922">
        <v>0</v>
      </c>
    </row>
    <row r="923" spans="1:4" x14ac:dyDescent="0.25">
      <c r="A923">
        <v>908</v>
      </c>
      <c r="B923">
        <v>0</v>
      </c>
      <c r="C923">
        <v>0</v>
      </c>
      <c r="D923">
        <v>0</v>
      </c>
    </row>
    <row r="924" spans="1:4" x14ac:dyDescent="0.25">
      <c r="A924">
        <v>909</v>
      </c>
      <c r="B924">
        <v>0</v>
      </c>
      <c r="C924">
        <v>0</v>
      </c>
      <c r="D924">
        <v>0</v>
      </c>
    </row>
    <row r="925" spans="1:4" x14ac:dyDescent="0.25">
      <c r="A925">
        <v>910</v>
      </c>
      <c r="B925">
        <v>1000000</v>
      </c>
      <c r="C925">
        <v>1000000</v>
      </c>
      <c r="D925">
        <v>1</v>
      </c>
    </row>
    <row r="926" spans="1:4" x14ac:dyDescent="0.25">
      <c r="A926">
        <v>911</v>
      </c>
      <c r="B926">
        <v>0</v>
      </c>
      <c r="C926">
        <v>0</v>
      </c>
      <c r="D926">
        <v>0</v>
      </c>
    </row>
    <row r="927" spans="1:4" x14ac:dyDescent="0.25">
      <c r="A927">
        <v>912</v>
      </c>
      <c r="B927">
        <v>0</v>
      </c>
      <c r="C927">
        <v>0</v>
      </c>
      <c r="D927">
        <v>0</v>
      </c>
    </row>
    <row r="928" spans="1:4" x14ac:dyDescent="0.25">
      <c r="A928">
        <v>913</v>
      </c>
      <c r="B928">
        <v>0</v>
      </c>
      <c r="C928">
        <v>0</v>
      </c>
      <c r="D928">
        <v>0</v>
      </c>
    </row>
    <row r="929" spans="1:4" x14ac:dyDescent="0.25">
      <c r="A929">
        <v>914</v>
      </c>
      <c r="B929">
        <v>2000000</v>
      </c>
      <c r="C929">
        <v>1000000</v>
      </c>
      <c r="D929">
        <v>2</v>
      </c>
    </row>
    <row r="930" spans="1:4" x14ac:dyDescent="0.25">
      <c r="A930">
        <v>915</v>
      </c>
      <c r="B930">
        <v>1000000</v>
      </c>
      <c r="C930">
        <v>1000000</v>
      </c>
      <c r="D930">
        <v>1</v>
      </c>
    </row>
    <row r="931" spans="1:4" x14ac:dyDescent="0.25">
      <c r="A931">
        <v>916</v>
      </c>
      <c r="B931">
        <v>0</v>
      </c>
      <c r="C931">
        <v>0</v>
      </c>
      <c r="D931">
        <v>0</v>
      </c>
    </row>
    <row r="932" spans="1:4" x14ac:dyDescent="0.25">
      <c r="A932">
        <v>917</v>
      </c>
      <c r="B932">
        <v>0</v>
      </c>
      <c r="C932">
        <v>0</v>
      </c>
      <c r="D932">
        <v>0</v>
      </c>
    </row>
    <row r="933" spans="1:4" x14ac:dyDescent="0.25">
      <c r="A933">
        <v>918</v>
      </c>
      <c r="B933">
        <v>0</v>
      </c>
      <c r="C933">
        <v>0</v>
      </c>
      <c r="D933">
        <v>0</v>
      </c>
    </row>
    <row r="934" spans="1:4" x14ac:dyDescent="0.25">
      <c r="A934">
        <v>919</v>
      </c>
      <c r="B934">
        <v>0</v>
      </c>
      <c r="C934">
        <v>0</v>
      </c>
      <c r="D934">
        <v>0</v>
      </c>
    </row>
    <row r="935" spans="1:4" x14ac:dyDescent="0.25">
      <c r="A935">
        <v>920</v>
      </c>
      <c r="B935">
        <v>3500000</v>
      </c>
      <c r="C935">
        <v>2500000</v>
      </c>
      <c r="D935">
        <v>2</v>
      </c>
    </row>
    <row r="936" spans="1:4" x14ac:dyDescent="0.25">
      <c r="A936">
        <v>921</v>
      </c>
      <c r="B936">
        <v>0</v>
      </c>
      <c r="C936">
        <v>0</v>
      </c>
      <c r="D936">
        <v>0</v>
      </c>
    </row>
    <row r="937" spans="1:4" x14ac:dyDescent="0.25">
      <c r="A937">
        <v>922</v>
      </c>
      <c r="B937">
        <v>0</v>
      </c>
      <c r="C937">
        <v>0</v>
      </c>
      <c r="D937">
        <v>0</v>
      </c>
    </row>
    <row r="938" spans="1:4" x14ac:dyDescent="0.25">
      <c r="A938">
        <v>923</v>
      </c>
      <c r="B938">
        <v>1000000</v>
      </c>
      <c r="C938">
        <v>1000000</v>
      </c>
      <c r="D938">
        <v>1</v>
      </c>
    </row>
    <row r="939" spans="1:4" x14ac:dyDescent="0.25">
      <c r="A939">
        <v>924</v>
      </c>
      <c r="B939">
        <v>2500000</v>
      </c>
      <c r="C939">
        <v>2500000</v>
      </c>
      <c r="D939">
        <v>1</v>
      </c>
    </row>
    <row r="940" spans="1:4" x14ac:dyDescent="0.25">
      <c r="A940">
        <v>925</v>
      </c>
      <c r="B940">
        <v>0</v>
      </c>
      <c r="C940">
        <v>0</v>
      </c>
      <c r="D940">
        <v>0</v>
      </c>
    </row>
    <row r="941" spans="1:4" x14ac:dyDescent="0.25">
      <c r="A941">
        <v>926</v>
      </c>
      <c r="B941">
        <v>0</v>
      </c>
      <c r="C941">
        <v>0</v>
      </c>
      <c r="D941">
        <v>0</v>
      </c>
    </row>
    <row r="942" spans="1:4" x14ac:dyDescent="0.25">
      <c r="A942">
        <v>927</v>
      </c>
      <c r="B942">
        <v>1000000</v>
      </c>
      <c r="C942">
        <v>1000000</v>
      </c>
      <c r="D942">
        <v>1</v>
      </c>
    </row>
    <row r="943" spans="1:4" x14ac:dyDescent="0.25">
      <c r="A943">
        <v>928</v>
      </c>
      <c r="B943">
        <v>1000000</v>
      </c>
      <c r="C943">
        <v>1000000</v>
      </c>
      <c r="D943">
        <v>1</v>
      </c>
    </row>
    <row r="944" spans="1:4" x14ac:dyDescent="0.25">
      <c r="A944">
        <v>929</v>
      </c>
      <c r="B944">
        <v>0</v>
      </c>
      <c r="C944">
        <v>0</v>
      </c>
      <c r="D944">
        <v>0</v>
      </c>
    </row>
    <row r="945" spans="1:4" x14ac:dyDescent="0.25">
      <c r="A945">
        <v>930</v>
      </c>
      <c r="B945">
        <v>1000000</v>
      </c>
      <c r="C945">
        <v>1000000</v>
      </c>
      <c r="D945">
        <v>1</v>
      </c>
    </row>
    <row r="946" spans="1:4" x14ac:dyDescent="0.25">
      <c r="A946">
        <v>931</v>
      </c>
      <c r="B946">
        <v>0</v>
      </c>
      <c r="C946">
        <v>0</v>
      </c>
      <c r="D946">
        <v>0</v>
      </c>
    </row>
    <row r="947" spans="1:4" x14ac:dyDescent="0.25">
      <c r="A947">
        <v>932</v>
      </c>
      <c r="B947">
        <v>0</v>
      </c>
      <c r="C947">
        <v>0</v>
      </c>
      <c r="D947">
        <v>0</v>
      </c>
    </row>
    <row r="948" spans="1:4" x14ac:dyDescent="0.25">
      <c r="A948">
        <v>933</v>
      </c>
      <c r="B948">
        <v>11000000</v>
      </c>
      <c r="C948">
        <v>10000000</v>
      </c>
      <c r="D948">
        <v>2</v>
      </c>
    </row>
    <row r="949" spans="1:4" x14ac:dyDescent="0.25">
      <c r="A949">
        <v>934</v>
      </c>
      <c r="B949">
        <v>2500000</v>
      </c>
      <c r="C949">
        <v>2500000</v>
      </c>
      <c r="D949">
        <v>1</v>
      </c>
    </row>
    <row r="950" spans="1:4" x14ac:dyDescent="0.25">
      <c r="A950">
        <v>935</v>
      </c>
      <c r="B950">
        <v>1000000</v>
      </c>
      <c r="C950">
        <v>1000000</v>
      </c>
      <c r="D950">
        <v>1</v>
      </c>
    </row>
    <row r="951" spans="1:4" x14ac:dyDescent="0.25">
      <c r="A951">
        <v>936</v>
      </c>
      <c r="B951">
        <v>0</v>
      </c>
      <c r="C951">
        <v>0</v>
      </c>
      <c r="D951">
        <v>0</v>
      </c>
    </row>
    <row r="952" spans="1:4" x14ac:dyDescent="0.25">
      <c r="A952">
        <v>937</v>
      </c>
      <c r="B952">
        <v>0</v>
      </c>
      <c r="C952">
        <v>0</v>
      </c>
      <c r="D952">
        <v>0</v>
      </c>
    </row>
    <row r="953" spans="1:4" x14ac:dyDescent="0.25">
      <c r="A953">
        <v>938</v>
      </c>
      <c r="B953">
        <v>0</v>
      </c>
      <c r="C953">
        <v>0</v>
      </c>
      <c r="D953">
        <v>0</v>
      </c>
    </row>
    <row r="954" spans="1:4" x14ac:dyDescent="0.25">
      <c r="A954">
        <v>939</v>
      </c>
      <c r="B954">
        <v>0</v>
      </c>
      <c r="C954">
        <v>0</v>
      </c>
      <c r="D954">
        <v>0</v>
      </c>
    </row>
    <row r="955" spans="1:4" x14ac:dyDescent="0.25">
      <c r="A955">
        <v>940</v>
      </c>
      <c r="B955">
        <v>10000000</v>
      </c>
      <c r="C955">
        <v>10000000</v>
      </c>
      <c r="D955">
        <v>1</v>
      </c>
    </row>
    <row r="956" spans="1:4" x14ac:dyDescent="0.25">
      <c r="A956">
        <v>941</v>
      </c>
      <c r="B956">
        <v>0</v>
      </c>
      <c r="C956">
        <v>0</v>
      </c>
      <c r="D956">
        <v>0</v>
      </c>
    </row>
    <row r="957" spans="1:4" x14ac:dyDescent="0.25">
      <c r="A957">
        <v>942</v>
      </c>
      <c r="B957">
        <v>10000000</v>
      </c>
      <c r="C957">
        <v>10000000</v>
      </c>
      <c r="D957">
        <v>1</v>
      </c>
    </row>
    <row r="958" spans="1:4" x14ac:dyDescent="0.25">
      <c r="A958">
        <v>943</v>
      </c>
      <c r="B958">
        <v>0</v>
      </c>
      <c r="C958">
        <v>0</v>
      </c>
      <c r="D958">
        <v>0</v>
      </c>
    </row>
    <row r="959" spans="1:4" x14ac:dyDescent="0.25">
      <c r="A959">
        <v>944</v>
      </c>
      <c r="B959">
        <v>0</v>
      </c>
      <c r="C959">
        <v>0</v>
      </c>
      <c r="D959">
        <v>0</v>
      </c>
    </row>
    <row r="960" spans="1:4" x14ac:dyDescent="0.25">
      <c r="A960">
        <v>945</v>
      </c>
      <c r="B960">
        <v>0</v>
      </c>
      <c r="C960">
        <v>0</v>
      </c>
      <c r="D960">
        <v>0</v>
      </c>
    </row>
    <row r="961" spans="1:4" x14ac:dyDescent="0.25">
      <c r="A961">
        <v>946</v>
      </c>
      <c r="B961">
        <v>0</v>
      </c>
      <c r="C961">
        <v>0</v>
      </c>
      <c r="D961">
        <v>0</v>
      </c>
    </row>
    <row r="962" spans="1:4" x14ac:dyDescent="0.25">
      <c r="A962">
        <v>947</v>
      </c>
      <c r="B962">
        <v>2500000</v>
      </c>
      <c r="C962">
        <v>2500000</v>
      </c>
      <c r="D962">
        <v>1</v>
      </c>
    </row>
    <row r="963" spans="1:4" x14ac:dyDescent="0.25">
      <c r="A963">
        <v>948</v>
      </c>
      <c r="B963">
        <v>0</v>
      </c>
      <c r="C963">
        <v>0</v>
      </c>
      <c r="D963">
        <v>0</v>
      </c>
    </row>
    <row r="964" spans="1:4" x14ac:dyDescent="0.25">
      <c r="A964">
        <v>949</v>
      </c>
      <c r="B964">
        <v>0</v>
      </c>
      <c r="C964">
        <v>0</v>
      </c>
      <c r="D964">
        <v>0</v>
      </c>
    </row>
    <row r="965" spans="1:4" x14ac:dyDescent="0.25">
      <c r="A965">
        <v>950</v>
      </c>
      <c r="B965">
        <v>0</v>
      </c>
      <c r="C965">
        <v>0</v>
      </c>
      <c r="D965">
        <v>0</v>
      </c>
    </row>
    <row r="966" spans="1:4" x14ac:dyDescent="0.25">
      <c r="A966">
        <v>951</v>
      </c>
      <c r="B966">
        <v>3500000</v>
      </c>
      <c r="C966">
        <v>2500000</v>
      </c>
      <c r="D966">
        <v>2</v>
      </c>
    </row>
    <row r="967" spans="1:4" x14ac:dyDescent="0.25">
      <c r="A967">
        <v>952</v>
      </c>
      <c r="B967">
        <v>0</v>
      </c>
      <c r="C967">
        <v>0</v>
      </c>
      <c r="D967">
        <v>0</v>
      </c>
    </row>
    <row r="968" spans="1:4" x14ac:dyDescent="0.25">
      <c r="A968">
        <v>953</v>
      </c>
      <c r="B968">
        <v>0</v>
      </c>
      <c r="C968">
        <v>0</v>
      </c>
      <c r="D968">
        <v>0</v>
      </c>
    </row>
    <row r="969" spans="1:4" x14ac:dyDescent="0.25">
      <c r="A969">
        <v>954</v>
      </c>
      <c r="B969">
        <v>0</v>
      </c>
      <c r="C969">
        <v>0</v>
      </c>
      <c r="D969">
        <v>0</v>
      </c>
    </row>
    <row r="970" spans="1:4" x14ac:dyDescent="0.25">
      <c r="A970">
        <v>955</v>
      </c>
      <c r="B970">
        <v>10000000</v>
      </c>
      <c r="C970">
        <v>10000000</v>
      </c>
      <c r="D970">
        <v>1</v>
      </c>
    </row>
    <row r="971" spans="1:4" x14ac:dyDescent="0.25">
      <c r="A971">
        <v>956</v>
      </c>
      <c r="B971">
        <v>0</v>
      </c>
      <c r="C971">
        <v>0</v>
      </c>
      <c r="D971">
        <v>0</v>
      </c>
    </row>
    <row r="972" spans="1:4" x14ac:dyDescent="0.25">
      <c r="A972">
        <v>957</v>
      </c>
      <c r="B972">
        <v>0</v>
      </c>
      <c r="C972">
        <v>0</v>
      </c>
      <c r="D972">
        <v>0</v>
      </c>
    </row>
    <row r="973" spans="1:4" x14ac:dyDescent="0.25">
      <c r="A973">
        <v>958</v>
      </c>
      <c r="B973">
        <v>1000000</v>
      </c>
      <c r="C973">
        <v>1000000</v>
      </c>
      <c r="D973">
        <v>1</v>
      </c>
    </row>
    <row r="974" spans="1:4" x14ac:dyDescent="0.25">
      <c r="A974">
        <v>959</v>
      </c>
      <c r="B974">
        <v>1000000</v>
      </c>
      <c r="C974">
        <v>1000000</v>
      </c>
      <c r="D974">
        <v>1</v>
      </c>
    </row>
    <row r="975" spans="1:4" x14ac:dyDescent="0.25">
      <c r="A975">
        <v>960</v>
      </c>
      <c r="B975">
        <v>3000000</v>
      </c>
      <c r="C975">
        <v>1000000</v>
      </c>
      <c r="D975">
        <v>3</v>
      </c>
    </row>
    <row r="976" spans="1:4" x14ac:dyDescent="0.25">
      <c r="A976">
        <v>961</v>
      </c>
      <c r="B976">
        <v>0</v>
      </c>
      <c r="C976">
        <v>0</v>
      </c>
      <c r="D976">
        <v>0</v>
      </c>
    </row>
    <row r="977" spans="1:4" x14ac:dyDescent="0.25">
      <c r="A977">
        <v>962</v>
      </c>
      <c r="B977">
        <v>0</v>
      </c>
      <c r="C977">
        <v>0</v>
      </c>
      <c r="D977">
        <v>0</v>
      </c>
    </row>
    <row r="978" spans="1:4" x14ac:dyDescent="0.25">
      <c r="A978">
        <v>963</v>
      </c>
      <c r="B978">
        <v>0</v>
      </c>
      <c r="C978">
        <v>0</v>
      </c>
      <c r="D978">
        <v>0</v>
      </c>
    </row>
    <row r="979" spans="1:4" x14ac:dyDescent="0.25">
      <c r="A979">
        <v>964</v>
      </c>
      <c r="B979">
        <v>0</v>
      </c>
      <c r="C979">
        <v>0</v>
      </c>
      <c r="D979">
        <v>0</v>
      </c>
    </row>
    <row r="980" spans="1:4" x14ac:dyDescent="0.25">
      <c r="A980">
        <v>965</v>
      </c>
      <c r="B980">
        <v>0</v>
      </c>
      <c r="C980">
        <v>0</v>
      </c>
      <c r="D980">
        <v>0</v>
      </c>
    </row>
    <row r="981" spans="1:4" x14ac:dyDescent="0.25">
      <c r="A981">
        <v>966</v>
      </c>
      <c r="B981">
        <v>0</v>
      </c>
      <c r="C981">
        <v>0</v>
      </c>
      <c r="D981">
        <v>0</v>
      </c>
    </row>
    <row r="982" spans="1:4" x14ac:dyDescent="0.25">
      <c r="A982">
        <v>967</v>
      </c>
      <c r="B982">
        <v>0</v>
      </c>
      <c r="C982">
        <v>0</v>
      </c>
      <c r="D982">
        <v>0</v>
      </c>
    </row>
    <row r="983" spans="1:4" x14ac:dyDescent="0.25">
      <c r="A983">
        <v>968</v>
      </c>
      <c r="B983">
        <v>0</v>
      </c>
      <c r="C983">
        <v>0</v>
      </c>
      <c r="D983">
        <v>0</v>
      </c>
    </row>
    <row r="984" spans="1:4" x14ac:dyDescent="0.25">
      <c r="A984">
        <v>969</v>
      </c>
      <c r="B984">
        <v>0</v>
      </c>
      <c r="C984">
        <v>0</v>
      </c>
      <c r="D984">
        <v>0</v>
      </c>
    </row>
    <row r="985" spans="1:4" x14ac:dyDescent="0.25">
      <c r="A985">
        <v>970</v>
      </c>
      <c r="B985">
        <v>1000000</v>
      </c>
      <c r="C985">
        <v>1000000</v>
      </c>
      <c r="D985">
        <v>1</v>
      </c>
    </row>
    <row r="986" spans="1:4" x14ac:dyDescent="0.25">
      <c r="A986">
        <v>971</v>
      </c>
      <c r="B986">
        <v>0</v>
      </c>
      <c r="C986">
        <v>0</v>
      </c>
      <c r="D986">
        <v>0</v>
      </c>
    </row>
    <row r="987" spans="1:4" x14ac:dyDescent="0.25">
      <c r="A987">
        <v>972</v>
      </c>
      <c r="B987">
        <v>0</v>
      </c>
      <c r="C987">
        <v>0</v>
      </c>
      <c r="D987">
        <v>0</v>
      </c>
    </row>
    <row r="988" spans="1:4" x14ac:dyDescent="0.25">
      <c r="A988">
        <v>973</v>
      </c>
      <c r="B988">
        <v>0</v>
      </c>
      <c r="C988">
        <v>0</v>
      </c>
      <c r="D988">
        <v>0</v>
      </c>
    </row>
    <row r="989" spans="1:4" x14ac:dyDescent="0.25">
      <c r="A989">
        <v>974</v>
      </c>
      <c r="B989">
        <v>0</v>
      </c>
      <c r="C989">
        <v>0</v>
      </c>
      <c r="D989">
        <v>0</v>
      </c>
    </row>
    <row r="990" spans="1:4" x14ac:dyDescent="0.25">
      <c r="A990">
        <v>975</v>
      </c>
      <c r="B990">
        <v>2500000</v>
      </c>
      <c r="C990">
        <v>2500000</v>
      </c>
      <c r="D990">
        <v>1</v>
      </c>
    </row>
    <row r="991" spans="1:4" x14ac:dyDescent="0.25">
      <c r="A991">
        <v>976</v>
      </c>
      <c r="B991">
        <v>0</v>
      </c>
      <c r="C991">
        <v>0</v>
      </c>
      <c r="D991">
        <v>0</v>
      </c>
    </row>
    <row r="992" spans="1:4" x14ac:dyDescent="0.25">
      <c r="A992">
        <v>977</v>
      </c>
      <c r="B992">
        <v>0</v>
      </c>
      <c r="C992">
        <v>0</v>
      </c>
      <c r="D992">
        <v>0</v>
      </c>
    </row>
    <row r="993" spans="1:4" x14ac:dyDescent="0.25">
      <c r="A993">
        <v>978</v>
      </c>
      <c r="B993">
        <v>0</v>
      </c>
      <c r="C993">
        <v>0</v>
      </c>
      <c r="D993">
        <v>0</v>
      </c>
    </row>
    <row r="994" spans="1:4" x14ac:dyDescent="0.25">
      <c r="A994">
        <v>979</v>
      </c>
      <c r="B994">
        <v>0</v>
      </c>
      <c r="C994">
        <v>0</v>
      </c>
      <c r="D994">
        <v>0</v>
      </c>
    </row>
    <row r="995" spans="1:4" x14ac:dyDescent="0.25">
      <c r="A995">
        <v>980</v>
      </c>
      <c r="B995">
        <v>0</v>
      </c>
      <c r="C995">
        <v>0</v>
      </c>
      <c r="D995">
        <v>0</v>
      </c>
    </row>
    <row r="996" spans="1:4" x14ac:dyDescent="0.25">
      <c r="A996">
        <v>981</v>
      </c>
      <c r="B996">
        <v>1000000</v>
      </c>
      <c r="C996">
        <v>1000000</v>
      </c>
      <c r="D996">
        <v>1</v>
      </c>
    </row>
    <row r="997" spans="1:4" x14ac:dyDescent="0.25">
      <c r="A997">
        <v>982</v>
      </c>
      <c r="B997">
        <v>0</v>
      </c>
      <c r="C997">
        <v>0</v>
      </c>
      <c r="D997">
        <v>0</v>
      </c>
    </row>
    <row r="998" spans="1:4" x14ac:dyDescent="0.25">
      <c r="A998">
        <v>983</v>
      </c>
      <c r="B998">
        <v>0</v>
      </c>
      <c r="C998">
        <v>0</v>
      </c>
      <c r="D998">
        <v>0</v>
      </c>
    </row>
    <row r="999" spans="1:4" x14ac:dyDescent="0.25">
      <c r="A999">
        <v>984</v>
      </c>
      <c r="B999">
        <v>2500000</v>
      </c>
      <c r="C999">
        <v>2500000</v>
      </c>
      <c r="D999">
        <v>1</v>
      </c>
    </row>
    <row r="1000" spans="1:4" x14ac:dyDescent="0.25">
      <c r="A1000">
        <v>985</v>
      </c>
      <c r="B1000">
        <v>12500000</v>
      </c>
      <c r="C1000">
        <v>10000000</v>
      </c>
      <c r="D1000">
        <v>2</v>
      </c>
    </row>
    <row r="1001" spans="1:4" x14ac:dyDescent="0.25">
      <c r="A1001">
        <v>986</v>
      </c>
      <c r="B1001">
        <v>1000000</v>
      </c>
      <c r="C1001">
        <v>1000000</v>
      </c>
      <c r="D1001">
        <v>1</v>
      </c>
    </row>
    <row r="1002" spans="1:4" x14ac:dyDescent="0.25">
      <c r="A1002">
        <v>987</v>
      </c>
      <c r="B1002">
        <v>0</v>
      </c>
      <c r="C1002">
        <v>0</v>
      </c>
      <c r="D1002">
        <v>0</v>
      </c>
    </row>
    <row r="1003" spans="1:4" x14ac:dyDescent="0.25">
      <c r="A1003">
        <v>988</v>
      </c>
      <c r="B1003">
        <v>0</v>
      </c>
      <c r="C1003">
        <v>0</v>
      </c>
      <c r="D1003">
        <v>0</v>
      </c>
    </row>
    <row r="1004" spans="1:4" x14ac:dyDescent="0.25">
      <c r="A1004">
        <v>989</v>
      </c>
      <c r="B1004">
        <v>0</v>
      </c>
      <c r="C1004">
        <v>0</v>
      </c>
      <c r="D1004">
        <v>0</v>
      </c>
    </row>
    <row r="1005" spans="1:4" x14ac:dyDescent="0.25">
      <c r="A1005">
        <v>990</v>
      </c>
      <c r="B1005">
        <v>0</v>
      </c>
      <c r="C1005">
        <v>0</v>
      </c>
      <c r="D1005">
        <v>0</v>
      </c>
    </row>
    <row r="1006" spans="1:4" x14ac:dyDescent="0.25">
      <c r="A1006">
        <v>991</v>
      </c>
      <c r="B1006">
        <v>0</v>
      </c>
      <c r="C1006">
        <v>0</v>
      </c>
      <c r="D1006">
        <v>0</v>
      </c>
    </row>
    <row r="1007" spans="1:4" x14ac:dyDescent="0.25">
      <c r="A1007">
        <v>992</v>
      </c>
      <c r="B1007">
        <v>0</v>
      </c>
      <c r="C1007">
        <v>0</v>
      </c>
      <c r="D1007">
        <v>0</v>
      </c>
    </row>
    <row r="1008" spans="1:4" x14ac:dyDescent="0.25">
      <c r="A1008">
        <v>993</v>
      </c>
      <c r="B1008">
        <v>10000000</v>
      </c>
      <c r="C1008">
        <v>10000000</v>
      </c>
      <c r="D1008">
        <v>1</v>
      </c>
    </row>
    <row r="1009" spans="1:9" x14ac:dyDescent="0.25">
      <c r="A1009">
        <v>994</v>
      </c>
      <c r="B1009">
        <v>0</v>
      </c>
      <c r="C1009">
        <v>0</v>
      </c>
      <c r="D1009">
        <v>0</v>
      </c>
    </row>
    <row r="1010" spans="1:9" x14ac:dyDescent="0.25">
      <c r="A1010">
        <v>995</v>
      </c>
      <c r="B1010">
        <v>0</v>
      </c>
      <c r="C1010">
        <v>0</v>
      </c>
      <c r="D1010">
        <v>0</v>
      </c>
    </row>
    <row r="1011" spans="1:9" x14ac:dyDescent="0.25">
      <c r="A1011">
        <v>996</v>
      </c>
      <c r="B1011">
        <v>0</v>
      </c>
      <c r="C1011">
        <v>0</v>
      </c>
      <c r="D1011">
        <v>0</v>
      </c>
    </row>
    <row r="1012" spans="1:9" x14ac:dyDescent="0.25">
      <c r="A1012">
        <v>997</v>
      </c>
      <c r="B1012">
        <v>1000000</v>
      </c>
      <c r="C1012">
        <v>1000000</v>
      </c>
      <c r="D1012">
        <v>1</v>
      </c>
    </row>
    <row r="1013" spans="1:9" x14ac:dyDescent="0.25">
      <c r="A1013">
        <v>998</v>
      </c>
      <c r="B1013">
        <v>0</v>
      </c>
      <c r="C1013">
        <v>0</v>
      </c>
      <c r="D1013">
        <v>0</v>
      </c>
    </row>
    <row r="1014" spans="1:9" x14ac:dyDescent="0.25">
      <c r="A1014">
        <v>999</v>
      </c>
      <c r="B1014">
        <v>0</v>
      </c>
      <c r="C1014">
        <v>0</v>
      </c>
      <c r="D1014">
        <v>0</v>
      </c>
    </row>
    <row r="1015" spans="1:9" x14ac:dyDescent="0.25">
      <c r="A1015">
        <v>1000</v>
      </c>
      <c r="B1015">
        <v>0</v>
      </c>
      <c r="C1015">
        <v>0</v>
      </c>
      <c r="D1015">
        <v>0</v>
      </c>
    </row>
    <row r="1017" spans="1:9" x14ac:dyDescent="0.25">
      <c r="A1017" s="5" t="s">
        <v>478</v>
      </c>
      <c r="D1017" s="5" t="s">
        <v>479</v>
      </c>
      <c r="G1017" s="2" t="s">
        <v>480</v>
      </c>
    </row>
    <row r="1018" spans="1:9" x14ac:dyDescent="0.25">
      <c r="A1018" s="6" t="s">
        <v>481</v>
      </c>
      <c r="B1018" s="6" t="s">
        <v>482</v>
      </c>
      <c r="D1018" s="6" t="s">
        <v>481</v>
      </c>
      <c r="E1018" s="6" t="s">
        <v>483</v>
      </c>
      <c r="G1018" s="9" t="s">
        <v>481</v>
      </c>
      <c r="H1018" s="9" t="s">
        <v>484</v>
      </c>
      <c r="I1018" s="9" t="s">
        <v>485</v>
      </c>
    </row>
    <row r="1019" spans="1:9" x14ac:dyDescent="0.25">
      <c r="A1019" s="3" cm="1">
        <f t="array" ref="A1019:B2018">_xll.ACT_CAT_YLT_OEP_CURVE(C16:C1015, "WEIBULL", FALSE)</f>
        <v>1001</v>
      </c>
      <c r="B1019">
        <v>10000000</v>
      </c>
      <c r="D1019" s="3" cm="1">
        <f t="array" ref="D1019:E2018">_xll.ACT_CAT_YLT_AEP_CURVE(B16:B1015, "WEIBULL", FALSE)</f>
        <v>1001</v>
      </c>
      <c r="E1019">
        <v>22000000</v>
      </c>
      <c r="G1019" s="3">
        <v>500</v>
      </c>
      <c r="H1019" s="8">
        <f>INDEX(_xll.ACT_CAT_OEP_CURVE_RP(C16:C1015, G1019:G1026, FALSE), 1, 2)</f>
        <v>10000000</v>
      </c>
      <c r="I1019" s="8">
        <f>INDEX(_xll.ACT_CAT_AEP_CURVE_RP(B16:B1015, G1019:G1026, FALSE), 1, 2)</f>
        <v>15009999.999999763</v>
      </c>
    </row>
    <row r="1020" spans="1:9" x14ac:dyDescent="0.25">
      <c r="A1020">
        <v>500.5</v>
      </c>
      <c r="B1020">
        <v>10000000</v>
      </c>
      <c r="D1020">
        <v>500.5</v>
      </c>
      <c r="E1020">
        <v>20000000</v>
      </c>
      <c r="G1020" s="3">
        <v>250</v>
      </c>
      <c r="H1020" s="8">
        <f>INDEX(_xll.ACT_CAT_OEP_CURVE_RP(C16:C1015, G1019:G1026, FALSE), 2, 2)</f>
        <v>10000000</v>
      </c>
      <c r="I1020" s="8">
        <f>INDEX(_xll.ACT_CAT_AEP_CURVE_RP(B16:B1015, G1019:G1026, FALSE), 2, 2)</f>
        <v>12500000</v>
      </c>
    </row>
    <row r="1021" spans="1:9" x14ac:dyDescent="0.25">
      <c r="A1021">
        <v>333.66666666666669</v>
      </c>
      <c r="B1021">
        <v>10000000</v>
      </c>
      <c r="D1021">
        <v>333.66666666666669</v>
      </c>
      <c r="E1021">
        <v>15000000</v>
      </c>
      <c r="G1021" s="3">
        <v>100</v>
      </c>
      <c r="H1021" s="8">
        <f>INDEX(_xll.ACT_CAT_OEP_CURVE_RP(C16:C1015, G1019:G1026, FALSE), 3, 2)</f>
        <v>10000000</v>
      </c>
      <c r="I1021" s="8">
        <f>INDEX(_xll.ACT_CAT_AEP_CURVE_RP(B16:B1015, G1019:G1026, FALSE), 3, 2)</f>
        <v>11000000</v>
      </c>
    </row>
    <row r="1022" spans="1:9" x14ac:dyDescent="0.25">
      <c r="A1022">
        <v>250.25</v>
      </c>
      <c r="B1022">
        <v>10000000</v>
      </c>
      <c r="D1022">
        <v>250.25</v>
      </c>
      <c r="E1022">
        <v>12500000</v>
      </c>
      <c r="G1022" s="3">
        <v>50</v>
      </c>
      <c r="H1022" s="8">
        <f>INDEX(_xll.ACT_CAT_OEP_CURVE_RP(C16:C1015, G1019:G1026, FALSE), 4, 2)</f>
        <v>10000000</v>
      </c>
      <c r="I1022" s="8">
        <f>INDEX(_xll.ACT_CAT_AEP_CURVE_RP(B16:B1015, G1019:G1026, FALSE), 4, 2)</f>
        <v>10000000</v>
      </c>
    </row>
    <row r="1023" spans="1:9" x14ac:dyDescent="0.25">
      <c r="A1023">
        <v>200.2</v>
      </c>
      <c r="B1023">
        <v>10000000</v>
      </c>
      <c r="D1023">
        <v>200.2</v>
      </c>
      <c r="E1023">
        <v>12500000</v>
      </c>
      <c r="G1023" s="3">
        <v>25</v>
      </c>
      <c r="H1023" s="8">
        <f>INDEX(_xll.ACT_CAT_OEP_CURVE_RP(C16:C1015, G1019:G1026, FALSE), 5, 2)</f>
        <v>10000000</v>
      </c>
      <c r="I1023" s="8">
        <f>INDEX(_xll.ACT_CAT_AEP_CURVE_RP(B16:B1015, G1019:G1026, FALSE), 5, 2)</f>
        <v>10000000</v>
      </c>
    </row>
    <row r="1024" spans="1:9" x14ac:dyDescent="0.25">
      <c r="A1024">
        <v>166.83333333333334</v>
      </c>
      <c r="B1024">
        <v>10000000</v>
      </c>
      <c r="D1024">
        <v>166.83333333333334</v>
      </c>
      <c r="E1024">
        <v>12500000</v>
      </c>
      <c r="G1024" s="3">
        <v>10</v>
      </c>
      <c r="H1024" s="8">
        <f>INDEX(_xll.ACT_CAT_OEP_CURVE_RP(C16:C1015, G1019:G1026, FALSE), 6, 2)</f>
        <v>2500000</v>
      </c>
      <c r="I1024" s="8">
        <f>INDEX(_xll.ACT_CAT_AEP_CURVE_RP(B16:B1015, G1019:G1026, FALSE), 6, 2)</f>
        <v>2500000</v>
      </c>
    </row>
    <row r="1025" spans="1:9" x14ac:dyDescent="0.25">
      <c r="A1025">
        <v>143</v>
      </c>
      <c r="B1025">
        <v>10000000</v>
      </c>
      <c r="D1025">
        <v>143</v>
      </c>
      <c r="E1025">
        <v>12500000</v>
      </c>
      <c r="G1025" s="3">
        <v>5</v>
      </c>
      <c r="H1025" s="8">
        <f>INDEX(_xll.ACT_CAT_OEP_CURVE_RP(C16:C1015, G1019:G1026, FALSE), 7, 2)</f>
        <v>1000000</v>
      </c>
      <c r="I1025" s="8">
        <f>INDEX(_xll.ACT_CAT_AEP_CURVE_RP(B16:B1015, G1019:G1026, FALSE), 7, 2)</f>
        <v>1000000</v>
      </c>
    </row>
    <row r="1026" spans="1:9" x14ac:dyDescent="0.25">
      <c r="A1026">
        <v>125.125</v>
      </c>
      <c r="B1026">
        <v>10000000</v>
      </c>
      <c r="D1026">
        <v>125.125</v>
      </c>
      <c r="E1026">
        <v>12000000</v>
      </c>
      <c r="G1026" s="3">
        <v>2</v>
      </c>
      <c r="H1026" s="8">
        <f>INDEX(_xll.ACT_CAT_OEP_CURVE_RP(C16:C1015, G1019:G1026, FALSE), 8, 2)</f>
        <v>0</v>
      </c>
      <c r="I1026" s="8">
        <f>INDEX(_xll.ACT_CAT_AEP_CURVE_RP(B16:B1015, G1019:G1026, FALSE), 8, 2)</f>
        <v>0</v>
      </c>
    </row>
    <row r="1027" spans="1:9" x14ac:dyDescent="0.25">
      <c r="A1027">
        <v>111.22222222222221</v>
      </c>
      <c r="B1027">
        <v>10000000</v>
      </c>
      <c r="D1027">
        <v>111.22222222222221</v>
      </c>
      <c r="E1027">
        <v>11000000</v>
      </c>
    </row>
    <row r="1028" spans="1:9" x14ac:dyDescent="0.25">
      <c r="A1028">
        <v>100.1</v>
      </c>
      <c r="B1028">
        <v>10000000</v>
      </c>
      <c r="D1028">
        <v>100.1</v>
      </c>
      <c r="E1028">
        <v>11000000</v>
      </c>
    </row>
    <row r="1029" spans="1:9" x14ac:dyDescent="0.25">
      <c r="A1029">
        <v>91</v>
      </c>
      <c r="B1029">
        <v>10000000</v>
      </c>
      <c r="D1029">
        <v>91</v>
      </c>
      <c r="E1029">
        <v>11000000</v>
      </c>
    </row>
    <row r="1030" spans="1:9" x14ac:dyDescent="0.25">
      <c r="A1030">
        <v>83.416666666666671</v>
      </c>
      <c r="B1030">
        <v>10000000</v>
      </c>
      <c r="D1030">
        <v>83.416666666666671</v>
      </c>
      <c r="E1030">
        <v>11000000</v>
      </c>
    </row>
    <row r="1031" spans="1:9" x14ac:dyDescent="0.25">
      <c r="A1031">
        <v>77</v>
      </c>
      <c r="B1031">
        <v>10000000</v>
      </c>
      <c r="D1031">
        <v>77</v>
      </c>
      <c r="E1031">
        <v>11000000</v>
      </c>
    </row>
    <row r="1032" spans="1:9" x14ac:dyDescent="0.25">
      <c r="A1032">
        <v>71.5</v>
      </c>
      <c r="B1032">
        <v>10000000</v>
      </c>
      <c r="D1032">
        <v>71.5</v>
      </c>
      <c r="E1032">
        <v>11000000</v>
      </c>
    </row>
    <row r="1033" spans="1:9" x14ac:dyDescent="0.25">
      <c r="A1033">
        <v>66.733333333333334</v>
      </c>
      <c r="B1033">
        <v>10000000</v>
      </c>
      <c r="D1033">
        <v>66.733333333333334</v>
      </c>
      <c r="E1033">
        <v>11000000</v>
      </c>
    </row>
    <row r="1034" spans="1:9" x14ac:dyDescent="0.25">
      <c r="A1034">
        <v>62.5625</v>
      </c>
      <c r="B1034">
        <v>10000000</v>
      </c>
      <c r="D1034">
        <v>62.5625</v>
      </c>
      <c r="E1034">
        <v>11000000</v>
      </c>
    </row>
    <row r="1035" spans="1:9" x14ac:dyDescent="0.25">
      <c r="A1035">
        <v>58.882352941176471</v>
      </c>
      <c r="B1035">
        <v>10000000</v>
      </c>
      <c r="D1035">
        <v>58.882352941176471</v>
      </c>
      <c r="E1035">
        <v>11000000</v>
      </c>
    </row>
    <row r="1036" spans="1:9" x14ac:dyDescent="0.25">
      <c r="A1036">
        <v>55.611111111111107</v>
      </c>
      <c r="B1036">
        <v>10000000</v>
      </c>
      <c r="D1036">
        <v>55.611111111111107</v>
      </c>
      <c r="E1036">
        <v>10000000</v>
      </c>
    </row>
    <row r="1037" spans="1:9" x14ac:dyDescent="0.25">
      <c r="A1037">
        <v>52.684210526315795</v>
      </c>
      <c r="B1037">
        <v>10000000</v>
      </c>
      <c r="D1037">
        <v>52.684210526315795</v>
      </c>
      <c r="E1037">
        <v>10000000</v>
      </c>
    </row>
    <row r="1038" spans="1:9" x14ac:dyDescent="0.25">
      <c r="A1038">
        <v>50.05</v>
      </c>
      <c r="B1038">
        <v>10000000</v>
      </c>
      <c r="D1038">
        <v>50.05</v>
      </c>
      <c r="E1038">
        <v>10000000</v>
      </c>
    </row>
    <row r="1039" spans="1:9" x14ac:dyDescent="0.25">
      <c r="A1039">
        <v>47.666666666666664</v>
      </c>
      <c r="B1039">
        <v>10000000</v>
      </c>
      <c r="D1039">
        <v>47.666666666666664</v>
      </c>
      <c r="E1039">
        <v>10000000</v>
      </c>
    </row>
    <row r="1040" spans="1:9" x14ac:dyDescent="0.25">
      <c r="A1040">
        <v>45.5</v>
      </c>
      <c r="B1040">
        <v>10000000</v>
      </c>
      <c r="D1040">
        <v>45.5</v>
      </c>
      <c r="E1040">
        <v>10000000</v>
      </c>
    </row>
    <row r="1041" spans="1:5" x14ac:dyDescent="0.25">
      <c r="A1041">
        <v>43.521739130434781</v>
      </c>
      <c r="B1041">
        <v>10000000</v>
      </c>
      <c r="D1041">
        <v>43.521739130434781</v>
      </c>
      <c r="E1041">
        <v>10000000</v>
      </c>
    </row>
    <row r="1042" spans="1:5" x14ac:dyDescent="0.25">
      <c r="A1042">
        <v>41.708333333333336</v>
      </c>
      <c r="B1042">
        <v>10000000</v>
      </c>
      <c r="D1042">
        <v>41.708333333333336</v>
      </c>
      <c r="E1042">
        <v>10000000</v>
      </c>
    </row>
    <row r="1043" spans="1:5" x14ac:dyDescent="0.25">
      <c r="A1043">
        <v>40.04</v>
      </c>
      <c r="B1043">
        <v>10000000</v>
      </c>
      <c r="D1043">
        <v>40.04</v>
      </c>
      <c r="E1043">
        <v>10000000</v>
      </c>
    </row>
    <row r="1044" spans="1:5" x14ac:dyDescent="0.25">
      <c r="A1044">
        <v>38.5</v>
      </c>
      <c r="B1044">
        <v>10000000</v>
      </c>
      <c r="D1044">
        <v>38.5</v>
      </c>
      <c r="E1044">
        <v>10000000</v>
      </c>
    </row>
    <row r="1045" spans="1:5" x14ac:dyDescent="0.25">
      <c r="A1045">
        <v>37.074074074074076</v>
      </c>
      <c r="B1045">
        <v>10000000</v>
      </c>
      <c r="D1045">
        <v>37.074074074074076</v>
      </c>
      <c r="E1045">
        <v>10000000</v>
      </c>
    </row>
    <row r="1046" spans="1:5" x14ac:dyDescent="0.25">
      <c r="A1046">
        <v>35.75</v>
      </c>
      <c r="B1046">
        <v>10000000</v>
      </c>
      <c r="D1046">
        <v>35.75</v>
      </c>
      <c r="E1046">
        <v>10000000</v>
      </c>
    </row>
    <row r="1047" spans="1:5" x14ac:dyDescent="0.25">
      <c r="A1047">
        <v>34.517241379310342</v>
      </c>
      <c r="B1047">
        <v>10000000</v>
      </c>
      <c r="D1047">
        <v>34.517241379310342</v>
      </c>
      <c r="E1047">
        <v>10000000</v>
      </c>
    </row>
    <row r="1048" spans="1:5" x14ac:dyDescent="0.25">
      <c r="A1048">
        <v>33.366666666666667</v>
      </c>
      <c r="B1048">
        <v>10000000</v>
      </c>
      <c r="D1048">
        <v>33.366666666666667</v>
      </c>
      <c r="E1048">
        <v>10000000</v>
      </c>
    </row>
    <row r="1049" spans="1:5" x14ac:dyDescent="0.25">
      <c r="A1049">
        <v>32.29032258064516</v>
      </c>
      <c r="B1049">
        <v>10000000</v>
      </c>
      <c r="D1049">
        <v>32.29032258064516</v>
      </c>
      <c r="E1049">
        <v>10000000</v>
      </c>
    </row>
    <row r="1050" spans="1:5" x14ac:dyDescent="0.25">
      <c r="A1050">
        <v>31.28125</v>
      </c>
      <c r="B1050">
        <v>10000000</v>
      </c>
      <c r="D1050">
        <v>31.28125</v>
      </c>
      <c r="E1050">
        <v>10000000</v>
      </c>
    </row>
    <row r="1051" spans="1:5" x14ac:dyDescent="0.25">
      <c r="A1051">
        <v>30.333333333333332</v>
      </c>
      <c r="B1051">
        <v>10000000</v>
      </c>
      <c r="D1051">
        <v>30.333333333333332</v>
      </c>
      <c r="E1051">
        <v>10000000</v>
      </c>
    </row>
    <row r="1052" spans="1:5" x14ac:dyDescent="0.25">
      <c r="A1052">
        <v>29.441176470588236</v>
      </c>
      <c r="B1052">
        <v>10000000</v>
      </c>
      <c r="D1052">
        <v>29.441176470588236</v>
      </c>
      <c r="E1052">
        <v>10000000</v>
      </c>
    </row>
    <row r="1053" spans="1:5" x14ac:dyDescent="0.25">
      <c r="A1053">
        <v>28.599999999999998</v>
      </c>
      <c r="B1053">
        <v>10000000</v>
      </c>
      <c r="D1053">
        <v>28.599999999999998</v>
      </c>
      <c r="E1053">
        <v>10000000</v>
      </c>
    </row>
    <row r="1054" spans="1:5" x14ac:dyDescent="0.25">
      <c r="A1054">
        <v>27.805555555555554</v>
      </c>
      <c r="B1054">
        <v>10000000</v>
      </c>
      <c r="D1054">
        <v>27.805555555555554</v>
      </c>
      <c r="E1054">
        <v>10000000</v>
      </c>
    </row>
    <row r="1055" spans="1:5" x14ac:dyDescent="0.25">
      <c r="A1055">
        <v>27.054054054054056</v>
      </c>
      <c r="B1055">
        <v>10000000</v>
      </c>
      <c r="D1055">
        <v>27.054054054054056</v>
      </c>
      <c r="E1055">
        <v>10000000</v>
      </c>
    </row>
    <row r="1056" spans="1:5" x14ac:dyDescent="0.25">
      <c r="A1056">
        <v>26.342105263157897</v>
      </c>
      <c r="B1056">
        <v>10000000</v>
      </c>
      <c r="D1056">
        <v>26.342105263157897</v>
      </c>
      <c r="E1056">
        <v>10000000</v>
      </c>
    </row>
    <row r="1057" spans="1:5" x14ac:dyDescent="0.25">
      <c r="A1057">
        <v>25.666666666666668</v>
      </c>
      <c r="B1057">
        <v>10000000</v>
      </c>
      <c r="D1057">
        <v>25.666666666666668</v>
      </c>
      <c r="E1057">
        <v>10000000</v>
      </c>
    </row>
    <row r="1058" spans="1:5" x14ac:dyDescent="0.25">
      <c r="A1058">
        <v>25.024999999999999</v>
      </c>
      <c r="B1058">
        <v>10000000</v>
      </c>
      <c r="D1058">
        <v>25.024999999999999</v>
      </c>
      <c r="E1058">
        <v>10000000</v>
      </c>
    </row>
    <row r="1059" spans="1:5" x14ac:dyDescent="0.25">
      <c r="A1059">
        <v>24.414634146341463</v>
      </c>
      <c r="B1059">
        <v>10000000</v>
      </c>
      <c r="D1059">
        <v>24.414634146341463</v>
      </c>
      <c r="E1059">
        <v>10000000</v>
      </c>
    </row>
    <row r="1060" spans="1:5" x14ac:dyDescent="0.25">
      <c r="A1060">
        <v>23.833333333333332</v>
      </c>
      <c r="B1060">
        <v>10000000</v>
      </c>
      <c r="D1060">
        <v>23.833333333333332</v>
      </c>
      <c r="E1060">
        <v>10000000</v>
      </c>
    </row>
    <row r="1061" spans="1:5" x14ac:dyDescent="0.25">
      <c r="A1061">
        <v>23.279069767441857</v>
      </c>
      <c r="B1061">
        <v>10000000</v>
      </c>
      <c r="D1061">
        <v>23.279069767441857</v>
      </c>
      <c r="E1061">
        <v>10000000</v>
      </c>
    </row>
    <row r="1062" spans="1:5" x14ac:dyDescent="0.25">
      <c r="A1062">
        <v>22.75</v>
      </c>
      <c r="B1062">
        <v>10000000</v>
      </c>
      <c r="D1062">
        <v>22.75</v>
      </c>
      <c r="E1062">
        <v>10000000</v>
      </c>
    </row>
    <row r="1063" spans="1:5" x14ac:dyDescent="0.25">
      <c r="A1063">
        <v>22.244444444444447</v>
      </c>
      <c r="B1063">
        <v>10000000</v>
      </c>
      <c r="D1063">
        <v>22.244444444444447</v>
      </c>
      <c r="E1063">
        <v>10000000</v>
      </c>
    </row>
    <row r="1064" spans="1:5" x14ac:dyDescent="0.25">
      <c r="A1064">
        <v>21.760869565217391</v>
      </c>
      <c r="B1064">
        <v>10000000</v>
      </c>
      <c r="D1064">
        <v>21.760869565217391</v>
      </c>
      <c r="E1064">
        <v>10000000</v>
      </c>
    </row>
    <row r="1065" spans="1:5" x14ac:dyDescent="0.25">
      <c r="A1065">
        <v>21.297872340425531</v>
      </c>
      <c r="B1065">
        <v>10000000</v>
      </c>
      <c r="D1065">
        <v>21.297872340425531</v>
      </c>
      <c r="E1065">
        <v>10000000</v>
      </c>
    </row>
    <row r="1066" spans="1:5" x14ac:dyDescent="0.25">
      <c r="A1066">
        <v>20.854166666666668</v>
      </c>
      <c r="B1066">
        <v>10000000</v>
      </c>
      <c r="D1066">
        <v>20.854166666666668</v>
      </c>
      <c r="E1066">
        <v>10000000</v>
      </c>
    </row>
    <row r="1067" spans="1:5" x14ac:dyDescent="0.25">
      <c r="A1067">
        <v>20.428571428571427</v>
      </c>
      <c r="B1067">
        <v>10000000</v>
      </c>
      <c r="D1067">
        <v>20.428571428571427</v>
      </c>
      <c r="E1067">
        <v>10000000</v>
      </c>
    </row>
    <row r="1068" spans="1:5" x14ac:dyDescent="0.25">
      <c r="A1068">
        <v>20.02</v>
      </c>
      <c r="B1068">
        <v>10000000</v>
      </c>
      <c r="D1068">
        <v>20.02</v>
      </c>
      <c r="E1068">
        <v>10000000</v>
      </c>
    </row>
    <row r="1069" spans="1:5" x14ac:dyDescent="0.25">
      <c r="A1069">
        <v>19.627450980392155</v>
      </c>
      <c r="B1069">
        <v>10000000</v>
      </c>
      <c r="D1069">
        <v>19.627450980392155</v>
      </c>
      <c r="E1069">
        <v>10000000</v>
      </c>
    </row>
    <row r="1070" spans="1:5" x14ac:dyDescent="0.25">
      <c r="A1070">
        <v>19.25</v>
      </c>
      <c r="B1070">
        <v>10000000</v>
      </c>
      <c r="D1070">
        <v>19.25</v>
      </c>
      <c r="E1070">
        <v>10000000</v>
      </c>
    </row>
    <row r="1071" spans="1:5" x14ac:dyDescent="0.25">
      <c r="A1071">
        <v>18.886792452830189</v>
      </c>
      <c r="B1071">
        <v>2500000</v>
      </c>
      <c r="D1071">
        <v>18.886792452830189</v>
      </c>
      <c r="E1071">
        <v>5000000</v>
      </c>
    </row>
    <row r="1072" spans="1:5" x14ac:dyDescent="0.25">
      <c r="A1072">
        <v>18.537037037037038</v>
      </c>
      <c r="B1072">
        <v>2500000</v>
      </c>
      <c r="D1072">
        <v>18.537037037037038</v>
      </c>
      <c r="E1072">
        <v>5000000</v>
      </c>
    </row>
    <row r="1073" spans="1:5" x14ac:dyDescent="0.25">
      <c r="A1073">
        <v>18.2</v>
      </c>
      <c r="B1073">
        <v>2500000</v>
      </c>
      <c r="D1073">
        <v>18.2</v>
      </c>
      <c r="E1073">
        <v>5000000</v>
      </c>
    </row>
    <row r="1074" spans="1:5" x14ac:dyDescent="0.25">
      <c r="A1074">
        <v>17.875</v>
      </c>
      <c r="B1074">
        <v>2500000</v>
      </c>
      <c r="D1074">
        <v>17.875</v>
      </c>
      <c r="E1074">
        <v>5000000</v>
      </c>
    </row>
    <row r="1075" spans="1:5" x14ac:dyDescent="0.25">
      <c r="A1075">
        <v>17.561403508771928</v>
      </c>
      <c r="B1075">
        <v>2500000</v>
      </c>
      <c r="D1075">
        <v>17.561403508771928</v>
      </c>
      <c r="E1075">
        <v>5000000</v>
      </c>
    </row>
    <row r="1076" spans="1:5" x14ac:dyDescent="0.25">
      <c r="A1076">
        <v>17.258620689655171</v>
      </c>
      <c r="B1076">
        <v>2500000</v>
      </c>
      <c r="D1076">
        <v>17.258620689655171</v>
      </c>
      <c r="E1076">
        <v>3500000</v>
      </c>
    </row>
    <row r="1077" spans="1:5" x14ac:dyDescent="0.25">
      <c r="A1077">
        <v>16.966101694915253</v>
      </c>
      <c r="B1077">
        <v>2500000</v>
      </c>
      <c r="D1077">
        <v>16.966101694915253</v>
      </c>
      <c r="E1077">
        <v>3500000</v>
      </c>
    </row>
    <row r="1078" spans="1:5" x14ac:dyDescent="0.25">
      <c r="A1078">
        <v>16.683333333333334</v>
      </c>
      <c r="B1078">
        <v>2500000</v>
      </c>
      <c r="D1078">
        <v>16.683333333333334</v>
      </c>
      <c r="E1078">
        <v>3500000</v>
      </c>
    </row>
    <row r="1079" spans="1:5" x14ac:dyDescent="0.25">
      <c r="A1079">
        <v>16.409836065573771</v>
      </c>
      <c r="B1079">
        <v>2500000</v>
      </c>
      <c r="D1079">
        <v>16.409836065573771</v>
      </c>
      <c r="E1079">
        <v>3500000</v>
      </c>
    </row>
    <row r="1080" spans="1:5" x14ac:dyDescent="0.25">
      <c r="A1080">
        <v>16.14516129032258</v>
      </c>
      <c r="B1080">
        <v>2500000</v>
      </c>
      <c r="D1080">
        <v>16.14516129032258</v>
      </c>
      <c r="E1080">
        <v>3500000</v>
      </c>
    </row>
    <row r="1081" spans="1:5" x14ac:dyDescent="0.25">
      <c r="A1081">
        <v>15.888888888888888</v>
      </c>
      <c r="B1081">
        <v>2500000</v>
      </c>
      <c r="D1081">
        <v>15.888888888888888</v>
      </c>
      <c r="E1081">
        <v>3500000</v>
      </c>
    </row>
    <row r="1082" spans="1:5" x14ac:dyDescent="0.25">
      <c r="A1082">
        <v>15.640625</v>
      </c>
      <c r="B1082">
        <v>2500000</v>
      </c>
      <c r="D1082">
        <v>15.640625</v>
      </c>
      <c r="E1082">
        <v>3500000</v>
      </c>
    </row>
    <row r="1083" spans="1:5" x14ac:dyDescent="0.25">
      <c r="A1083">
        <v>15.400000000000002</v>
      </c>
      <c r="B1083">
        <v>2500000</v>
      </c>
      <c r="D1083">
        <v>15.400000000000002</v>
      </c>
      <c r="E1083">
        <v>3500000</v>
      </c>
    </row>
    <row r="1084" spans="1:5" x14ac:dyDescent="0.25">
      <c r="A1084">
        <v>15.166666666666666</v>
      </c>
      <c r="B1084">
        <v>2500000</v>
      </c>
      <c r="D1084">
        <v>15.166666666666666</v>
      </c>
      <c r="E1084">
        <v>3500000</v>
      </c>
    </row>
    <row r="1085" spans="1:5" x14ac:dyDescent="0.25">
      <c r="A1085">
        <v>14.940298507462687</v>
      </c>
      <c r="B1085">
        <v>2500000</v>
      </c>
      <c r="D1085">
        <v>14.940298507462687</v>
      </c>
      <c r="E1085">
        <v>3500000</v>
      </c>
    </row>
    <row r="1086" spans="1:5" x14ac:dyDescent="0.25">
      <c r="A1086">
        <v>14.720588235294118</v>
      </c>
      <c r="B1086">
        <v>2500000</v>
      </c>
      <c r="D1086">
        <v>14.720588235294118</v>
      </c>
      <c r="E1086">
        <v>3500000</v>
      </c>
    </row>
    <row r="1087" spans="1:5" x14ac:dyDescent="0.25">
      <c r="A1087">
        <v>14.507246376811596</v>
      </c>
      <c r="B1087">
        <v>2500000</v>
      </c>
      <c r="D1087">
        <v>14.507246376811596</v>
      </c>
      <c r="E1087">
        <v>3500000</v>
      </c>
    </row>
    <row r="1088" spans="1:5" x14ac:dyDescent="0.25">
      <c r="A1088">
        <v>14.299999999999999</v>
      </c>
      <c r="B1088">
        <v>2500000</v>
      </c>
      <c r="D1088">
        <v>14.299999999999999</v>
      </c>
      <c r="E1088">
        <v>3500000</v>
      </c>
    </row>
    <row r="1089" spans="1:5" x14ac:dyDescent="0.25">
      <c r="A1089">
        <v>14.098591549295774</v>
      </c>
      <c r="B1089">
        <v>2500000</v>
      </c>
      <c r="D1089">
        <v>14.098591549295774</v>
      </c>
      <c r="E1089">
        <v>3500000</v>
      </c>
    </row>
    <row r="1090" spans="1:5" x14ac:dyDescent="0.25">
      <c r="A1090">
        <v>13.902777777777777</v>
      </c>
      <c r="B1090">
        <v>2500000</v>
      </c>
      <c r="D1090">
        <v>13.902777777777777</v>
      </c>
      <c r="E1090">
        <v>3500000</v>
      </c>
    </row>
    <row r="1091" spans="1:5" x14ac:dyDescent="0.25">
      <c r="A1091">
        <v>13.712328767123287</v>
      </c>
      <c r="B1091">
        <v>2500000</v>
      </c>
      <c r="D1091">
        <v>13.712328767123287</v>
      </c>
      <c r="E1091">
        <v>3500000</v>
      </c>
    </row>
    <row r="1092" spans="1:5" x14ac:dyDescent="0.25">
      <c r="A1092">
        <v>13.527027027027028</v>
      </c>
      <c r="B1092">
        <v>2500000</v>
      </c>
      <c r="D1092">
        <v>13.527027027027028</v>
      </c>
      <c r="E1092">
        <v>3500000</v>
      </c>
    </row>
    <row r="1093" spans="1:5" x14ac:dyDescent="0.25">
      <c r="A1093">
        <v>13.346666666666666</v>
      </c>
      <c r="B1093">
        <v>2500000</v>
      </c>
      <c r="D1093">
        <v>13.346666666666666</v>
      </c>
      <c r="E1093">
        <v>3500000</v>
      </c>
    </row>
    <row r="1094" spans="1:5" x14ac:dyDescent="0.25">
      <c r="A1094">
        <v>13.171052631578949</v>
      </c>
      <c r="B1094">
        <v>2500000</v>
      </c>
      <c r="D1094">
        <v>13.171052631578949</v>
      </c>
      <c r="E1094">
        <v>3500000</v>
      </c>
    </row>
    <row r="1095" spans="1:5" x14ac:dyDescent="0.25">
      <c r="A1095">
        <v>13</v>
      </c>
      <c r="B1095">
        <v>2500000</v>
      </c>
      <c r="D1095">
        <v>13</v>
      </c>
      <c r="E1095">
        <v>3500000</v>
      </c>
    </row>
    <row r="1096" spans="1:5" x14ac:dyDescent="0.25">
      <c r="A1096">
        <v>12.833333333333334</v>
      </c>
      <c r="B1096">
        <v>2500000</v>
      </c>
      <c r="D1096">
        <v>12.833333333333334</v>
      </c>
      <c r="E1096">
        <v>3500000</v>
      </c>
    </row>
    <row r="1097" spans="1:5" x14ac:dyDescent="0.25">
      <c r="A1097">
        <v>12.670886075949365</v>
      </c>
      <c r="B1097">
        <v>2500000</v>
      </c>
      <c r="D1097">
        <v>12.670886075949365</v>
      </c>
      <c r="E1097">
        <v>3000000</v>
      </c>
    </row>
    <row r="1098" spans="1:5" x14ac:dyDescent="0.25">
      <c r="A1098">
        <v>12.512499999999999</v>
      </c>
      <c r="B1098">
        <v>2500000</v>
      </c>
      <c r="D1098">
        <v>12.512499999999999</v>
      </c>
      <c r="E1098">
        <v>3000000</v>
      </c>
    </row>
    <row r="1099" spans="1:5" x14ac:dyDescent="0.25">
      <c r="A1099">
        <v>12.358024691358025</v>
      </c>
      <c r="B1099">
        <v>2500000</v>
      </c>
      <c r="D1099">
        <v>12.358024691358025</v>
      </c>
      <c r="E1099">
        <v>2500000</v>
      </c>
    </row>
    <row r="1100" spans="1:5" x14ac:dyDescent="0.25">
      <c r="A1100">
        <v>12.207317073170731</v>
      </c>
      <c r="B1100">
        <v>2500000</v>
      </c>
      <c r="D1100">
        <v>12.207317073170731</v>
      </c>
      <c r="E1100">
        <v>2500000</v>
      </c>
    </row>
    <row r="1101" spans="1:5" x14ac:dyDescent="0.25">
      <c r="A1101">
        <v>12.060240963855422</v>
      </c>
      <c r="B1101">
        <v>2500000</v>
      </c>
      <c r="D1101">
        <v>12.060240963855422</v>
      </c>
      <c r="E1101">
        <v>2500000</v>
      </c>
    </row>
    <row r="1102" spans="1:5" x14ac:dyDescent="0.25">
      <c r="A1102">
        <v>11.916666666666666</v>
      </c>
      <c r="B1102">
        <v>2500000</v>
      </c>
      <c r="D1102">
        <v>11.916666666666666</v>
      </c>
      <c r="E1102">
        <v>2500000</v>
      </c>
    </row>
    <row r="1103" spans="1:5" x14ac:dyDescent="0.25">
      <c r="A1103">
        <v>11.776470588235295</v>
      </c>
      <c r="B1103">
        <v>2500000</v>
      </c>
      <c r="D1103">
        <v>11.776470588235295</v>
      </c>
      <c r="E1103">
        <v>2500000</v>
      </c>
    </row>
    <row r="1104" spans="1:5" x14ac:dyDescent="0.25">
      <c r="A1104">
        <v>11.639534883720929</v>
      </c>
      <c r="B1104">
        <v>2500000</v>
      </c>
      <c r="D1104">
        <v>11.639534883720929</v>
      </c>
      <c r="E1104">
        <v>2500000</v>
      </c>
    </row>
    <row r="1105" spans="1:5" x14ac:dyDescent="0.25">
      <c r="A1105">
        <v>11.505747126436782</v>
      </c>
      <c r="B1105">
        <v>2500000</v>
      </c>
      <c r="D1105">
        <v>11.505747126436782</v>
      </c>
      <c r="E1105">
        <v>2500000</v>
      </c>
    </row>
    <row r="1106" spans="1:5" x14ac:dyDescent="0.25">
      <c r="A1106">
        <v>11.375</v>
      </c>
      <c r="B1106">
        <v>2500000</v>
      </c>
      <c r="D1106">
        <v>11.375</v>
      </c>
      <c r="E1106">
        <v>2500000</v>
      </c>
    </row>
    <row r="1107" spans="1:5" x14ac:dyDescent="0.25">
      <c r="A1107">
        <v>11.247191011235955</v>
      </c>
      <c r="B1107">
        <v>2500000</v>
      </c>
      <c r="D1107">
        <v>11.247191011235955</v>
      </c>
      <c r="E1107">
        <v>2500000</v>
      </c>
    </row>
    <row r="1108" spans="1:5" x14ac:dyDescent="0.25">
      <c r="A1108">
        <v>11.122222222222224</v>
      </c>
      <c r="B1108">
        <v>2500000</v>
      </c>
      <c r="D1108">
        <v>11.122222222222224</v>
      </c>
      <c r="E1108">
        <v>2500000</v>
      </c>
    </row>
    <row r="1109" spans="1:5" x14ac:dyDescent="0.25">
      <c r="A1109">
        <v>11</v>
      </c>
      <c r="B1109">
        <v>2500000</v>
      </c>
      <c r="D1109">
        <v>11</v>
      </c>
      <c r="E1109">
        <v>2500000</v>
      </c>
    </row>
    <row r="1110" spans="1:5" x14ac:dyDescent="0.25">
      <c r="A1110">
        <v>10.880434782608695</v>
      </c>
      <c r="B1110">
        <v>2500000</v>
      </c>
      <c r="D1110">
        <v>10.880434782608695</v>
      </c>
      <c r="E1110">
        <v>2500000</v>
      </c>
    </row>
    <row r="1111" spans="1:5" x14ac:dyDescent="0.25">
      <c r="A1111">
        <v>10.763440860215054</v>
      </c>
      <c r="B1111">
        <v>2500000</v>
      </c>
      <c r="D1111">
        <v>10.763440860215054</v>
      </c>
      <c r="E1111">
        <v>2500000</v>
      </c>
    </row>
    <row r="1112" spans="1:5" x14ac:dyDescent="0.25">
      <c r="A1112">
        <v>10.648936170212766</v>
      </c>
      <c r="B1112">
        <v>2500000</v>
      </c>
      <c r="D1112">
        <v>10.648936170212766</v>
      </c>
      <c r="E1112">
        <v>2500000</v>
      </c>
    </row>
    <row r="1113" spans="1:5" x14ac:dyDescent="0.25">
      <c r="A1113">
        <v>10.536842105263156</v>
      </c>
      <c r="B1113">
        <v>2500000</v>
      </c>
      <c r="D1113">
        <v>10.536842105263156</v>
      </c>
      <c r="E1113">
        <v>2500000</v>
      </c>
    </row>
    <row r="1114" spans="1:5" x14ac:dyDescent="0.25">
      <c r="A1114">
        <v>10.427083333333334</v>
      </c>
      <c r="B1114">
        <v>2500000</v>
      </c>
      <c r="D1114">
        <v>10.427083333333334</v>
      </c>
      <c r="E1114">
        <v>2500000</v>
      </c>
    </row>
    <row r="1115" spans="1:5" x14ac:dyDescent="0.25">
      <c r="A1115">
        <v>10.31958762886598</v>
      </c>
      <c r="B1115">
        <v>2500000</v>
      </c>
      <c r="D1115">
        <v>10.31958762886598</v>
      </c>
      <c r="E1115">
        <v>2500000</v>
      </c>
    </row>
    <row r="1116" spans="1:5" x14ac:dyDescent="0.25">
      <c r="A1116">
        <v>10.214285714285714</v>
      </c>
      <c r="B1116">
        <v>2500000</v>
      </c>
      <c r="D1116">
        <v>10.214285714285714</v>
      </c>
      <c r="E1116">
        <v>2500000</v>
      </c>
    </row>
    <row r="1117" spans="1:5" x14ac:dyDescent="0.25">
      <c r="A1117">
        <v>10.111111111111111</v>
      </c>
      <c r="B1117">
        <v>2500000</v>
      </c>
      <c r="D1117">
        <v>10.111111111111111</v>
      </c>
      <c r="E1117">
        <v>2500000</v>
      </c>
    </row>
    <row r="1118" spans="1:5" x14ac:dyDescent="0.25">
      <c r="A1118">
        <v>10.01</v>
      </c>
      <c r="B1118">
        <v>2500000</v>
      </c>
      <c r="D1118">
        <v>10.01</v>
      </c>
      <c r="E1118">
        <v>2500000</v>
      </c>
    </row>
    <row r="1119" spans="1:5" x14ac:dyDescent="0.25">
      <c r="A1119">
        <v>9.9108910891089117</v>
      </c>
      <c r="B1119">
        <v>2500000</v>
      </c>
      <c r="D1119">
        <v>9.9108910891089117</v>
      </c>
      <c r="E1119">
        <v>2500000</v>
      </c>
    </row>
    <row r="1120" spans="1:5" x14ac:dyDescent="0.25">
      <c r="A1120">
        <v>9.8137254901960773</v>
      </c>
      <c r="B1120">
        <v>2500000</v>
      </c>
      <c r="D1120">
        <v>9.8137254901960773</v>
      </c>
      <c r="E1120">
        <v>2500000</v>
      </c>
    </row>
    <row r="1121" spans="1:5" x14ac:dyDescent="0.25">
      <c r="A1121">
        <v>9.7184466019417481</v>
      </c>
      <c r="B1121">
        <v>2500000</v>
      </c>
      <c r="D1121">
        <v>9.7184466019417481</v>
      </c>
      <c r="E1121">
        <v>2500000</v>
      </c>
    </row>
    <row r="1122" spans="1:5" x14ac:dyDescent="0.25">
      <c r="A1122">
        <v>9.625</v>
      </c>
      <c r="B1122">
        <v>2500000</v>
      </c>
      <c r="D1122">
        <v>9.625</v>
      </c>
      <c r="E1122">
        <v>2500000</v>
      </c>
    </row>
    <row r="1123" spans="1:5" x14ac:dyDescent="0.25">
      <c r="A1123">
        <v>9.5333333333333332</v>
      </c>
      <c r="B1123">
        <v>2500000</v>
      </c>
      <c r="D1123">
        <v>9.5333333333333332</v>
      </c>
      <c r="E1123">
        <v>2500000</v>
      </c>
    </row>
    <row r="1124" spans="1:5" x14ac:dyDescent="0.25">
      <c r="A1124">
        <v>9.4433962264150946</v>
      </c>
      <c r="B1124">
        <v>2500000</v>
      </c>
      <c r="D1124">
        <v>9.4433962264150946</v>
      </c>
      <c r="E1124">
        <v>2500000</v>
      </c>
    </row>
    <row r="1125" spans="1:5" x14ac:dyDescent="0.25">
      <c r="A1125">
        <v>9.3551401869158877</v>
      </c>
      <c r="B1125">
        <v>2500000</v>
      </c>
      <c r="D1125">
        <v>9.3551401869158877</v>
      </c>
      <c r="E1125">
        <v>2500000</v>
      </c>
    </row>
    <row r="1126" spans="1:5" x14ac:dyDescent="0.25">
      <c r="A1126">
        <v>9.268518518518519</v>
      </c>
      <c r="B1126">
        <v>2500000</v>
      </c>
      <c r="D1126">
        <v>9.268518518518519</v>
      </c>
      <c r="E1126">
        <v>2500000</v>
      </c>
    </row>
    <row r="1127" spans="1:5" x14ac:dyDescent="0.25">
      <c r="A1127">
        <v>9.1834862385321099</v>
      </c>
      <c r="B1127">
        <v>2500000</v>
      </c>
      <c r="D1127">
        <v>9.1834862385321099</v>
      </c>
      <c r="E1127">
        <v>2500000</v>
      </c>
    </row>
    <row r="1128" spans="1:5" x14ac:dyDescent="0.25">
      <c r="A1128">
        <v>9.1</v>
      </c>
      <c r="B1128">
        <v>2500000</v>
      </c>
      <c r="D1128">
        <v>9.1</v>
      </c>
      <c r="E1128">
        <v>2500000</v>
      </c>
    </row>
    <row r="1129" spans="1:5" x14ac:dyDescent="0.25">
      <c r="A1129">
        <v>9.0180180180180169</v>
      </c>
      <c r="B1129">
        <v>2500000</v>
      </c>
      <c r="D1129">
        <v>9.0180180180180169</v>
      </c>
      <c r="E1129">
        <v>2500000</v>
      </c>
    </row>
    <row r="1130" spans="1:5" x14ac:dyDescent="0.25">
      <c r="A1130">
        <v>8.9375</v>
      </c>
      <c r="B1130">
        <v>2500000</v>
      </c>
      <c r="D1130">
        <v>8.9375</v>
      </c>
      <c r="E1130">
        <v>2500000</v>
      </c>
    </row>
    <row r="1131" spans="1:5" x14ac:dyDescent="0.25">
      <c r="A1131">
        <v>8.8584070796460175</v>
      </c>
      <c r="B1131">
        <v>2500000</v>
      </c>
      <c r="D1131">
        <v>8.8584070796460175</v>
      </c>
      <c r="E1131">
        <v>2500000</v>
      </c>
    </row>
    <row r="1132" spans="1:5" x14ac:dyDescent="0.25">
      <c r="A1132">
        <v>8.780701754385964</v>
      </c>
      <c r="B1132">
        <v>2500000</v>
      </c>
      <c r="D1132">
        <v>8.780701754385964</v>
      </c>
      <c r="E1132">
        <v>2500000</v>
      </c>
    </row>
    <row r="1133" spans="1:5" x14ac:dyDescent="0.25">
      <c r="A1133">
        <v>8.7043478260869573</v>
      </c>
      <c r="B1133">
        <v>2500000</v>
      </c>
      <c r="D1133">
        <v>8.7043478260869573</v>
      </c>
      <c r="E1133">
        <v>2500000</v>
      </c>
    </row>
    <row r="1134" spans="1:5" x14ac:dyDescent="0.25">
      <c r="A1134">
        <v>8.6293103448275854</v>
      </c>
      <c r="B1134">
        <v>2500000</v>
      </c>
      <c r="D1134">
        <v>8.6293103448275854</v>
      </c>
      <c r="E1134">
        <v>2500000</v>
      </c>
    </row>
    <row r="1135" spans="1:5" x14ac:dyDescent="0.25">
      <c r="A1135">
        <v>8.5555555555555554</v>
      </c>
      <c r="B1135">
        <v>2500000</v>
      </c>
      <c r="D1135">
        <v>8.5555555555555554</v>
      </c>
      <c r="E1135">
        <v>2500000</v>
      </c>
    </row>
    <row r="1136" spans="1:5" x14ac:dyDescent="0.25">
      <c r="A1136">
        <v>8.4830508474576263</v>
      </c>
      <c r="B1136">
        <v>2500000</v>
      </c>
      <c r="D1136">
        <v>8.4830508474576263</v>
      </c>
      <c r="E1136">
        <v>2500000</v>
      </c>
    </row>
    <row r="1137" spans="1:5" x14ac:dyDescent="0.25">
      <c r="A1137">
        <v>8.4117647058823533</v>
      </c>
      <c r="B1137">
        <v>2500000</v>
      </c>
      <c r="D1137">
        <v>8.4117647058823533</v>
      </c>
      <c r="E1137">
        <v>2500000</v>
      </c>
    </row>
    <row r="1138" spans="1:5" x14ac:dyDescent="0.25">
      <c r="A1138">
        <v>8.3416666666666668</v>
      </c>
      <c r="B1138">
        <v>2500000</v>
      </c>
      <c r="D1138">
        <v>8.3416666666666668</v>
      </c>
      <c r="E1138">
        <v>2500000</v>
      </c>
    </row>
    <row r="1139" spans="1:5" x14ac:dyDescent="0.25">
      <c r="A1139">
        <v>8.2727272727272734</v>
      </c>
      <c r="B1139">
        <v>2500000</v>
      </c>
      <c r="D1139">
        <v>8.2727272727272734</v>
      </c>
      <c r="E1139">
        <v>2500000</v>
      </c>
    </row>
    <row r="1140" spans="1:5" x14ac:dyDescent="0.25">
      <c r="A1140">
        <v>8.2049180327868854</v>
      </c>
      <c r="B1140">
        <v>2500000</v>
      </c>
      <c r="D1140">
        <v>8.2049180327868854</v>
      </c>
      <c r="E1140">
        <v>2500000</v>
      </c>
    </row>
    <row r="1141" spans="1:5" x14ac:dyDescent="0.25">
      <c r="A1141">
        <v>8.1382113821138216</v>
      </c>
      <c r="B1141">
        <v>2500000</v>
      </c>
      <c r="D1141">
        <v>8.1382113821138216</v>
      </c>
      <c r="E1141">
        <v>2500000</v>
      </c>
    </row>
    <row r="1142" spans="1:5" x14ac:dyDescent="0.25">
      <c r="A1142">
        <v>8.07258064516129</v>
      </c>
      <c r="B1142">
        <v>2500000</v>
      </c>
      <c r="D1142">
        <v>8.07258064516129</v>
      </c>
      <c r="E1142">
        <v>2500000</v>
      </c>
    </row>
    <row r="1143" spans="1:5" x14ac:dyDescent="0.25">
      <c r="A1143">
        <v>8.0079999999999991</v>
      </c>
      <c r="B1143">
        <v>2500000</v>
      </c>
      <c r="D1143">
        <v>8.0079999999999991</v>
      </c>
      <c r="E1143">
        <v>2500000</v>
      </c>
    </row>
    <row r="1144" spans="1:5" x14ac:dyDescent="0.25">
      <c r="A1144">
        <v>7.9444444444444438</v>
      </c>
      <c r="B1144">
        <v>2500000</v>
      </c>
      <c r="D1144">
        <v>7.9444444444444438</v>
      </c>
      <c r="E1144">
        <v>2500000</v>
      </c>
    </row>
    <row r="1145" spans="1:5" x14ac:dyDescent="0.25">
      <c r="A1145">
        <v>7.8818897637795269</v>
      </c>
      <c r="B1145">
        <v>2500000</v>
      </c>
      <c r="D1145">
        <v>7.8818897637795269</v>
      </c>
      <c r="E1145">
        <v>2500000</v>
      </c>
    </row>
    <row r="1146" spans="1:5" x14ac:dyDescent="0.25">
      <c r="A1146">
        <v>7.8203125</v>
      </c>
      <c r="B1146">
        <v>2500000</v>
      </c>
      <c r="D1146">
        <v>7.8203125</v>
      </c>
      <c r="E1146">
        <v>2500000</v>
      </c>
    </row>
    <row r="1147" spans="1:5" x14ac:dyDescent="0.25">
      <c r="A1147">
        <v>7.7596899224806206</v>
      </c>
      <c r="B1147">
        <v>2500000</v>
      </c>
      <c r="D1147">
        <v>7.7596899224806206</v>
      </c>
      <c r="E1147">
        <v>2500000</v>
      </c>
    </row>
    <row r="1148" spans="1:5" x14ac:dyDescent="0.25">
      <c r="A1148">
        <v>7.7000000000000011</v>
      </c>
      <c r="B1148">
        <v>2500000</v>
      </c>
      <c r="D1148">
        <v>7.7000000000000011</v>
      </c>
      <c r="E1148">
        <v>2500000</v>
      </c>
    </row>
    <row r="1149" spans="1:5" x14ac:dyDescent="0.25">
      <c r="A1149">
        <v>7.6412213740458013</v>
      </c>
      <c r="B1149">
        <v>2500000</v>
      </c>
      <c r="D1149">
        <v>7.6412213740458013</v>
      </c>
      <c r="E1149">
        <v>2500000</v>
      </c>
    </row>
    <row r="1150" spans="1:5" x14ac:dyDescent="0.25">
      <c r="A1150">
        <v>7.583333333333333</v>
      </c>
      <c r="B1150">
        <v>2500000</v>
      </c>
      <c r="D1150">
        <v>7.583333333333333</v>
      </c>
      <c r="E1150">
        <v>2500000</v>
      </c>
    </row>
    <row r="1151" spans="1:5" x14ac:dyDescent="0.25">
      <c r="A1151">
        <v>7.5263157894736841</v>
      </c>
      <c r="B1151">
        <v>2500000</v>
      </c>
      <c r="D1151">
        <v>7.5263157894736841</v>
      </c>
      <c r="E1151">
        <v>2500000</v>
      </c>
    </row>
    <row r="1152" spans="1:5" x14ac:dyDescent="0.25">
      <c r="A1152">
        <v>7.4701492537313436</v>
      </c>
      <c r="B1152">
        <v>2500000</v>
      </c>
      <c r="D1152">
        <v>7.4701492537313436</v>
      </c>
      <c r="E1152">
        <v>2500000</v>
      </c>
    </row>
    <row r="1153" spans="1:5" x14ac:dyDescent="0.25">
      <c r="A1153">
        <v>7.4148148148148145</v>
      </c>
      <c r="B1153">
        <v>2500000</v>
      </c>
      <c r="D1153">
        <v>7.4148148148148145</v>
      </c>
      <c r="E1153">
        <v>2500000</v>
      </c>
    </row>
    <row r="1154" spans="1:5" x14ac:dyDescent="0.25">
      <c r="A1154">
        <v>7.3602941176470589</v>
      </c>
      <c r="B1154">
        <v>2500000</v>
      </c>
      <c r="D1154">
        <v>7.3602941176470589</v>
      </c>
      <c r="E1154">
        <v>2500000</v>
      </c>
    </row>
    <row r="1155" spans="1:5" x14ac:dyDescent="0.25">
      <c r="A1155">
        <v>7.3065693430656937</v>
      </c>
      <c r="B1155">
        <v>2500000</v>
      </c>
      <c r="D1155">
        <v>7.3065693430656937</v>
      </c>
      <c r="E1155">
        <v>2500000</v>
      </c>
    </row>
    <row r="1156" spans="1:5" x14ac:dyDescent="0.25">
      <c r="A1156">
        <v>7.2536231884057978</v>
      </c>
      <c r="B1156">
        <v>2500000</v>
      </c>
      <c r="D1156">
        <v>7.2536231884057978</v>
      </c>
      <c r="E1156">
        <v>2500000</v>
      </c>
    </row>
    <row r="1157" spans="1:5" x14ac:dyDescent="0.25">
      <c r="A1157">
        <v>7.2014388489208638</v>
      </c>
      <c r="B1157">
        <v>2500000</v>
      </c>
      <c r="D1157">
        <v>7.2014388489208638</v>
      </c>
      <c r="E1157">
        <v>2500000</v>
      </c>
    </row>
    <row r="1158" spans="1:5" x14ac:dyDescent="0.25">
      <c r="A1158">
        <v>7.1499999999999995</v>
      </c>
      <c r="B1158">
        <v>2500000</v>
      </c>
      <c r="D1158">
        <v>7.1499999999999995</v>
      </c>
      <c r="E1158">
        <v>2500000</v>
      </c>
    </row>
    <row r="1159" spans="1:5" x14ac:dyDescent="0.25">
      <c r="A1159">
        <v>7.0992907801418434</v>
      </c>
      <c r="B1159">
        <v>2500000</v>
      </c>
      <c r="D1159">
        <v>7.0992907801418434</v>
      </c>
      <c r="E1159">
        <v>2500000</v>
      </c>
    </row>
    <row r="1160" spans="1:5" x14ac:dyDescent="0.25">
      <c r="A1160">
        <v>7.049295774647887</v>
      </c>
      <c r="B1160">
        <v>2500000</v>
      </c>
      <c r="D1160">
        <v>7.049295774647887</v>
      </c>
      <c r="E1160">
        <v>2500000</v>
      </c>
    </row>
    <row r="1161" spans="1:5" x14ac:dyDescent="0.25">
      <c r="A1161">
        <v>7</v>
      </c>
      <c r="B1161">
        <v>2500000</v>
      </c>
      <c r="D1161">
        <v>7</v>
      </c>
      <c r="E1161">
        <v>2500000</v>
      </c>
    </row>
    <row r="1162" spans="1:5" x14ac:dyDescent="0.25">
      <c r="A1162">
        <v>6.9513888888888884</v>
      </c>
      <c r="B1162">
        <v>2500000</v>
      </c>
      <c r="D1162">
        <v>6.9513888888888884</v>
      </c>
      <c r="E1162">
        <v>2500000</v>
      </c>
    </row>
    <row r="1163" spans="1:5" x14ac:dyDescent="0.25">
      <c r="A1163">
        <v>6.9034482758620683</v>
      </c>
      <c r="B1163">
        <v>2500000</v>
      </c>
      <c r="D1163">
        <v>6.9034482758620683</v>
      </c>
      <c r="E1163">
        <v>2500000</v>
      </c>
    </row>
    <row r="1164" spans="1:5" x14ac:dyDescent="0.25">
      <c r="A1164">
        <v>6.8561643835616435</v>
      </c>
      <c r="B1164">
        <v>2500000</v>
      </c>
      <c r="D1164">
        <v>6.8561643835616435</v>
      </c>
      <c r="E1164">
        <v>2500000</v>
      </c>
    </row>
    <row r="1165" spans="1:5" x14ac:dyDescent="0.25">
      <c r="A1165">
        <v>6.8095238095238093</v>
      </c>
      <c r="B1165">
        <v>2500000</v>
      </c>
      <c r="D1165">
        <v>6.8095238095238093</v>
      </c>
      <c r="E1165">
        <v>2500000</v>
      </c>
    </row>
    <row r="1166" spans="1:5" x14ac:dyDescent="0.25">
      <c r="A1166">
        <v>6.763513513513514</v>
      </c>
      <c r="B1166">
        <v>2500000</v>
      </c>
      <c r="D1166">
        <v>6.763513513513514</v>
      </c>
      <c r="E1166">
        <v>2500000</v>
      </c>
    </row>
    <row r="1167" spans="1:5" x14ac:dyDescent="0.25">
      <c r="A1167">
        <v>6.7181208053691268</v>
      </c>
      <c r="B1167">
        <v>1000000</v>
      </c>
      <c r="D1167">
        <v>6.7181208053691268</v>
      </c>
      <c r="E1167">
        <v>2500000</v>
      </c>
    </row>
    <row r="1168" spans="1:5" x14ac:dyDescent="0.25">
      <c r="A1168">
        <v>6.6733333333333329</v>
      </c>
      <c r="B1168">
        <v>1000000</v>
      </c>
      <c r="D1168">
        <v>6.6733333333333329</v>
      </c>
      <c r="E1168">
        <v>2500000</v>
      </c>
    </row>
    <row r="1169" spans="1:5" x14ac:dyDescent="0.25">
      <c r="A1169">
        <v>6.629139072847682</v>
      </c>
      <c r="B1169">
        <v>1000000</v>
      </c>
      <c r="D1169">
        <v>6.629139072847682</v>
      </c>
      <c r="E1169">
        <v>2000000</v>
      </c>
    </row>
    <row r="1170" spans="1:5" x14ac:dyDescent="0.25">
      <c r="A1170">
        <v>6.5855263157894743</v>
      </c>
      <c r="B1170">
        <v>1000000</v>
      </c>
      <c r="D1170">
        <v>6.5855263157894743</v>
      </c>
      <c r="E1170">
        <v>2000000</v>
      </c>
    </row>
    <row r="1171" spans="1:5" x14ac:dyDescent="0.25">
      <c r="A1171">
        <v>6.5424836601307197</v>
      </c>
      <c r="B1171">
        <v>1000000</v>
      </c>
      <c r="D1171">
        <v>6.5424836601307197</v>
      </c>
      <c r="E1171">
        <v>2000000</v>
      </c>
    </row>
    <row r="1172" spans="1:5" x14ac:dyDescent="0.25">
      <c r="A1172">
        <v>6.5</v>
      </c>
      <c r="B1172">
        <v>1000000</v>
      </c>
      <c r="D1172">
        <v>6.5</v>
      </c>
      <c r="E1172">
        <v>2000000</v>
      </c>
    </row>
    <row r="1173" spans="1:5" x14ac:dyDescent="0.25">
      <c r="A1173">
        <v>6.4580645161290322</v>
      </c>
      <c r="B1173">
        <v>1000000</v>
      </c>
      <c r="D1173">
        <v>6.4580645161290322</v>
      </c>
      <c r="E1173">
        <v>2000000</v>
      </c>
    </row>
    <row r="1174" spans="1:5" x14ac:dyDescent="0.25">
      <c r="A1174">
        <v>6.416666666666667</v>
      </c>
      <c r="B1174">
        <v>1000000</v>
      </c>
      <c r="D1174">
        <v>6.416666666666667</v>
      </c>
      <c r="E1174">
        <v>2000000</v>
      </c>
    </row>
    <row r="1175" spans="1:5" x14ac:dyDescent="0.25">
      <c r="A1175">
        <v>6.3757961783439496</v>
      </c>
      <c r="B1175">
        <v>1000000</v>
      </c>
      <c r="D1175">
        <v>6.3757961783439496</v>
      </c>
      <c r="E1175">
        <v>2000000</v>
      </c>
    </row>
    <row r="1176" spans="1:5" x14ac:dyDescent="0.25">
      <c r="A1176">
        <v>6.3354430379746827</v>
      </c>
      <c r="B1176">
        <v>1000000</v>
      </c>
      <c r="D1176">
        <v>6.3354430379746827</v>
      </c>
      <c r="E1176">
        <v>2000000</v>
      </c>
    </row>
    <row r="1177" spans="1:5" x14ac:dyDescent="0.25">
      <c r="A1177">
        <v>6.2955974842767297</v>
      </c>
      <c r="B1177">
        <v>1000000</v>
      </c>
      <c r="D1177">
        <v>6.2955974842767297</v>
      </c>
      <c r="E1177">
        <v>2000000</v>
      </c>
    </row>
    <row r="1178" spans="1:5" x14ac:dyDescent="0.25">
      <c r="A1178">
        <v>6.2562499999999996</v>
      </c>
      <c r="B1178">
        <v>1000000</v>
      </c>
      <c r="D1178">
        <v>6.2562499999999996</v>
      </c>
      <c r="E1178">
        <v>1000000</v>
      </c>
    </row>
    <row r="1179" spans="1:5" x14ac:dyDescent="0.25">
      <c r="A1179">
        <v>6.2173913043478262</v>
      </c>
      <c r="B1179">
        <v>1000000</v>
      </c>
      <c r="D1179">
        <v>6.2173913043478262</v>
      </c>
      <c r="E1179">
        <v>1000000</v>
      </c>
    </row>
    <row r="1180" spans="1:5" x14ac:dyDescent="0.25">
      <c r="A1180">
        <v>6.1790123456790127</v>
      </c>
      <c r="B1180">
        <v>1000000</v>
      </c>
      <c r="D1180">
        <v>6.1790123456790127</v>
      </c>
      <c r="E1180">
        <v>1000000</v>
      </c>
    </row>
    <row r="1181" spans="1:5" x14ac:dyDescent="0.25">
      <c r="A1181">
        <v>6.1411042944785272</v>
      </c>
      <c r="B1181">
        <v>1000000</v>
      </c>
      <c r="D1181">
        <v>6.1411042944785272</v>
      </c>
      <c r="E1181">
        <v>1000000</v>
      </c>
    </row>
    <row r="1182" spans="1:5" x14ac:dyDescent="0.25">
      <c r="A1182">
        <v>6.1036585365853657</v>
      </c>
      <c r="B1182">
        <v>1000000</v>
      </c>
      <c r="D1182">
        <v>6.1036585365853657</v>
      </c>
      <c r="E1182">
        <v>1000000</v>
      </c>
    </row>
    <row r="1183" spans="1:5" x14ac:dyDescent="0.25">
      <c r="A1183">
        <v>6.0666666666666664</v>
      </c>
      <c r="B1183">
        <v>1000000</v>
      </c>
      <c r="D1183">
        <v>6.0666666666666664</v>
      </c>
      <c r="E1183">
        <v>1000000</v>
      </c>
    </row>
    <row r="1184" spans="1:5" x14ac:dyDescent="0.25">
      <c r="A1184">
        <v>6.0301204819277112</v>
      </c>
      <c r="B1184">
        <v>1000000</v>
      </c>
      <c r="D1184">
        <v>6.0301204819277112</v>
      </c>
      <c r="E1184">
        <v>1000000</v>
      </c>
    </row>
    <row r="1185" spans="1:5" x14ac:dyDescent="0.25">
      <c r="A1185">
        <v>5.9940119760479034</v>
      </c>
      <c r="B1185">
        <v>1000000</v>
      </c>
      <c r="D1185">
        <v>5.9940119760479034</v>
      </c>
      <c r="E1185">
        <v>1000000</v>
      </c>
    </row>
    <row r="1186" spans="1:5" x14ac:dyDescent="0.25">
      <c r="A1186">
        <v>5.958333333333333</v>
      </c>
      <c r="B1186">
        <v>1000000</v>
      </c>
      <c r="D1186">
        <v>5.958333333333333</v>
      </c>
      <c r="E1186">
        <v>1000000</v>
      </c>
    </row>
    <row r="1187" spans="1:5" x14ac:dyDescent="0.25">
      <c r="A1187">
        <v>5.9230769230769234</v>
      </c>
      <c r="B1187">
        <v>1000000</v>
      </c>
      <c r="D1187">
        <v>5.9230769230769234</v>
      </c>
      <c r="E1187">
        <v>1000000</v>
      </c>
    </row>
    <row r="1188" spans="1:5" x14ac:dyDescent="0.25">
      <c r="A1188">
        <v>5.8882352941176475</v>
      </c>
      <c r="B1188">
        <v>1000000</v>
      </c>
      <c r="D1188">
        <v>5.8882352941176475</v>
      </c>
      <c r="E1188">
        <v>1000000</v>
      </c>
    </row>
    <row r="1189" spans="1:5" x14ac:dyDescent="0.25">
      <c r="A1189">
        <v>5.8538011695906436</v>
      </c>
      <c r="B1189">
        <v>1000000</v>
      </c>
      <c r="D1189">
        <v>5.8538011695906436</v>
      </c>
      <c r="E1189">
        <v>1000000</v>
      </c>
    </row>
    <row r="1190" spans="1:5" x14ac:dyDescent="0.25">
      <c r="A1190">
        <v>5.8197674418604644</v>
      </c>
      <c r="B1190">
        <v>1000000</v>
      </c>
      <c r="D1190">
        <v>5.8197674418604644</v>
      </c>
      <c r="E1190">
        <v>1000000</v>
      </c>
    </row>
    <row r="1191" spans="1:5" x14ac:dyDescent="0.25">
      <c r="A1191">
        <v>5.7861271676300579</v>
      </c>
      <c r="B1191">
        <v>1000000</v>
      </c>
      <c r="D1191">
        <v>5.7861271676300579</v>
      </c>
      <c r="E1191">
        <v>1000000</v>
      </c>
    </row>
    <row r="1192" spans="1:5" x14ac:dyDescent="0.25">
      <c r="A1192">
        <v>5.7528735632183912</v>
      </c>
      <c r="B1192">
        <v>1000000</v>
      </c>
      <c r="D1192">
        <v>5.7528735632183912</v>
      </c>
      <c r="E1192">
        <v>1000000</v>
      </c>
    </row>
    <row r="1193" spans="1:5" x14ac:dyDescent="0.25">
      <c r="A1193">
        <v>5.7200000000000006</v>
      </c>
      <c r="B1193">
        <v>1000000</v>
      </c>
      <c r="D1193">
        <v>5.7200000000000006</v>
      </c>
      <c r="E1193">
        <v>1000000</v>
      </c>
    </row>
    <row r="1194" spans="1:5" x14ac:dyDescent="0.25">
      <c r="A1194">
        <v>5.6875</v>
      </c>
      <c r="B1194">
        <v>1000000</v>
      </c>
      <c r="D1194">
        <v>5.6875</v>
      </c>
      <c r="E1194">
        <v>1000000</v>
      </c>
    </row>
    <row r="1195" spans="1:5" x14ac:dyDescent="0.25">
      <c r="A1195">
        <v>5.6553672316384178</v>
      </c>
      <c r="B1195">
        <v>1000000</v>
      </c>
      <c r="D1195">
        <v>5.6553672316384178</v>
      </c>
      <c r="E1195">
        <v>1000000</v>
      </c>
    </row>
    <row r="1196" spans="1:5" x14ac:dyDescent="0.25">
      <c r="A1196">
        <v>5.6235955056179776</v>
      </c>
      <c r="B1196">
        <v>1000000</v>
      </c>
      <c r="D1196">
        <v>5.6235955056179776</v>
      </c>
      <c r="E1196">
        <v>1000000</v>
      </c>
    </row>
    <row r="1197" spans="1:5" x14ac:dyDescent="0.25">
      <c r="A1197">
        <v>5.5921787709497206</v>
      </c>
      <c r="B1197">
        <v>1000000</v>
      </c>
      <c r="D1197">
        <v>5.5921787709497206</v>
      </c>
      <c r="E1197">
        <v>1000000</v>
      </c>
    </row>
    <row r="1198" spans="1:5" x14ac:dyDescent="0.25">
      <c r="A1198">
        <v>5.5611111111111118</v>
      </c>
      <c r="B1198">
        <v>1000000</v>
      </c>
      <c r="D1198">
        <v>5.5611111111111118</v>
      </c>
      <c r="E1198">
        <v>1000000</v>
      </c>
    </row>
    <row r="1199" spans="1:5" x14ac:dyDescent="0.25">
      <c r="A1199">
        <v>5.5303867403314912</v>
      </c>
      <c r="B1199">
        <v>1000000</v>
      </c>
      <c r="D1199">
        <v>5.5303867403314912</v>
      </c>
      <c r="E1199">
        <v>1000000</v>
      </c>
    </row>
    <row r="1200" spans="1:5" x14ac:dyDescent="0.25">
      <c r="A1200">
        <v>5.5</v>
      </c>
      <c r="B1200">
        <v>1000000</v>
      </c>
      <c r="D1200">
        <v>5.5</v>
      </c>
      <c r="E1200">
        <v>1000000</v>
      </c>
    </row>
    <row r="1201" spans="1:5" x14ac:dyDescent="0.25">
      <c r="A1201">
        <v>5.4699453551912569</v>
      </c>
      <c r="B1201">
        <v>1000000</v>
      </c>
      <c r="D1201">
        <v>5.4699453551912569</v>
      </c>
      <c r="E1201">
        <v>1000000</v>
      </c>
    </row>
    <row r="1202" spans="1:5" x14ac:dyDescent="0.25">
      <c r="A1202">
        <v>5.4402173913043477</v>
      </c>
      <c r="B1202">
        <v>1000000</v>
      </c>
      <c r="D1202">
        <v>5.4402173913043477</v>
      </c>
      <c r="E1202">
        <v>1000000</v>
      </c>
    </row>
    <row r="1203" spans="1:5" x14ac:dyDescent="0.25">
      <c r="A1203">
        <v>5.4108108108108111</v>
      </c>
      <c r="B1203">
        <v>1000000</v>
      </c>
      <c r="D1203">
        <v>5.4108108108108111</v>
      </c>
      <c r="E1203">
        <v>1000000</v>
      </c>
    </row>
    <row r="1204" spans="1:5" x14ac:dyDescent="0.25">
      <c r="A1204">
        <v>5.381720430107527</v>
      </c>
      <c r="B1204">
        <v>1000000</v>
      </c>
      <c r="D1204">
        <v>5.381720430107527</v>
      </c>
      <c r="E1204">
        <v>1000000</v>
      </c>
    </row>
    <row r="1205" spans="1:5" x14ac:dyDescent="0.25">
      <c r="A1205">
        <v>5.3529411764705879</v>
      </c>
      <c r="B1205">
        <v>1000000</v>
      </c>
      <c r="D1205">
        <v>5.3529411764705879</v>
      </c>
      <c r="E1205">
        <v>1000000</v>
      </c>
    </row>
    <row r="1206" spans="1:5" x14ac:dyDescent="0.25">
      <c r="A1206">
        <v>5.3244680851063828</v>
      </c>
      <c r="B1206">
        <v>1000000</v>
      </c>
      <c r="D1206">
        <v>5.3244680851063828</v>
      </c>
      <c r="E1206">
        <v>1000000</v>
      </c>
    </row>
    <row r="1207" spans="1:5" x14ac:dyDescent="0.25">
      <c r="A1207">
        <v>5.2962962962962967</v>
      </c>
      <c r="B1207">
        <v>1000000</v>
      </c>
      <c r="D1207">
        <v>5.2962962962962967</v>
      </c>
      <c r="E1207">
        <v>1000000</v>
      </c>
    </row>
    <row r="1208" spans="1:5" x14ac:dyDescent="0.25">
      <c r="A1208">
        <v>5.2684210526315782</v>
      </c>
      <c r="B1208">
        <v>1000000</v>
      </c>
      <c r="D1208">
        <v>5.2684210526315782</v>
      </c>
      <c r="E1208">
        <v>1000000</v>
      </c>
    </row>
    <row r="1209" spans="1:5" x14ac:dyDescent="0.25">
      <c r="A1209">
        <v>5.2408376963350785</v>
      </c>
      <c r="B1209">
        <v>1000000</v>
      </c>
      <c r="D1209">
        <v>5.2408376963350785</v>
      </c>
      <c r="E1209">
        <v>1000000</v>
      </c>
    </row>
    <row r="1210" spans="1:5" x14ac:dyDescent="0.25">
      <c r="A1210">
        <v>5.213541666666667</v>
      </c>
      <c r="B1210">
        <v>1000000</v>
      </c>
      <c r="D1210">
        <v>5.213541666666667</v>
      </c>
      <c r="E1210">
        <v>1000000</v>
      </c>
    </row>
    <row r="1211" spans="1:5" x14ac:dyDescent="0.25">
      <c r="A1211">
        <v>5.1865284974093262</v>
      </c>
      <c r="B1211">
        <v>1000000</v>
      </c>
      <c r="D1211">
        <v>5.1865284974093262</v>
      </c>
      <c r="E1211">
        <v>1000000</v>
      </c>
    </row>
    <row r="1212" spans="1:5" x14ac:dyDescent="0.25">
      <c r="A1212">
        <v>5.15979381443299</v>
      </c>
      <c r="B1212">
        <v>1000000</v>
      </c>
      <c r="D1212">
        <v>5.15979381443299</v>
      </c>
      <c r="E1212">
        <v>1000000</v>
      </c>
    </row>
    <row r="1213" spans="1:5" x14ac:dyDescent="0.25">
      <c r="A1213">
        <v>5.1333333333333329</v>
      </c>
      <c r="B1213">
        <v>1000000</v>
      </c>
      <c r="D1213">
        <v>5.1333333333333329</v>
      </c>
      <c r="E1213">
        <v>1000000</v>
      </c>
    </row>
    <row r="1214" spans="1:5" x14ac:dyDescent="0.25">
      <c r="A1214">
        <v>5.1071428571428568</v>
      </c>
      <c r="B1214">
        <v>1000000</v>
      </c>
      <c r="D1214">
        <v>5.1071428571428568</v>
      </c>
      <c r="E1214">
        <v>1000000</v>
      </c>
    </row>
    <row r="1215" spans="1:5" x14ac:dyDescent="0.25">
      <c r="A1215">
        <v>5.0812182741116754</v>
      </c>
      <c r="B1215">
        <v>1000000</v>
      </c>
      <c r="D1215">
        <v>5.0812182741116754</v>
      </c>
      <c r="E1215">
        <v>1000000</v>
      </c>
    </row>
    <row r="1216" spans="1:5" x14ac:dyDescent="0.25">
      <c r="A1216">
        <v>5.0555555555555554</v>
      </c>
      <c r="B1216">
        <v>1000000</v>
      </c>
      <c r="D1216">
        <v>5.0555555555555554</v>
      </c>
      <c r="E1216">
        <v>1000000</v>
      </c>
    </row>
    <row r="1217" spans="1:5" x14ac:dyDescent="0.25">
      <c r="A1217">
        <v>5.0301507537688437</v>
      </c>
      <c r="B1217">
        <v>1000000</v>
      </c>
      <c r="D1217">
        <v>5.0301507537688437</v>
      </c>
      <c r="E1217">
        <v>1000000</v>
      </c>
    </row>
    <row r="1218" spans="1:5" x14ac:dyDescent="0.25">
      <c r="A1218">
        <v>5.0049999999999999</v>
      </c>
      <c r="B1218">
        <v>1000000</v>
      </c>
      <c r="D1218">
        <v>5.0049999999999999</v>
      </c>
      <c r="E1218">
        <v>1000000</v>
      </c>
    </row>
    <row r="1219" spans="1:5" x14ac:dyDescent="0.25">
      <c r="A1219">
        <v>4.9800995024875618</v>
      </c>
      <c r="B1219">
        <v>1000000</v>
      </c>
      <c r="D1219">
        <v>4.9800995024875618</v>
      </c>
      <c r="E1219">
        <v>1000000</v>
      </c>
    </row>
    <row r="1220" spans="1:5" x14ac:dyDescent="0.25">
      <c r="A1220">
        <v>4.9554455445544559</v>
      </c>
      <c r="B1220">
        <v>1000000</v>
      </c>
      <c r="D1220">
        <v>4.9554455445544559</v>
      </c>
      <c r="E1220">
        <v>1000000</v>
      </c>
    </row>
    <row r="1221" spans="1:5" x14ac:dyDescent="0.25">
      <c r="A1221">
        <v>4.931034482758621</v>
      </c>
      <c r="B1221">
        <v>1000000</v>
      </c>
      <c r="D1221">
        <v>4.931034482758621</v>
      </c>
      <c r="E1221">
        <v>1000000</v>
      </c>
    </row>
    <row r="1222" spans="1:5" x14ac:dyDescent="0.25">
      <c r="A1222">
        <v>4.9068627450980387</v>
      </c>
      <c r="B1222">
        <v>1000000</v>
      </c>
      <c r="D1222">
        <v>4.9068627450980387</v>
      </c>
      <c r="E1222">
        <v>1000000</v>
      </c>
    </row>
    <row r="1223" spans="1:5" x14ac:dyDescent="0.25">
      <c r="A1223">
        <v>4.8829268292682926</v>
      </c>
      <c r="B1223">
        <v>1000000</v>
      </c>
      <c r="D1223">
        <v>4.8829268292682926</v>
      </c>
      <c r="E1223">
        <v>1000000</v>
      </c>
    </row>
    <row r="1224" spans="1:5" x14ac:dyDescent="0.25">
      <c r="A1224">
        <v>4.8592233009708741</v>
      </c>
      <c r="B1224">
        <v>1000000</v>
      </c>
      <c r="D1224">
        <v>4.8592233009708741</v>
      </c>
      <c r="E1224">
        <v>1000000</v>
      </c>
    </row>
    <row r="1225" spans="1:5" x14ac:dyDescent="0.25">
      <c r="A1225">
        <v>4.8357487922705316</v>
      </c>
      <c r="B1225">
        <v>1000000</v>
      </c>
      <c r="D1225">
        <v>4.8357487922705316</v>
      </c>
      <c r="E1225">
        <v>1000000</v>
      </c>
    </row>
    <row r="1226" spans="1:5" x14ac:dyDescent="0.25">
      <c r="A1226">
        <v>4.8125</v>
      </c>
      <c r="B1226">
        <v>1000000</v>
      </c>
      <c r="D1226">
        <v>4.8125</v>
      </c>
      <c r="E1226">
        <v>1000000</v>
      </c>
    </row>
    <row r="1227" spans="1:5" x14ac:dyDescent="0.25">
      <c r="A1227">
        <v>4.7894736842105265</v>
      </c>
      <c r="B1227">
        <v>1000000</v>
      </c>
      <c r="D1227">
        <v>4.7894736842105265</v>
      </c>
      <c r="E1227">
        <v>1000000</v>
      </c>
    </row>
    <row r="1228" spans="1:5" x14ac:dyDescent="0.25">
      <c r="A1228">
        <v>4.7666666666666666</v>
      </c>
      <c r="B1228">
        <v>1000000</v>
      </c>
      <c r="D1228">
        <v>4.7666666666666666</v>
      </c>
      <c r="E1228">
        <v>1000000</v>
      </c>
    </row>
    <row r="1229" spans="1:5" x14ac:dyDescent="0.25">
      <c r="A1229">
        <v>4.7440758293838865</v>
      </c>
      <c r="B1229">
        <v>1000000</v>
      </c>
      <c r="D1229">
        <v>4.7440758293838865</v>
      </c>
      <c r="E1229">
        <v>1000000</v>
      </c>
    </row>
    <row r="1230" spans="1:5" x14ac:dyDescent="0.25">
      <c r="A1230">
        <v>4.7216981132075473</v>
      </c>
      <c r="B1230">
        <v>1000000</v>
      </c>
      <c r="D1230">
        <v>4.7216981132075473</v>
      </c>
      <c r="E1230">
        <v>1000000</v>
      </c>
    </row>
    <row r="1231" spans="1:5" x14ac:dyDescent="0.25">
      <c r="A1231">
        <v>4.699530516431925</v>
      </c>
      <c r="B1231">
        <v>1000000</v>
      </c>
      <c r="D1231">
        <v>4.699530516431925</v>
      </c>
      <c r="E1231">
        <v>1000000</v>
      </c>
    </row>
    <row r="1232" spans="1:5" x14ac:dyDescent="0.25">
      <c r="A1232">
        <v>4.6775700934579438</v>
      </c>
      <c r="B1232">
        <v>1000000</v>
      </c>
      <c r="D1232">
        <v>4.6775700934579438</v>
      </c>
      <c r="E1232">
        <v>1000000</v>
      </c>
    </row>
    <row r="1233" spans="1:5" x14ac:dyDescent="0.25">
      <c r="A1233">
        <v>4.655813953488372</v>
      </c>
      <c r="B1233">
        <v>1000000</v>
      </c>
      <c r="D1233">
        <v>4.655813953488372</v>
      </c>
      <c r="E1233">
        <v>1000000</v>
      </c>
    </row>
    <row r="1234" spans="1:5" x14ac:dyDescent="0.25">
      <c r="A1234">
        <v>4.6342592592592595</v>
      </c>
      <c r="B1234">
        <v>1000000</v>
      </c>
      <c r="D1234">
        <v>4.6342592592592595</v>
      </c>
      <c r="E1234">
        <v>1000000</v>
      </c>
    </row>
    <row r="1235" spans="1:5" x14ac:dyDescent="0.25">
      <c r="A1235">
        <v>4.612903225806452</v>
      </c>
      <c r="B1235">
        <v>1000000</v>
      </c>
      <c r="D1235">
        <v>4.612903225806452</v>
      </c>
      <c r="E1235">
        <v>1000000</v>
      </c>
    </row>
    <row r="1236" spans="1:5" x14ac:dyDescent="0.25">
      <c r="A1236">
        <v>4.5917431192660549</v>
      </c>
      <c r="B1236">
        <v>1000000</v>
      </c>
      <c r="D1236">
        <v>4.5917431192660549</v>
      </c>
      <c r="E1236">
        <v>1000000</v>
      </c>
    </row>
    <row r="1237" spans="1:5" x14ac:dyDescent="0.25">
      <c r="A1237">
        <v>4.5707762557077629</v>
      </c>
      <c r="B1237">
        <v>1000000</v>
      </c>
      <c r="D1237">
        <v>4.5707762557077629</v>
      </c>
      <c r="E1237">
        <v>1000000</v>
      </c>
    </row>
    <row r="1238" spans="1:5" x14ac:dyDescent="0.25">
      <c r="A1238">
        <v>4.55</v>
      </c>
      <c r="B1238">
        <v>1000000</v>
      </c>
      <c r="D1238">
        <v>4.55</v>
      </c>
      <c r="E1238">
        <v>1000000</v>
      </c>
    </row>
    <row r="1239" spans="1:5" x14ac:dyDescent="0.25">
      <c r="A1239">
        <v>4.5294117647058822</v>
      </c>
      <c r="B1239">
        <v>1000000</v>
      </c>
      <c r="D1239">
        <v>4.5294117647058822</v>
      </c>
      <c r="E1239">
        <v>1000000</v>
      </c>
    </row>
    <row r="1240" spans="1:5" x14ac:dyDescent="0.25">
      <c r="A1240">
        <v>4.5090090090090085</v>
      </c>
      <c r="B1240">
        <v>1000000</v>
      </c>
      <c r="D1240">
        <v>4.5090090090090085</v>
      </c>
      <c r="E1240">
        <v>1000000</v>
      </c>
    </row>
    <row r="1241" spans="1:5" x14ac:dyDescent="0.25">
      <c r="A1241">
        <v>4.4887892376681613</v>
      </c>
      <c r="B1241">
        <v>1000000</v>
      </c>
      <c r="D1241">
        <v>4.4887892376681613</v>
      </c>
      <c r="E1241">
        <v>1000000</v>
      </c>
    </row>
    <row r="1242" spans="1:5" x14ac:dyDescent="0.25">
      <c r="A1242">
        <v>4.46875</v>
      </c>
      <c r="B1242">
        <v>1000000</v>
      </c>
      <c r="D1242">
        <v>4.46875</v>
      </c>
      <c r="E1242">
        <v>1000000</v>
      </c>
    </row>
    <row r="1243" spans="1:5" x14ac:dyDescent="0.25">
      <c r="A1243">
        <v>4.4488888888888889</v>
      </c>
      <c r="B1243">
        <v>1000000</v>
      </c>
      <c r="D1243">
        <v>4.4488888888888889</v>
      </c>
      <c r="E1243">
        <v>1000000</v>
      </c>
    </row>
    <row r="1244" spans="1:5" x14ac:dyDescent="0.25">
      <c r="A1244">
        <v>4.4292035398230087</v>
      </c>
      <c r="B1244">
        <v>1000000</v>
      </c>
      <c r="D1244">
        <v>4.4292035398230087</v>
      </c>
      <c r="E1244">
        <v>1000000</v>
      </c>
    </row>
    <row r="1245" spans="1:5" x14ac:dyDescent="0.25">
      <c r="A1245">
        <v>4.4096916299559465</v>
      </c>
      <c r="B1245">
        <v>1000000</v>
      </c>
      <c r="D1245">
        <v>4.4096916299559465</v>
      </c>
      <c r="E1245">
        <v>1000000</v>
      </c>
    </row>
    <row r="1246" spans="1:5" x14ac:dyDescent="0.25">
      <c r="A1246">
        <v>4.390350877192982</v>
      </c>
      <c r="B1246">
        <v>1000000</v>
      </c>
      <c r="D1246">
        <v>4.390350877192982</v>
      </c>
      <c r="E1246">
        <v>1000000</v>
      </c>
    </row>
    <row r="1247" spans="1:5" x14ac:dyDescent="0.25">
      <c r="A1247">
        <v>4.3711790393013104</v>
      </c>
      <c r="B1247">
        <v>1000000</v>
      </c>
      <c r="D1247">
        <v>4.3711790393013104</v>
      </c>
      <c r="E1247">
        <v>1000000</v>
      </c>
    </row>
    <row r="1248" spans="1:5" x14ac:dyDescent="0.25">
      <c r="A1248">
        <v>4.3521739130434787</v>
      </c>
      <c r="B1248">
        <v>1000000</v>
      </c>
      <c r="D1248">
        <v>4.3521739130434787</v>
      </c>
      <c r="E1248">
        <v>1000000</v>
      </c>
    </row>
    <row r="1249" spans="1:5" x14ac:dyDescent="0.25">
      <c r="A1249">
        <v>4.333333333333333</v>
      </c>
      <c r="B1249">
        <v>1000000</v>
      </c>
      <c r="D1249">
        <v>4.333333333333333</v>
      </c>
      <c r="E1249">
        <v>1000000</v>
      </c>
    </row>
    <row r="1250" spans="1:5" x14ac:dyDescent="0.25">
      <c r="A1250">
        <v>4.3146551724137927</v>
      </c>
      <c r="B1250">
        <v>1000000</v>
      </c>
      <c r="D1250">
        <v>4.3146551724137927</v>
      </c>
      <c r="E1250">
        <v>1000000</v>
      </c>
    </row>
    <row r="1251" spans="1:5" x14ac:dyDescent="0.25">
      <c r="A1251">
        <v>4.296137339055794</v>
      </c>
      <c r="B1251">
        <v>1000000</v>
      </c>
      <c r="D1251">
        <v>4.296137339055794</v>
      </c>
      <c r="E1251">
        <v>1000000</v>
      </c>
    </row>
    <row r="1252" spans="1:5" x14ac:dyDescent="0.25">
      <c r="A1252">
        <v>4.2777777777777777</v>
      </c>
      <c r="B1252">
        <v>1000000</v>
      </c>
      <c r="D1252">
        <v>4.2777777777777777</v>
      </c>
      <c r="E1252">
        <v>1000000</v>
      </c>
    </row>
    <row r="1253" spans="1:5" x14ac:dyDescent="0.25">
      <c r="A1253">
        <v>4.2595744680851064</v>
      </c>
      <c r="B1253">
        <v>1000000</v>
      </c>
      <c r="D1253">
        <v>4.2595744680851064</v>
      </c>
      <c r="E1253">
        <v>1000000</v>
      </c>
    </row>
    <row r="1254" spans="1:5" x14ac:dyDescent="0.25">
      <c r="A1254">
        <v>4.2415254237288131</v>
      </c>
      <c r="B1254">
        <v>1000000</v>
      </c>
      <c r="D1254">
        <v>4.2415254237288131</v>
      </c>
      <c r="E1254">
        <v>1000000</v>
      </c>
    </row>
    <row r="1255" spans="1:5" x14ac:dyDescent="0.25">
      <c r="A1255">
        <v>4.2236286919831221</v>
      </c>
      <c r="B1255">
        <v>1000000</v>
      </c>
      <c r="D1255">
        <v>4.2236286919831221</v>
      </c>
      <c r="E1255">
        <v>1000000</v>
      </c>
    </row>
    <row r="1256" spans="1:5" x14ac:dyDescent="0.25">
      <c r="A1256">
        <v>4.2058823529411766</v>
      </c>
      <c r="B1256">
        <v>1000000</v>
      </c>
      <c r="D1256">
        <v>4.2058823529411766</v>
      </c>
      <c r="E1256">
        <v>1000000</v>
      </c>
    </row>
    <row r="1257" spans="1:5" x14ac:dyDescent="0.25">
      <c r="A1257">
        <v>4.1882845188284517</v>
      </c>
      <c r="B1257">
        <v>1000000</v>
      </c>
      <c r="D1257">
        <v>4.1882845188284517</v>
      </c>
      <c r="E1257">
        <v>1000000</v>
      </c>
    </row>
    <row r="1258" spans="1:5" x14ac:dyDescent="0.25">
      <c r="A1258">
        <v>4.1708333333333334</v>
      </c>
      <c r="B1258">
        <v>1000000</v>
      </c>
      <c r="D1258">
        <v>4.1708333333333334</v>
      </c>
      <c r="E1258">
        <v>1000000</v>
      </c>
    </row>
    <row r="1259" spans="1:5" x14ac:dyDescent="0.25">
      <c r="A1259">
        <v>4.1535269709543563</v>
      </c>
      <c r="B1259">
        <v>1000000</v>
      </c>
      <c r="D1259">
        <v>4.1535269709543563</v>
      </c>
      <c r="E1259">
        <v>1000000</v>
      </c>
    </row>
    <row r="1260" spans="1:5" x14ac:dyDescent="0.25">
      <c r="A1260">
        <v>4.1363636363636367</v>
      </c>
      <c r="B1260">
        <v>1000000</v>
      </c>
      <c r="D1260">
        <v>4.1363636363636367</v>
      </c>
      <c r="E1260">
        <v>1000000</v>
      </c>
    </row>
    <row r="1261" spans="1:5" x14ac:dyDescent="0.25">
      <c r="A1261">
        <v>4.1193415637860085</v>
      </c>
      <c r="B1261">
        <v>1000000</v>
      </c>
      <c r="D1261">
        <v>4.1193415637860085</v>
      </c>
      <c r="E1261">
        <v>1000000</v>
      </c>
    </row>
    <row r="1262" spans="1:5" x14ac:dyDescent="0.25">
      <c r="A1262">
        <v>4.1024590163934427</v>
      </c>
      <c r="B1262">
        <v>1000000</v>
      </c>
      <c r="D1262">
        <v>4.1024590163934427</v>
      </c>
      <c r="E1262">
        <v>1000000</v>
      </c>
    </row>
    <row r="1263" spans="1:5" x14ac:dyDescent="0.25">
      <c r="A1263">
        <v>4.0857142857142854</v>
      </c>
      <c r="B1263">
        <v>1000000</v>
      </c>
      <c r="D1263">
        <v>4.0857142857142854</v>
      </c>
      <c r="E1263">
        <v>1000000</v>
      </c>
    </row>
    <row r="1264" spans="1:5" x14ac:dyDescent="0.25">
      <c r="A1264">
        <v>4.0691056910569108</v>
      </c>
      <c r="B1264">
        <v>1000000</v>
      </c>
      <c r="D1264">
        <v>4.0691056910569108</v>
      </c>
      <c r="E1264">
        <v>1000000</v>
      </c>
    </row>
    <row r="1265" spans="1:5" x14ac:dyDescent="0.25">
      <c r="A1265">
        <v>4.0526315789473681</v>
      </c>
      <c r="B1265">
        <v>1000000</v>
      </c>
      <c r="D1265">
        <v>4.0526315789473681</v>
      </c>
      <c r="E1265">
        <v>1000000</v>
      </c>
    </row>
    <row r="1266" spans="1:5" x14ac:dyDescent="0.25">
      <c r="A1266">
        <v>4.036290322580645</v>
      </c>
      <c r="B1266">
        <v>1000000</v>
      </c>
      <c r="D1266">
        <v>4.036290322580645</v>
      </c>
      <c r="E1266">
        <v>1000000</v>
      </c>
    </row>
    <row r="1267" spans="1:5" x14ac:dyDescent="0.25">
      <c r="A1267">
        <v>4.0200803212851408</v>
      </c>
      <c r="B1267">
        <v>1000000</v>
      </c>
      <c r="D1267">
        <v>4.0200803212851408</v>
      </c>
      <c r="E1267">
        <v>1000000</v>
      </c>
    </row>
    <row r="1268" spans="1:5" x14ac:dyDescent="0.25">
      <c r="A1268">
        <v>4.0039999999999996</v>
      </c>
      <c r="B1268">
        <v>1000000</v>
      </c>
      <c r="D1268">
        <v>4.0039999999999996</v>
      </c>
      <c r="E1268">
        <v>1000000</v>
      </c>
    </row>
    <row r="1269" spans="1:5" x14ac:dyDescent="0.25">
      <c r="A1269">
        <v>3.9880478087649402</v>
      </c>
      <c r="B1269">
        <v>1000000</v>
      </c>
      <c r="D1269">
        <v>3.9880478087649402</v>
      </c>
      <c r="E1269">
        <v>1000000</v>
      </c>
    </row>
    <row r="1270" spans="1:5" x14ac:dyDescent="0.25">
      <c r="A1270">
        <v>3.9722222222222219</v>
      </c>
      <c r="B1270">
        <v>1000000</v>
      </c>
      <c r="D1270">
        <v>3.9722222222222219</v>
      </c>
      <c r="E1270">
        <v>1000000</v>
      </c>
    </row>
    <row r="1271" spans="1:5" x14ac:dyDescent="0.25">
      <c r="A1271">
        <v>3.956521739130435</v>
      </c>
      <c r="B1271">
        <v>1000000</v>
      </c>
      <c r="D1271">
        <v>3.956521739130435</v>
      </c>
      <c r="E1271">
        <v>1000000</v>
      </c>
    </row>
    <row r="1272" spans="1:5" x14ac:dyDescent="0.25">
      <c r="A1272">
        <v>3.9409448818897634</v>
      </c>
      <c r="B1272">
        <v>1000000</v>
      </c>
      <c r="D1272">
        <v>3.9409448818897634</v>
      </c>
      <c r="E1272">
        <v>1000000</v>
      </c>
    </row>
    <row r="1273" spans="1:5" x14ac:dyDescent="0.25">
      <c r="A1273">
        <v>3.9254901960784316</v>
      </c>
      <c r="B1273">
        <v>1000000</v>
      </c>
      <c r="D1273">
        <v>3.9254901960784316</v>
      </c>
      <c r="E1273">
        <v>1000000</v>
      </c>
    </row>
    <row r="1274" spans="1:5" x14ac:dyDescent="0.25">
      <c r="A1274">
        <v>3.91015625</v>
      </c>
      <c r="B1274">
        <v>1000000</v>
      </c>
      <c r="D1274">
        <v>3.91015625</v>
      </c>
      <c r="E1274">
        <v>1000000</v>
      </c>
    </row>
    <row r="1275" spans="1:5" x14ac:dyDescent="0.25">
      <c r="A1275">
        <v>3.8949416342412446</v>
      </c>
      <c r="B1275">
        <v>1000000</v>
      </c>
      <c r="D1275">
        <v>3.8949416342412446</v>
      </c>
      <c r="E1275">
        <v>1000000</v>
      </c>
    </row>
    <row r="1276" spans="1:5" x14ac:dyDescent="0.25">
      <c r="A1276">
        <v>3.8798449612403103</v>
      </c>
      <c r="B1276">
        <v>1000000</v>
      </c>
      <c r="D1276">
        <v>3.8798449612403103</v>
      </c>
      <c r="E1276">
        <v>1000000</v>
      </c>
    </row>
    <row r="1277" spans="1:5" x14ac:dyDescent="0.25">
      <c r="A1277">
        <v>3.8648648648648649</v>
      </c>
      <c r="B1277">
        <v>1000000</v>
      </c>
      <c r="D1277">
        <v>3.8648648648648649</v>
      </c>
      <c r="E1277">
        <v>1000000</v>
      </c>
    </row>
    <row r="1278" spans="1:5" x14ac:dyDescent="0.25">
      <c r="A1278">
        <v>3.8500000000000005</v>
      </c>
      <c r="B1278">
        <v>1000000</v>
      </c>
      <c r="D1278">
        <v>3.8500000000000005</v>
      </c>
      <c r="E1278">
        <v>1000000</v>
      </c>
    </row>
    <row r="1279" spans="1:5" x14ac:dyDescent="0.25">
      <c r="A1279">
        <v>3.8352490421455938</v>
      </c>
      <c r="B1279">
        <v>1000000</v>
      </c>
      <c r="D1279">
        <v>3.8352490421455938</v>
      </c>
      <c r="E1279">
        <v>1000000</v>
      </c>
    </row>
    <row r="1280" spans="1:5" x14ac:dyDescent="0.25">
      <c r="A1280">
        <v>3.8206106870229006</v>
      </c>
      <c r="B1280">
        <v>1000000</v>
      </c>
      <c r="D1280">
        <v>3.8206106870229006</v>
      </c>
      <c r="E1280">
        <v>1000000</v>
      </c>
    </row>
    <row r="1281" spans="1:5" x14ac:dyDescent="0.25">
      <c r="A1281">
        <v>3.8060836501901143</v>
      </c>
      <c r="B1281">
        <v>1000000</v>
      </c>
      <c r="D1281">
        <v>3.8060836501901143</v>
      </c>
      <c r="E1281">
        <v>1000000</v>
      </c>
    </row>
    <row r="1282" spans="1:5" x14ac:dyDescent="0.25">
      <c r="A1282">
        <v>3.7916666666666665</v>
      </c>
      <c r="B1282">
        <v>1000000</v>
      </c>
      <c r="D1282">
        <v>3.7916666666666665</v>
      </c>
      <c r="E1282">
        <v>1000000</v>
      </c>
    </row>
    <row r="1283" spans="1:5" x14ac:dyDescent="0.25">
      <c r="A1283">
        <v>3.777358490566038</v>
      </c>
      <c r="B1283">
        <v>1000000</v>
      </c>
      <c r="D1283">
        <v>3.777358490566038</v>
      </c>
      <c r="E1283">
        <v>1000000</v>
      </c>
    </row>
    <row r="1284" spans="1:5" x14ac:dyDescent="0.25">
      <c r="A1284">
        <v>3.763157894736842</v>
      </c>
      <c r="B1284">
        <v>1000000</v>
      </c>
      <c r="D1284">
        <v>3.763157894736842</v>
      </c>
      <c r="E1284">
        <v>1000000</v>
      </c>
    </row>
    <row r="1285" spans="1:5" x14ac:dyDescent="0.25">
      <c r="A1285">
        <v>3.7490636704119846</v>
      </c>
      <c r="B1285">
        <v>1000000</v>
      </c>
      <c r="D1285">
        <v>3.7490636704119846</v>
      </c>
      <c r="E1285">
        <v>1000000</v>
      </c>
    </row>
    <row r="1286" spans="1:5" x14ac:dyDescent="0.25">
      <c r="A1286">
        <v>3.7350746268656718</v>
      </c>
      <c r="B1286">
        <v>1000000</v>
      </c>
      <c r="D1286">
        <v>3.7350746268656718</v>
      </c>
      <c r="E1286">
        <v>1000000</v>
      </c>
    </row>
    <row r="1287" spans="1:5" x14ac:dyDescent="0.25">
      <c r="A1287">
        <v>3.7211895910780668</v>
      </c>
      <c r="B1287">
        <v>1000000</v>
      </c>
      <c r="D1287">
        <v>3.7211895910780668</v>
      </c>
      <c r="E1287">
        <v>1000000</v>
      </c>
    </row>
    <row r="1288" spans="1:5" x14ac:dyDescent="0.25">
      <c r="A1288">
        <v>3.7074074074074073</v>
      </c>
      <c r="B1288">
        <v>1000000</v>
      </c>
      <c r="D1288">
        <v>3.7074074074074073</v>
      </c>
      <c r="E1288">
        <v>1000000</v>
      </c>
    </row>
    <row r="1289" spans="1:5" x14ac:dyDescent="0.25">
      <c r="A1289">
        <v>3.6937269372693726</v>
      </c>
      <c r="B1289">
        <v>1000000</v>
      </c>
      <c r="D1289">
        <v>3.6937269372693726</v>
      </c>
      <c r="E1289">
        <v>1000000</v>
      </c>
    </row>
    <row r="1290" spans="1:5" x14ac:dyDescent="0.25">
      <c r="A1290">
        <v>3.6801470588235294</v>
      </c>
      <c r="B1290">
        <v>1000000</v>
      </c>
      <c r="D1290">
        <v>3.6801470588235294</v>
      </c>
      <c r="E1290">
        <v>1000000</v>
      </c>
    </row>
    <row r="1291" spans="1:5" x14ac:dyDescent="0.25">
      <c r="A1291">
        <v>3.666666666666667</v>
      </c>
      <c r="B1291">
        <v>1000000</v>
      </c>
      <c r="D1291">
        <v>3.666666666666667</v>
      </c>
      <c r="E1291">
        <v>1000000</v>
      </c>
    </row>
    <row r="1292" spans="1:5" x14ac:dyDescent="0.25">
      <c r="A1292">
        <v>3.6532846715328469</v>
      </c>
      <c r="B1292">
        <v>1000000</v>
      </c>
      <c r="D1292">
        <v>3.6532846715328469</v>
      </c>
      <c r="E1292">
        <v>1000000</v>
      </c>
    </row>
    <row r="1293" spans="1:5" x14ac:dyDescent="0.25">
      <c r="A1293">
        <v>3.6399999999999997</v>
      </c>
      <c r="B1293">
        <v>1000000</v>
      </c>
      <c r="D1293">
        <v>3.6399999999999997</v>
      </c>
      <c r="E1293">
        <v>1000000</v>
      </c>
    </row>
    <row r="1294" spans="1:5" x14ac:dyDescent="0.25">
      <c r="A1294">
        <v>3.6268115942028989</v>
      </c>
      <c r="B1294">
        <v>1000000</v>
      </c>
      <c r="D1294">
        <v>3.6268115942028989</v>
      </c>
      <c r="E1294">
        <v>1000000</v>
      </c>
    </row>
    <row r="1295" spans="1:5" x14ac:dyDescent="0.25">
      <c r="A1295">
        <v>3.6137184115523464</v>
      </c>
      <c r="B1295">
        <v>1000000</v>
      </c>
      <c r="D1295">
        <v>3.6137184115523464</v>
      </c>
      <c r="E1295">
        <v>1000000</v>
      </c>
    </row>
    <row r="1296" spans="1:5" x14ac:dyDescent="0.25">
      <c r="A1296">
        <v>3.6007194244604319</v>
      </c>
      <c r="B1296">
        <v>1000000</v>
      </c>
      <c r="D1296">
        <v>3.6007194244604319</v>
      </c>
      <c r="E1296">
        <v>1000000</v>
      </c>
    </row>
    <row r="1297" spans="1:5" x14ac:dyDescent="0.25">
      <c r="A1297">
        <v>3.5878136200716848</v>
      </c>
      <c r="B1297">
        <v>1000000</v>
      </c>
      <c r="D1297">
        <v>3.5878136200716848</v>
      </c>
      <c r="E1297">
        <v>1000000</v>
      </c>
    </row>
    <row r="1298" spans="1:5" x14ac:dyDescent="0.25">
      <c r="A1298">
        <v>3.5749999999999997</v>
      </c>
      <c r="B1298">
        <v>1000000</v>
      </c>
      <c r="D1298">
        <v>3.5749999999999997</v>
      </c>
      <c r="E1298">
        <v>1000000</v>
      </c>
    </row>
    <row r="1299" spans="1:5" x14ac:dyDescent="0.25">
      <c r="A1299">
        <v>3.5622775800711746</v>
      </c>
      <c r="B1299">
        <v>1000000</v>
      </c>
      <c r="D1299">
        <v>3.5622775800711746</v>
      </c>
      <c r="E1299">
        <v>1000000</v>
      </c>
    </row>
    <row r="1300" spans="1:5" x14ac:dyDescent="0.25">
      <c r="A1300">
        <v>3.5496453900709217</v>
      </c>
      <c r="B1300">
        <v>1000000</v>
      </c>
      <c r="D1300">
        <v>3.5496453900709217</v>
      </c>
      <c r="E1300">
        <v>1000000</v>
      </c>
    </row>
    <row r="1301" spans="1:5" x14ac:dyDescent="0.25">
      <c r="A1301">
        <v>3.5371024734982335</v>
      </c>
      <c r="B1301">
        <v>1000000</v>
      </c>
      <c r="D1301">
        <v>3.5371024734982335</v>
      </c>
      <c r="E1301">
        <v>1000000</v>
      </c>
    </row>
    <row r="1302" spans="1:5" x14ac:dyDescent="0.25">
      <c r="A1302">
        <v>3.5246478873239435</v>
      </c>
      <c r="B1302">
        <v>1000000</v>
      </c>
      <c r="D1302">
        <v>3.5246478873239435</v>
      </c>
      <c r="E1302">
        <v>1000000</v>
      </c>
    </row>
    <row r="1303" spans="1:5" x14ac:dyDescent="0.25">
      <c r="A1303">
        <v>3.5122807017543858</v>
      </c>
      <c r="B1303">
        <v>1000000</v>
      </c>
      <c r="D1303">
        <v>3.5122807017543858</v>
      </c>
      <c r="E1303">
        <v>1000000</v>
      </c>
    </row>
    <row r="1304" spans="1:5" x14ac:dyDescent="0.25">
      <c r="A1304">
        <v>3.5</v>
      </c>
      <c r="B1304">
        <v>1000000</v>
      </c>
      <c r="D1304">
        <v>3.5</v>
      </c>
      <c r="E1304">
        <v>1000000</v>
      </c>
    </row>
    <row r="1305" spans="1:5" x14ac:dyDescent="0.25">
      <c r="A1305">
        <v>3.4878048780487805</v>
      </c>
      <c r="B1305">
        <v>1000000</v>
      </c>
      <c r="D1305">
        <v>3.4878048780487805</v>
      </c>
      <c r="E1305">
        <v>1000000</v>
      </c>
    </row>
    <row r="1306" spans="1:5" x14ac:dyDescent="0.25">
      <c r="A1306">
        <v>3.4756944444444442</v>
      </c>
      <c r="B1306">
        <v>1000000</v>
      </c>
      <c r="D1306">
        <v>3.4756944444444442</v>
      </c>
      <c r="E1306">
        <v>1000000</v>
      </c>
    </row>
    <row r="1307" spans="1:5" x14ac:dyDescent="0.25">
      <c r="A1307">
        <v>3.4636678200692042</v>
      </c>
      <c r="B1307">
        <v>1000000</v>
      </c>
      <c r="D1307">
        <v>3.4636678200692042</v>
      </c>
      <c r="E1307">
        <v>1000000</v>
      </c>
    </row>
    <row r="1308" spans="1:5" x14ac:dyDescent="0.25">
      <c r="A1308">
        <v>3.4517241379310342</v>
      </c>
      <c r="B1308">
        <v>1000000</v>
      </c>
      <c r="D1308">
        <v>3.4517241379310342</v>
      </c>
      <c r="E1308">
        <v>1000000</v>
      </c>
    </row>
    <row r="1309" spans="1:5" x14ac:dyDescent="0.25">
      <c r="A1309">
        <v>3.4398625429553267</v>
      </c>
      <c r="B1309">
        <v>1000000</v>
      </c>
      <c r="D1309">
        <v>3.4398625429553267</v>
      </c>
      <c r="E1309">
        <v>1000000</v>
      </c>
    </row>
    <row r="1310" spans="1:5" x14ac:dyDescent="0.25">
      <c r="A1310">
        <v>3.4280821917808217</v>
      </c>
      <c r="B1310">
        <v>1000000</v>
      </c>
      <c r="D1310">
        <v>3.4280821917808217</v>
      </c>
      <c r="E1310">
        <v>1000000</v>
      </c>
    </row>
    <row r="1311" spans="1:5" x14ac:dyDescent="0.25">
      <c r="A1311">
        <v>3.4163822525597265</v>
      </c>
      <c r="B1311">
        <v>1000000</v>
      </c>
      <c r="D1311">
        <v>3.4163822525597265</v>
      </c>
      <c r="E1311">
        <v>1000000</v>
      </c>
    </row>
    <row r="1312" spans="1:5" x14ac:dyDescent="0.25">
      <c r="A1312">
        <v>3.4047619047619047</v>
      </c>
      <c r="B1312">
        <v>1000000</v>
      </c>
      <c r="D1312">
        <v>3.4047619047619047</v>
      </c>
      <c r="E1312">
        <v>1000000</v>
      </c>
    </row>
    <row r="1313" spans="1:5" x14ac:dyDescent="0.25">
      <c r="A1313">
        <v>3.3932203389830509</v>
      </c>
      <c r="B1313">
        <v>1000000</v>
      </c>
      <c r="D1313">
        <v>3.3932203389830509</v>
      </c>
      <c r="E1313">
        <v>1000000</v>
      </c>
    </row>
    <row r="1314" spans="1:5" x14ac:dyDescent="0.25">
      <c r="A1314">
        <v>3.381756756756757</v>
      </c>
      <c r="B1314">
        <v>1000000</v>
      </c>
      <c r="D1314">
        <v>3.381756756756757</v>
      </c>
      <c r="E1314">
        <v>1000000</v>
      </c>
    </row>
    <row r="1315" spans="1:5" x14ac:dyDescent="0.25">
      <c r="A1315">
        <v>3.3703703703703702</v>
      </c>
      <c r="B1315">
        <v>0</v>
      </c>
      <c r="D1315">
        <v>3.3703703703703702</v>
      </c>
      <c r="E1315">
        <v>0</v>
      </c>
    </row>
    <row r="1316" spans="1:5" x14ac:dyDescent="0.25">
      <c r="A1316">
        <v>3.3590604026845634</v>
      </c>
      <c r="B1316">
        <v>0</v>
      </c>
      <c r="D1316">
        <v>3.3590604026845634</v>
      </c>
      <c r="E1316">
        <v>0</v>
      </c>
    </row>
    <row r="1317" spans="1:5" x14ac:dyDescent="0.25">
      <c r="A1317">
        <v>3.347826086956522</v>
      </c>
      <c r="B1317">
        <v>0</v>
      </c>
      <c r="D1317">
        <v>3.347826086956522</v>
      </c>
      <c r="E1317">
        <v>0</v>
      </c>
    </row>
    <row r="1318" spans="1:5" x14ac:dyDescent="0.25">
      <c r="A1318">
        <v>3.3366666666666664</v>
      </c>
      <c r="B1318">
        <v>0</v>
      </c>
      <c r="D1318">
        <v>3.3366666666666664</v>
      </c>
      <c r="E1318">
        <v>0</v>
      </c>
    </row>
    <row r="1319" spans="1:5" x14ac:dyDescent="0.25">
      <c r="A1319">
        <v>3.3255813953488373</v>
      </c>
      <c r="B1319">
        <v>0</v>
      </c>
      <c r="D1319">
        <v>3.3255813953488373</v>
      </c>
      <c r="E1319">
        <v>0</v>
      </c>
    </row>
    <row r="1320" spans="1:5" x14ac:dyDescent="0.25">
      <c r="A1320">
        <v>3.314569536423841</v>
      </c>
      <c r="B1320">
        <v>0</v>
      </c>
      <c r="D1320">
        <v>3.314569536423841</v>
      </c>
      <c r="E1320">
        <v>0</v>
      </c>
    </row>
    <row r="1321" spans="1:5" x14ac:dyDescent="0.25">
      <c r="A1321">
        <v>3.3036303630363033</v>
      </c>
      <c r="B1321">
        <v>0</v>
      </c>
      <c r="D1321">
        <v>3.3036303630363033</v>
      </c>
      <c r="E1321">
        <v>0</v>
      </c>
    </row>
    <row r="1322" spans="1:5" x14ac:dyDescent="0.25">
      <c r="A1322">
        <v>3.2927631578947372</v>
      </c>
      <c r="B1322">
        <v>0</v>
      </c>
      <c r="D1322">
        <v>3.2927631578947372</v>
      </c>
      <c r="E1322">
        <v>0</v>
      </c>
    </row>
    <row r="1323" spans="1:5" x14ac:dyDescent="0.25">
      <c r="A1323">
        <v>3.2819672131147541</v>
      </c>
      <c r="B1323">
        <v>0</v>
      </c>
      <c r="D1323">
        <v>3.2819672131147541</v>
      </c>
      <c r="E1323">
        <v>0</v>
      </c>
    </row>
    <row r="1324" spans="1:5" x14ac:dyDescent="0.25">
      <c r="A1324">
        <v>3.2712418300653598</v>
      </c>
      <c r="B1324">
        <v>0</v>
      </c>
      <c r="D1324">
        <v>3.2712418300653598</v>
      </c>
      <c r="E1324">
        <v>0</v>
      </c>
    </row>
    <row r="1325" spans="1:5" x14ac:dyDescent="0.25">
      <c r="A1325">
        <v>3.2605863192182412</v>
      </c>
      <c r="B1325">
        <v>0</v>
      </c>
      <c r="D1325">
        <v>3.2605863192182412</v>
      </c>
      <c r="E1325">
        <v>0</v>
      </c>
    </row>
    <row r="1326" spans="1:5" x14ac:dyDescent="0.25">
      <c r="A1326">
        <v>3.25</v>
      </c>
      <c r="B1326">
        <v>0</v>
      </c>
      <c r="D1326">
        <v>3.25</v>
      </c>
      <c r="E1326">
        <v>0</v>
      </c>
    </row>
    <row r="1327" spans="1:5" x14ac:dyDescent="0.25">
      <c r="A1327">
        <v>3.2394822006472492</v>
      </c>
      <c r="B1327">
        <v>0</v>
      </c>
      <c r="D1327">
        <v>3.2394822006472492</v>
      </c>
      <c r="E1327">
        <v>0</v>
      </c>
    </row>
    <row r="1328" spans="1:5" x14ac:dyDescent="0.25">
      <c r="A1328">
        <v>3.2290322580645161</v>
      </c>
      <c r="B1328">
        <v>0</v>
      </c>
      <c r="D1328">
        <v>3.2290322580645161</v>
      </c>
      <c r="E1328">
        <v>0</v>
      </c>
    </row>
    <row r="1329" spans="1:5" x14ac:dyDescent="0.25">
      <c r="A1329">
        <v>3.2186495176848871</v>
      </c>
      <c r="B1329">
        <v>0</v>
      </c>
      <c r="D1329">
        <v>3.2186495176848871</v>
      </c>
      <c r="E1329">
        <v>0</v>
      </c>
    </row>
    <row r="1330" spans="1:5" x14ac:dyDescent="0.25">
      <c r="A1330">
        <v>3.2083333333333335</v>
      </c>
      <c r="B1330">
        <v>0</v>
      </c>
      <c r="D1330">
        <v>3.2083333333333335</v>
      </c>
      <c r="E1330">
        <v>0</v>
      </c>
    </row>
    <row r="1331" spans="1:5" x14ac:dyDescent="0.25">
      <c r="A1331">
        <v>3.1980830670926514</v>
      </c>
      <c r="B1331">
        <v>0</v>
      </c>
      <c r="D1331">
        <v>3.1980830670926514</v>
      </c>
      <c r="E1331">
        <v>0</v>
      </c>
    </row>
    <row r="1332" spans="1:5" x14ac:dyDescent="0.25">
      <c r="A1332">
        <v>3.1878980891719748</v>
      </c>
      <c r="B1332">
        <v>0</v>
      </c>
      <c r="D1332">
        <v>3.1878980891719748</v>
      </c>
      <c r="E1332">
        <v>0</v>
      </c>
    </row>
    <row r="1333" spans="1:5" x14ac:dyDescent="0.25">
      <c r="A1333">
        <v>3.1777777777777776</v>
      </c>
      <c r="B1333">
        <v>0</v>
      </c>
      <c r="D1333">
        <v>3.1777777777777776</v>
      </c>
      <c r="E1333">
        <v>0</v>
      </c>
    </row>
    <row r="1334" spans="1:5" x14ac:dyDescent="0.25">
      <c r="A1334">
        <v>3.1677215189873413</v>
      </c>
      <c r="B1334">
        <v>0</v>
      </c>
      <c r="D1334">
        <v>3.1677215189873413</v>
      </c>
      <c r="E1334">
        <v>0</v>
      </c>
    </row>
    <row r="1335" spans="1:5" x14ac:dyDescent="0.25">
      <c r="A1335">
        <v>3.1577287066246056</v>
      </c>
      <c r="B1335">
        <v>0</v>
      </c>
      <c r="D1335">
        <v>3.1577287066246056</v>
      </c>
      <c r="E1335">
        <v>0</v>
      </c>
    </row>
    <row r="1336" spans="1:5" x14ac:dyDescent="0.25">
      <c r="A1336">
        <v>3.1477987421383649</v>
      </c>
      <c r="B1336">
        <v>0</v>
      </c>
      <c r="D1336">
        <v>3.1477987421383649</v>
      </c>
      <c r="E1336">
        <v>0</v>
      </c>
    </row>
    <row r="1337" spans="1:5" x14ac:dyDescent="0.25">
      <c r="A1337">
        <v>3.1379310344827589</v>
      </c>
      <c r="B1337">
        <v>0</v>
      </c>
      <c r="D1337">
        <v>3.1379310344827589</v>
      </c>
      <c r="E1337">
        <v>0</v>
      </c>
    </row>
    <row r="1338" spans="1:5" x14ac:dyDescent="0.25">
      <c r="A1338">
        <v>3.1281249999999998</v>
      </c>
      <c r="B1338">
        <v>0</v>
      </c>
      <c r="D1338">
        <v>3.1281249999999998</v>
      </c>
      <c r="E1338">
        <v>0</v>
      </c>
    </row>
    <row r="1339" spans="1:5" x14ac:dyDescent="0.25">
      <c r="A1339">
        <v>3.1183800623052957</v>
      </c>
      <c r="B1339">
        <v>0</v>
      </c>
      <c r="D1339">
        <v>3.1183800623052957</v>
      </c>
      <c r="E1339">
        <v>0</v>
      </c>
    </row>
    <row r="1340" spans="1:5" x14ac:dyDescent="0.25">
      <c r="A1340">
        <v>3.1086956521739131</v>
      </c>
      <c r="B1340">
        <v>0</v>
      </c>
      <c r="D1340">
        <v>3.1086956521739131</v>
      </c>
      <c r="E1340">
        <v>0</v>
      </c>
    </row>
    <row r="1341" spans="1:5" x14ac:dyDescent="0.25">
      <c r="A1341">
        <v>3.0990712074303404</v>
      </c>
      <c r="B1341">
        <v>0</v>
      </c>
      <c r="D1341">
        <v>3.0990712074303404</v>
      </c>
      <c r="E1341">
        <v>0</v>
      </c>
    </row>
    <row r="1342" spans="1:5" x14ac:dyDescent="0.25">
      <c r="A1342">
        <v>3.0895061728395063</v>
      </c>
      <c r="B1342">
        <v>0</v>
      </c>
      <c r="D1342">
        <v>3.0895061728395063</v>
      </c>
      <c r="E1342">
        <v>0</v>
      </c>
    </row>
    <row r="1343" spans="1:5" x14ac:dyDescent="0.25">
      <c r="A1343">
        <v>3.08</v>
      </c>
      <c r="B1343">
        <v>0</v>
      </c>
      <c r="D1343">
        <v>3.08</v>
      </c>
      <c r="E1343">
        <v>0</v>
      </c>
    </row>
    <row r="1344" spans="1:5" x14ac:dyDescent="0.25">
      <c r="A1344">
        <v>3.0705521472392636</v>
      </c>
      <c r="B1344">
        <v>0</v>
      </c>
      <c r="D1344">
        <v>3.0705521472392636</v>
      </c>
      <c r="E1344">
        <v>0</v>
      </c>
    </row>
    <row r="1345" spans="1:5" x14ac:dyDescent="0.25">
      <c r="A1345">
        <v>3.0611620795107033</v>
      </c>
      <c r="B1345">
        <v>0</v>
      </c>
      <c r="D1345">
        <v>3.0611620795107033</v>
      </c>
      <c r="E1345">
        <v>0</v>
      </c>
    </row>
    <row r="1346" spans="1:5" x14ac:dyDescent="0.25">
      <c r="A1346">
        <v>3.0518292682926829</v>
      </c>
      <c r="B1346">
        <v>0</v>
      </c>
      <c r="D1346">
        <v>3.0518292682926829</v>
      </c>
      <c r="E1346">
        <v>0</v>
      </c>
    </row>
    <row r="1347" spans="1:5" x14ac:dyDescent="0.25">
      <c r="A1347">
        <v>3.042553191489362</v>
      </c>
      <c r="B1347">
        <v>0</v>
      </c>
      <c r="D1347">
        <v>3.042553191489362</v>
      </c>
      <c r="E1347">
        <v>0</v>
      </c>
    </row>
    <row r="1348" spans="1:5" x14ac:dyDescent="0.25">
      <c r="A1348">
        <v>3.0333333333333332</v>
      </c>
      <c r="B1348">
        <v>0</v>
      </c>
      <c r="D1348">
        <v>3.0333333333333332</v>
      </c>
      <c r="E1348">
        <v>0</v>
      </c>
    </row>
    <row r="1349" spans="1:5" x14ac:dyDescent="0.25">
      <c r="A1349">
        <v>3.02416918429003</v>
      </c>
      <c r="B1349">
        <v>0</v>
      </c>
      <c r="D1349">
        <v>3.02416918429003</v>
      </c>
      <c r="E1349">
        <v>0</v>
      </c>
    </row>
    <row r="1350" spans="1:5" x14ac:dyDescent="0.25">
      <c r="A1350">
        <v>3.0150602409638556</v>
      </c>
      <c r="B1350">
        <v>0</v>
      </c>
      <c r="D1350">
        <v>3.0150602409638556</v>
      </c>
      <c r="E1350">
        <v>0</v>
      </c>
    </row>
    <row r="1351" spans="1:5" x14ac:dyDescent="0.25">
      <c r="A1351">
        <v>3.0060060060060061</v>
      </c>
      <c r="B1351">
        <v>0</v>
      </c>
      <c r="D1351">
        <v>3.0060060060060061</v>
      </c>
      <c r="E1351">
        <v>0</v>
      </c>
    </row>
    <row r="1352" spans="1:5" x14ac:dyDescent="0.25">
      <c r="A1352">
        <v>2.9970059880239517</v>
      </c>
      <c r="B1352">
        <v>0</v>
      </c>
      <c r="D1352">
        <v>2.9970059880239517</v>
      </c>
      <c r="E1352">
        <v>0</v>
      </c>
    </row>
    <row r="1353" spans="1:5" x14ac:dyDescent="0.25">
      <c r="A1353">
        <v>2.9880597014925372</v>
      </c>
      <c r="B1353">
        <v>0</v>
      </c>
      <c r="D1353">
        <v>2.9880597014925372</v>
      </c>
      <c r="E1353">
        <v>0</v>
      </c>
    </row>
    <row r="1354" spans="1:5" x14ac:dyDescent="0.25">
      <c r="A1354">
        <v>2.9791666666666665</v>
      </c>
      <c r="B1354">
        <v>0</v>
      </c>
      <c r="D1354">
        <v>2.9791666666666665</v>
      </c>
      <c r="E1354">
        <v>0</v>
      </c>
    </row>
    <row r="1355" spans="1:5" x14ac:dyDescent="0.25">
      <c r="A1355">
        <v>2.970326409495549</v>
      </c>
      <c r="B1355">
        <v>0</v>
      </c>
      <c r="D1355">
        <v>2.970326409495549</v>
      </c>
      <c r="E1355">
        <v>0</v>
      </c>
    </row>
    <row r="1356" spans="1:5" x14ac:dyDescent="0.25">
      <c r="A1356">
        <v>2.9615384615384617</v>
      </c>
      <c r="B1356">
        <v>0</v>
      </c>
      <c r="D1356">
        <v>2.9615384615384617</v>
      </c>
      <c r="E1356">
        <v>0</v>
      </c>
    </row>
    <row r="1357" spans="1:5" x14ac:dyDescent="0.25">
      <c r="A1357">
        <v>2.9528023598820057</v>
      </c>
      <c r="B1357">
        <v>0</v>
      </c>
      <c r="D1357">
        <v>2.9528023598820057</v>
      </c>
      <c r="E1357">
        <v>0</v>
      </c>
    </row>
    <row r="1358" spans="1:5" x14ac:dyDescent="0.25">
      <c r="A1358">
        <v>2.9441176470588237</v>
      </c>
      <c r="B1358">
        <v>0</v>
      </c>
      <c r="D1358">
        <v>2.9441176470588237</v>
      </c>
      <c r="E1358">
        <v>0</v>
      </c>
    </row>
    <row r="1359" spans="1:5" x14ac:dyDescent="0.25">
      <c r="A1359">
        <v>2.935483870967742</v>
      </c>
      <c r="B1359">
        <v>0</v>
      </c>
      <c r="D1359">
        <v>2.935483870967742</v>
      </c>
      <c r="E1359">
        <v>0</v>
      </c>
    </row>
    <row r="1360" spans="1:5" x14ac:dyDescent="0.25">
      <c r="A1360">
        <v>2.9269005847953218</v>
      </c>
      <c r="B1360">
        <v>0</v>
      </c>
      <c r="D1360">
        <v>2.9269005847953218</v>
      </c>
      <c r="E1360">
        <v>0</v>
      </c>
    </row>
    <row r="1361" spans="1:5" x14ac:dyDescent="0.25">
      <c r="A1361">
        <v>2.9183673469387754</v>
      </c>
      <c r="B1361">
        <v>0</v>
      </c>
      <c r="D1361">
        <v>2.9183673469387754</v>
      </c>
      <c r="E1361">
        <v>0</v>
      </c>
    </row>
    <row r="1362" spans="1:5" x14ac:dyDescent="0.25">
      <c r="A1362">
        <v>2.9098837209302322</v>
      </c>
      <c r="B1362">
        <v>0</v>
      </c>
      <c r="D1362">
        <v>2.9098837209302322</v>
      </c>
      <c r="E1362">
        <v>0</v>
      </c>
    </row>
    <row r="1363" spans="1:5" x14ac:dyDescent="0.25">
      <c r="A1363">
        <v>2.9014492753623191</v>
      </c>
      <c r="B1363">
        <v>0</v>
      </c>
      <c r="D1363">
        <v>2.9014492753623191</v>
      </c>
      <c r="E1363">
        <v>0</v>
      </c>
    </row>
    <row r="1364" spans="1:5" x14ac:dyDescent="0.25">
      <c r="A1364">
        <v>2.8930635838150289</v>
      </c>
      <c r="B1364">
        <v>0</v>
      </c>
      <c r="D1364">
        <v>2.8930635838150289</v>
      </c>
      <c r="E1364">
        <v>0</v>
      </c>
    </row>
    <row r="1365" spans="1:5" x14ac:dyDescent="0.25">
      <c r="A1365">
        <v>2.8847262247838619</v>
      </c>
      <c r="B1365">
        <v>0</v>
      </c>
      <c r="D1365">
        <v>2.8847262247838619</v>
      </c>
      <c r="E1365">
        <v>0</v>
      </c>
    </row>
    <row r="1366" spans="1:5" x14ac:dyDescent="0.25">
      <c r="A1366">
        <v>2.8764367816091956</v>
      </c>
      <c r="B1366">
        <v>0</v>
      </c>
      <c r="D1366">
        <v>2.8764367816091956</v>
      </c>
      <c r="E1366">
        <v>0</v>
      </c>
    </row>
    <row r="1367" spans="1:5" x14ac:dyDescent="0.25">
      <c r="A1367">
        <v>2.8681948424068766</v>
      </c>
      <c r="B1367">
        <v>0</v>
      </c>
      <c r="D1367">
        <v>2.8681948424068766</v>
      </c>
      <c r="E1367">
        <v>0</v>
      </c>
    </row>
    <row r="1368" spans="1:5" x14ac:dyDescent="0.25">
      <c r="A1368">
        <v>2.8600000000000003</v>
      </c>
      <c r="B1368">
        <v>0</v>
      </c>
      <c r="D1368">
        <v>2.8600000000000003</v>
      </c>
      <c r="E1368">
        <v>0</v>
      </c>
    </row>
    <row r="1369" spans="1:5" x14ac:dyDescent="0.25">
      <c r="A1369">
        <v>2.8518518518518516</v>
      </c>
      <c r="B1369">
        <v>0</v>
      </c>
      <c r="D1369">
        <v>2.8518518518518516</v>
      </c>
      <c r="E1369">
        <v>0</v>
      </c>
    </row>
    <row r="1370" spans="1:5" x14ac:dyDescent="0.25">
      <c r="A1370">
        <v>2.84375</v>
      </c>
      <c r="B1370">
        <v>0</v>
      </c>
      <c r="D1370">
        <v>2.84375</v>
      </c>
      <c r="E1370">
        <v>0</v>
      </c>
    </row>
    <row r="1371" spans="1:5" x14ac:dyDescent="0.25">
      <c r="A1371">
        <v>2.8356940509915014</v>
      </c>
      <c r="B1371">
        <v>0</v>
      </c>
      <c r="D1371">
        <v>2.8356940509915014</v>
      </c>
      <c r="E1371">
        <v>0</v>
      </c>
    </row>
    <row r="1372" spans="1:5" x14ac:dyDescent="0.25">
      <c r="A1372">
        <v>2.8276836158192089</v>
      </c>
      <c r="B1372">
        <v>0</v>
      </c>
      <c r="D1372">
        <v>2.8276836158192089</v>
      </c>
      <c r="E1372">
        <v>0</v>
      </c>
    </row>
    <row r="1373" spans="1:5" x14ac:dyDescent="0.25">
      <c r="A1373">
        <v>2.8197183098591552</v>
      </c>
      <c r="B1373">
        <v>0</v>
      </c>
      <c r="D1373">
        <v>2.8197183098591552</v>
      </c>
      <c r="E1373">
        <v>0</v>
      </c>
    </row>
    <row r="1374" spans="1:5" x14ac:dyDescent="0.25">
      <c r="A1374">
        <v>2.8117977528089888</v>
      </c>
      <c r="B1374">
        <v>0</v>
      </c>
      <c r="D1374">
        <v>2.8117977528089888</v>
      </c>
      <c r="E1374">
        <v>0</v>
      </c>
    </row>
    <row r="1375" spans="1:5" x14ac:dyDescent="0.25">
      <c r="A1375">
        <v>2.8039215686274508</v>
      </c>
      <c r="B1375">
        <v>0</v>
      </c>
      <c r="D1375">
        <v>2.8039215686274508</v>
      </c>
      <c r="E1375">
        <v>0</v>
      </c>
    </row>
    <row r="1376" spans="1:5" x14ac:dyDescent="0.25">
      <c r="A1376">
        <v>2.7960893854748603</v>
      </c>
      <c r="B1376">
        <v>0</v>
      </c>
      <c r="D1376">
        <v>2.7960893854748603</v>
      </c>
      <c r="E1376">
        <v>0</v>
      </c>
    </row>
    <row r="1377" spans="1:5" x14ac:dyDescent="0.25">
      <c r="A1377">
        <v>2.7883008356545962</v>
      </c>
      <c r="B1377">
        <v>0</v>
      </c>
      <c r="D1377">
        <v>2.7883008356545962</v>
      </c>
      <c r="E1377">
        <v>0</v>
      </c>
    </row>
    <row r="1378" spans="1:5" x14ac:dyDescent="0.25">
      <c r="A1378">
        <v>2.7805555555555559</v>
      </c>
      <c r="B1378">
        <v>0</v>
      </c>
      <c r="D1378">
        <v>2.7805555555555559</v>
      </c>
      <c r="E1378">
        <v>0</v>
      </c>
    </row>
    <row r="1379" spans="1:5" x14ac:dyDescent="0.25">
      <c r="A1379">
        <v>2.7728531855955678</v>
      </c>
      <c r="B1379">
        <v>0</v>
      </c>
      <c r="D1379">
        <v>2.7728531855955678</v>
      </c>
      <c r="E1379">
        <v>0</v>
      </c>
    </row>
    <row r="1380" spans="1:5" x14ac:dyDescent="0.25">
      <c r="A1380">
        <v>2.7651933701657456</v>
      </c>
      <c r="B1380">
        <v>0</v>
      </c>
      <c r="D1380">
        <v>2.7651933701657456</v>
      </c>
      <c r="E1380">
        <v>0</v>
      </c>
    </row>
    <row r="1381" spans="1:5" x14ac:dyDescent="0.25">
      <c r="A1381">
        <v>2.7575757575757578</v>
      </c>
      <c r="B1381">
        <v>0</v>
      </c>
      <c r="D1381">
        <v>2.7575757575757578</v>
      </c>
      <c r="E1381">
        <v>0</v>
      </c>
    </row>
    <row r="1382" spans="1:5" x14ac:dyDescent="0.25">
      <c r="A1382">
        <v>2.75</v>
      </c>
      <c r="B1382">
        <v>0</v>
      </c>
      <c r="D1382">
        <v>2.75</v>
      </c>
      <c r="E1382">
        <v>0</v>
      </c>
    </row>
    <row r="1383" spans="1:5" x14ac:dyDescent="0.25">
      <c r="A1383">
        <v>2.7424657534246579</v>
      </c>
      <c r="B1383">
        <v>0</v>
      </c>
      <c r="D1383">
        <v>2.7424657534246579</v>
      </c>
      <c r="E1383">
        <v>0</v>
      </c>
    </row>
    <row r="1384" spans="1:5" x14ac:dyDescent="0.25">
      <c r="A1384">
        <v>2.7349726775956285</v>
      </c>
      <c r="B1384">
        <v>0</v>
      </c>
      <c r="D1384">
        <v>2.7349726775956285</v>
      </c>
      <c r="E1384">
        <v>0</v>
      </c>
    </row>
    <row r="1385" spans="1:5" x14ac:dyDescent="0.25">
      <c r="A1385">
        <v>2.7275204359673024</v>
      </c>
      <c r="B1385">
        <v>0</v>
      </c>
      <c r="D1385">
        <v>2.7275204359673024</v>
      </c>
      <c r="E1385">
        <v>0</v>
      </c>
    </row>
    <row r="1386" spans="1:5" x14ac:dyDescent="0.25">
      <c r="A1386">
        <v>2.7201086956521738</v>
      </c>
      <c r="B1386">
        <v>0</v>
      </c>
      <c r="D1386">
        <v>2.7201086956521738</v>
      </c>
      <c r="E1386">
        <v>0</v>
      </c>
    </row>
    <row r="1387" spans="1:5" x14ac:dyDescent="0.25">
      <c r="A1387">
        <v>2.7127371273712737</v>
      </c>
      <c r="B1387">
        <v>0</v>
      </c>
      <c r="D1387">
        <v>2.7127371273712737</v>
      </c>
      <c r="E1387">
        <v>0</v>
      </c>
    </row>
    <row r="1388" spans="1:5" x14ac:dyDescent="0.25">
      <c r="A1388">
        <v>2.7054054054054055</v>
      </c>
      <c r="B1388">
        <v>0</v>
      </c>
      <c r="D1388">
        <v>2.7054054054054055</v>
      </c>
      <c r="E1388">
        <v>0</v>
      </c>
    </row>
    <row r="1389" spans="1:5" x14ac:dyDescent="0.25">
      <c r="A1389">
        <v>2.6981132075471699</v>
      </c>
      <c r="B1389">
        <v>0</v>
      </c>
      <c r="D1389">
        <v>2.6981132075471699</v>
      </c>
      <c r="E1389">
        <v>0</v>
      </c>
    </row>
    <row r="1390" spans="1:5" x14ac:dyDescent="0.25">
      <c r="A1390">
        <v>2.6908602150537635</v>
      </c>
      <c r="B1390">
        <v>0</v>
      </c>
      <c r="D1390">
        <v>2.6908602150537635</v>
      </c>
      <c r="E1390">
        <v>0</v>
      </c>
    </row>
    <row r="1391" spans="1:5" x14ac:dyDescent="0.25">
      <c r="A1391">
        <v>2.6836461126005364</v>
      </c>
      <c r="B1391">
        <v>0</v>
      </c>
      <c r="D1391">
        <v>2.6836461126005364</v>
      </c>
      <c r="E1391">
        <v>0</v>
      </c>
    </row>
    <row r="1392" spans="1:5" x14ac:dyDescent="0.25">
      <c r="A1392">
        <v>2.6764705882352939</v>
      </c>
      <c r="B1392">
        <v>0</v>
      </c>
      <c r="D1392">
        <v>2.6764705882352939</v>
      </c>
      <c r="E1392">
        <v>0</v>
      </c>
    </row>
    <row r="1393" spans="1:5" x14ac:dyDescent="0.25">
      <c r="A1393">
        <v>2.6693333333333333</v>
      </c>
      <c r="B1393">
        <v>0</v>
      </c>
      <c r="D1393">
        <v>2.6693333333333333</v>
      </c>
      <c r="E1393">
        <v>0</v>
      </c>
    </row>
    <row r="1394" spans="1:5" x14ac:dyDescent="0.25">
      <c r="A1394">
        <v>2.6622340425531914</v>
      </c>
      <c r="B1394">
        <v>0</v>
      </c>
      <c r="D1394">
        <v>2.6622340425531914</v>
      </c>
      <c r="E1394">
        <v>0</v>
      </c>
    </row>
    <row r="1395" spans="1:5" x14ac:dyDescent="0.25">
      <c r="A1395">
        <v>2.6551724137931032</v>
      </c>
      <c r="B1395">
        <v>0</v>
      </c>
      <c r="D1395">
        <v>2.6551724137931032</v>
      </c>
      <c r="E1395">
        <v>0</v>
      </c>
    </row>
    <row r="1396" spans="1:5" x14ac:dyDescent="0.25">
      <c r="A1396">
        <v>2.6481481481481484</v>
      </c>
      <c r="B1396">
        <v>0</v>
      </c>
      <c r="D1396">
        <v>2.6481481481481484</v>
      </c>
      <c r="E1396">
        <v>0</v>
      </c>
    </row>
    <row r="1397" spans="1:5" x14ac:dyDescent="0.25">
      <c r="A1397">
        <v>2.6411609498680737</v>
      </c>
      <c r="B1397">
        <v>0</v>
      </c>
      <c r="D1397">
        <v>2.6411609498680737</v>
      </c>
      <c r="E1397">
        <v>0</v>
      </c>
    </row>
    <row r="1398" spans="1:5" x14ac:dyDescent="0.25">
      <c r="A1398">
        <v>2.6342105263157891</v>
      </c>
      <c r="B1398">
        <v>0</v>
      </c>
      <c r="D1398">
        <v>2.6342105263157891</v>
      </c>
      <c r="E1398">
        <v>0</v>
      </c>
    </row>
    <row r="1399" spans="1:5" x14ac:dyDescent="0.25">
      <c r="A1399">
        <v>2.6272965879265091</v>
      </c>
      <c r="B1399">
        <v>0</v>
      </c>
      <c r="D1399">
        <v>2.6272965879265091</v>
      </c>
      <c r="E1399">
        <v>0</v>
      </c>
    </row>
    <row r="1400" spans="1:5" x14ac:dyDescent="0.25">
      <c r="A1400">
        <v>2.6204188481675392</v>
      </c>
      <c r="B1400">
        <v>0</v>
      </c>
      <c r="D1400">
        <v>2.6204188481675392</v>
      </c>
      <c r="E1400">
        <v>0</v>
      </c>
    </row>
    <row r="1401" spans="1:5" x14ac:dyDescent="0.25">
      <c r="A1401">
        <v>2.6135770234986948</v>
      </c>
      <c r="B1401">
        <v>0</v>
      </c>
      <c r="D1401">
        <v>2.6135770234986948</v>
      </c>
      <c r="E1401">
        <v>0</v>
      </c>
    </row>
    <row r="1402" spans="1:5" x14ac:dyDescent="0.25">
      <c r="A1402">
        <v>2.6067708333333335</v>
      </c>
      <c r="B1402">
        <v>0</v>
      </c>
      <c r="D1402">
        <v>2.6067708333333335</v>
      </c>
      <c r="E1402">
        <v>0</v>
      </c>
    </row>
    <row r="1403" spans="1:5" x14ac:dyDescent="0.25">
      <c r="A1403">
        <v>2.5999999999999996</v>
      </c>
      <c r="B1403">
        <v>0</v>
      </c>
      <c r="D1403">
        <v>2.5999999999999996</v>
      </c>
      <c r="E1403">
        <v>0</v>
      </c>
    </row>
    <row r="1404" spans="1:5" x14ac:dyDescent="0.25">
      <c r="A1404">
        <v>2.5932642487046631</v>
      </c>
      <c r="B1404">
        <v>0</v>
      </c>
      <c r="D1404">
        <v>2.5932642487046631</v>
      </c>
      <c r="E1404">
        <v>0</v>
      </c>
    </row>
    <row r="1405" spans="1:5" x14ac:dyDescent="0.25">
      <c r="A1405">
        <v>2.5865633074935399</v>
      </c>
      <c r="B1405">
        <v>0</v>
      </c>
      <c r="D1405">
        <v>2.5865633074935399</v>
      </c>
      <c r="E1405">
        <v>0</v>
      </c>
    </row>
    <row r="1406" spans="1:5" x14ac:dyDescent="0.25">
      <c r="A1406">
        <v>2.579896907216495</v>
      </c>
      <c r="B1406">
        <v>0</v>
      </c>
      <c r="D1406">
        <v>2.579896907216495</v>
      </c>
      <c r="E1406">
        <v>0</v>
      </c>
    </row>
    <row r="1407" spans="1:5" x14ac:dyDescent="0.25">
      <c r="A1407">
        <v>2.5732647814910026</v>
      </c>
      <c r="B1407">
        <v>0</v>
      </c>
      <c r="D1407">
        <v>2.5732647814910026</v>
      </c>
      <c r="E1407">
        <v>0</v>
      </c>
    </row>
    <row r="1408" spans="1:5" x14ac:dyDescent="0.25">
      <c r="A1408">
        <v>2.5666666666666664</v>
      </c>
      <c r="B1408">
        <v>0</v>
      </c>
      <c r="D1408">
        <v>2.5666666666666664</v>
      </c>
      <c r="E1408">
        <v>0</v>
      </c>
    </row>
    <row r="1409" spans="1:5" x14ac:dyDescent="0.25">
      <c r="A1409">
        <v>2.5601023017902813</v>
      </c>
      <c r="B1409">
        <v>0</v>
      </c>
      <c r="D1409">
        <v>2.5601023017902813</v>
      </c>
      <c r="E1409">
        <v>0</v>
      </c>
    </row>
    <row r="1410" spans="1:5" x14ac:dyDescent="0.25">
      <c r="A1410">
        <v>2.5535714285714284</v>
      </c>
      <c r="B1410">
        <v>0</v>
      </c>
      <c r="D1410">
        <v>2.5535714285714284</v>
      </c>
      <c r="E1410">
        <v>0</v>
      </c>
    </row>
    <row r="1411" spans="1:5" x14ac:dyDescent="0.25">
      <c r="A1411">
        <v>2.5470737913486006</v>
      </c>
      <c r="B1411">
        <v>0</v>
      </c>
      <c r="D1411">
        <v>2.5470737913486006</v>
      </c>
      <c r="E1411">
        <v>0</v>
      </c>
    </row>
    <row r="1412" spans="1:5" x14ac:dyDescent="0.25">
      <c r="A1412">
        <v>2.5406091370558377</v>
      </c>
      <c r="B1412">
        <v>0</v>
      </c>
      <c r="D1412">
        <v>2.5406091370558377</v>
      </c>
      <c r="E1412">
        <v>0</v>
      </c>
    </row>
    <row r="1413" spans="1:5" x14ac:dyDescent="0.25">
      <c r="A1413">
        <v>2.5341772151898732</v>
      </c>
      <c r="B1413">
        <v>0</v>
      </c>
      <c r="D1413">
        <v>2.5341772151898732</v>
      </c>
      <c r="E1413">
        <v>0</v>
      </c>
    </row>
    <row r="1414" spans="1:5" x14ac:dyDescent="0.25">
      <c r="A1414">
        <v>2.5277777777777777</v>
      </c>
      <c r="B1414">
        <v>0</v>
      </c>
      <c r="D1414">
        <v>2.5277777777777777</v>
      </c>
      <c r="E1414">
        <v>0</v>
      </c>
    </row>
    <row r="1415" spans="1:5" x14ac:dyDescent="0.25">
      <c r="A1415">
        <v>2.5214105793450883</v>
      </c>
      <c r="B1415">
        <v>0</v>
      </c>
      <c r="D1415">
        <v>2.5214105793450883</v>
      </c>
      <c r="E1415">
        <v>0</v>
      </c>
    </row>
    <row r="1416" spans="1:5" x14ac:dyDescent="0.25">
      <c r="A1416">
        <v>2.5150753768844218</v>
      </c>
      <c r="B1416">
        <v>0</v>
      </c>
      <c r="D1416">
        <v>2.5150753768844218</v>
      </c>
      <c r="E1416">
        <v>0</v>
      </c>
    </row>
    <row r="1417" spans="1:5" x14ac:dyDescent="0.25">
      <c r="A1417">
        <v>2.5087719298245617</v>
      </c>
      <c r="B1417">
        <v>0</v>
      </c>
      <c r="D1417">
        <v>2.5087719298245617</v>
      </c>
      <c r="E1417">
        <v>0</v>
      </c>
    </row>
    <row r="1418" spans="1:5" x14ac:dyDescent="0.25">
      <c r="A1418">
        <v>2.5024999999999999</v>
      </c>
      <c r="B1418">
        <v>0</v>
      </c>
      <c r="D1418">
        <v>2.5024999999999999</v>
      </c>
      <c r="E1418">
        <v>0</v>
      </c>
    </row>
    <row r="1419" spans="1:5" x14ac:dyDescent="0.25">
      <c r="A1419">
        <v>2.4962593516209477</v>
      </c>
      <c r="B1419">
        <v>0</v>
      </c>
      <c r="D1419">
        <v>2.4962593516209477</v>
      </c>
      <c r="E1419">
        <v>0</v>
      </c>
    </row>
    <row r="1420" spans="1:5" x14ac:dyDescent="0.25">
      <c r="A1420">
        <v>2.4900497512437809</v>
      </c>
      <c r="B1420">
        <v>0</v>
      </c>
      <c r="D1420">
        <v>2.4900497512437809</v>
      </c>
      <c r="E1420">
        <v>0</v>
      </c>
    </row>
    <row r="1421" spans="1:5" x14ac:dyDescent="0.25">
      <c r="A1421">
        <v>2.4838709677419355</v>
      </c>
      <c r="B1421">
        <v>0</v>
      </c>
      <c r="D1421">
        <v>2.4838709677419355</v>
      </c>
      <c r="E1421">
        <v>0</v>
      </c>
    </row>
    <row r="1422" spans="1:5" x14ac:dyDescent="0.25">
      <c r="A1422">
        <v>2.4777227722772279</v>
      </c>
      <c r="B1422">
        <v>0</v>
      </c>
      <c r="D1422">
        <v>2.4777227722772279</v>
      </c>
      <c r="E1422">
        <v>0</v>
      </c>
    </row>
    <row r="1423" spans="1:5" x14ac:dyDescent="0.25">
      <c r="A1423">
        <v>2.471604938271605</v>
      </c>
      <c r="B1423">
        <v>0</v>
      </c>
      <c r="D1423">
        <v>2.471604938271605</v>
      </c>
      <c r="E1423">
        <v>0</v>
      </c>
    </row>
    <row r="1424" spans="1:5" x14ac:dyDescent="0.25">
      <c r="A1424">
        <v>2.4655172413793105</v>
      </c>
      <c r="B1424">
        <v>0</v>
      </c>
      <c r="D1424">
        <v>2.4655172413793105</v>
      </c>
      <c r="E1424">
        <v>0</v>
      </c>
    </row>
    <row r="1425" spans="1:5" x14ac:dyDescent="0.25">
      <c r="A1425">
        <v>2.4594594594594597</v>
      </c>
      <c r="B1425">
        <v>0</v>
      </c>
      <c r="D1425">
        <v>2.4594594594594597</v>
      </c>
      <c r="E1425">
        <v>0</v>
      </c>
    </row>
    <row r="1426" spans="1:5" x14ac:dyDescent="0.25">
      <c r="A1426">
        <v>2.4534313725490193</v>
      </c>
      <c r="B1426">
        <v>0</v>
      </c>
      <c r="D1426">
        <v>2.4534313725490193</v>
      </c>
      <c r="E1426">
        <v>0</v>
      </c>
    </row>
    <row r="1427" spans="1:5" x14ac:dyDescent="0.25">
      <c r="A1427">
        <v>2.4474327628361858</v>
      </c>
      <c r="B1427">
        <v>0</v>
      </c>
      <c r="D1427">
        <v>2.4474327628361858</v>
      </c>
      <c r="E1427">
        <v>0</v>
      </c>
    </row>
    <row r="1428" spans="1:5" x14ac:dyDescent="0.25">
      <c r="A1428">
        <v>2.4414634146341463</v>
      </c>
      <c r="B1428">
        <v>0</v>
      </c>
      <c r="D1428">
        <v>2.4414634146341463</v>
      </c>
      <c r="E1428">
        <v>0</v>
      </c>
    </row>
    <row r="1429" spans="1:5" x14ac:dyDescent="0.25">
      <c r="A1429">
        <v>2.4355231143552314</v>
      </c>
      <c r="B1429">
        <v>0</v>
      </c>
      <c r="D1429">
        <v>2.4355231143552314</v>
      </c>
      <c r="E1429">
        <v>0</v>
      </c>
    </row>
    <row r="1430" spans="1:5" x14ac:dyDescent="0.25">
      <c r="A1430">
        <v>2.429611650485437</v>
      </c>
      <c r="B1430">
        <v>0</v>
      </c>
      <c r="D1430">
        <v>2.429611650485437</v>
      </c>
      <c r="E1430">
        <v>0</v>
      </c>
    </row>
    <row r="1431" spans="1:5" x14ac:dyDescent="0.25">
      <c r="A1431">
        <v>2.4237288135593218</v>
      </c>
      <c r="B1431">
        <v>0</v>
      </c>
      <c r="D1431">
        <v>2.4237288135593218</v>
      </c>
      <c r="E1431">
        <v>0</v>
      </c>
    </row>
    <row r="1432" spans="1:5" x14ac:dyDescent="0.25">
      <c r="A1432">
        <v>2.4178743961352658</v>
      </c>
      <c r="B1432">
        <v>0</v>
      </c>
      <c r="D1432">
        <v>2.4178743961352658</v>
      </c>
      <c r="E1432">
        <v>0</v>
      </c>
    </row>
    <row r="1433" spans="1:5" x14ac:dyDescent="0.25">
      <c r="A1433">
        <v>2.4120481927710844</v>
      </c>
      <c r="B1433">
        <v>0</v>
      </c>
      <c r="D1433">
        <v>2.4120481927710844</v>
      </c>
      <c r="E1433">
        <v>0</v>
      </c>
    </row>
    <row r="1434" spans="1:5" x14ac:dyDescent="0.25">
      <c r="A1434">
        <v>2.40625</v>
      </c>
      <c r="B1434">
        <v>0</v>
      </c>
      <c r="D1434">
        <v>2.40625</v>
      </c>
      <c r="E1434">
        <v>0</v>
      </c>
    </row>
    <row r="1435" spans="1:5" x14ac:dyDescent="0.25">
      <c r="A1435">
        <v>2.4004796163069546</v>
      </c>
      <c r="B1435">
        <v>0</v>
      </c>
      <c r="D1435">
        <v>2.4004796163069546</v>
      </c>
      <c r="E1435">
        <v>0</v>
      </c>
    </row>
    <row r="1436" spans="1:5" x14ac:dyDescent="0.25">
      <c r="A1436">
        <v>2.3947368421052633</v>
      </c>
      <c r="B1436">
        <v>0</v>
      </c>
      <c r="D1436">
        <v>2.3947368421052633</v>
      </c>
      <c r="E1436">
        <v>0</v>
      </c>
    </row>
    <row r="1437" spans="1:5" x14ac:dyDescent="0.25">
      <c r="A1437">
        <v>2.389021479713604</v>
      </c>
      <c r="B1437">
        <v>0</v>
      </c>
      <c r="D1437">
        <v>2.389021479713604</v>
      </c>
      <c r="E1437">
        <v>0</v>
      </c>
    </row>
    <row r="1438" spans="1:5" x14ac:dyDescent="0.25">
      <c r="A1438">
        <v>2.3833333333333333</v>
      </c>
      <c r="B1438">
        <v>0</v>
      </c>
      <c r="D1438">
        <v>2.3833333333333333</v>
      </c>
      <c r="E1438">
        <v>0</v>
      </c>
    </row>
    <row r="1439" spans="1:5" x14ac:dyDescent="0.25">
      <c r="A1439">
        <v>2.377672209026128</v>
      </c>
      <c r="B1439">
        <v>0</v>
      </c>
      <c r="D1439">
        <v>2.377672209026128</v>
      </c>
      <c r="E1439">
        <v>0</v>
      </c>
    </row>
    <row r="1440" spans="1:5" x14ac:dyDescent="0.25">
      <c r="A1440">
        <v>2.3720379146919433</v>
      </c>
      <c r="B1440">
        <v>0</v>
      </c>
      <c r="D1440">
        <v>2.3720379146919433</v>
      </c>
      <c r="E1440">
        <v>0</v>
      </c>
    </row>
    <row r="1441" spans="1:5" x14ac:dyDescent="0.25">
      <c r="A1441">
        <v>2.3664302600472813</v>
      </c>
      <c r="B1441">
        <v>0</v>
      </c>
      <c r="D1441">
        <v>2.3664302600472813</v>
      </c>
      <c r="E1441">
        <v>0</v>
      </c>
    </row>
    <row r="1442" spans="1:5" x14ac:dyDescent="0.25">
      <c r="A1442">
        <v>2.3608490566037736</v>
      </c>
      <c r="B1442">
        <v>0</v>
      </c>
      <c r="D1442">
        <v>2.3608490566037736</v>
      </c>
      <c r="E1442">
        <v>0</v>
      </c>
    </row>
    <row r="1443" spans="1:5" x14ac:dyDescent="0.25">
      <c r="A1443">
        <v>2.355294117647059</v>
      </c>
      <c r="B1443">
        <v>0</v>
      </c>
      <c r="D1443">
        <v>2.355294117647059</v>
      </c>
      <c r="E1443">
        <v>0</v>
      </c>
    </row>
    <row r="1444" spans="1:5" x14ac:dyDescent="0.25">
      <c r="A1444">
        <v>2.3497652582159625</v>
      </c>
      <c r="B1444">
        <v>0</v>
      </c>
      <c r="D1444">
        <v>2.3497652582159625</v>
      </c>
      <c r="E1444">
        <v>0</v>
      </c>
    </row>
    <row r="1445" spans="1:5" x14ac:dyDescent="0.25">
      <c r="A1445">
        <v>2.3442622950819674</v>
      </c>
      <c r="B1445">
        <v>0</v>
      </c>
      <c r="D1445">
        <v>2.3442622950819674</v>
      </c>
      <c r="E1445">
        <v>0</v>
      </c>
    </row>
    <row r="1446" spans="1:5" x14ac:dyDescent="0.25">
      <c r="A1446">
        <v>2.3387850467289719</v>
      </c>
      <c r="B1446">
        <v>0</v>
      </c>
      <c r="D1446">
        <v>2.3387850467289719</v>
      </c>
      <c r="E1446">
        <v>0</v>
      </c>
    </row>
    <row r="1447" spans="1:5" x14ac:dyDescent="0.25">
      <c r="A1447">
        <v>2.3333333333333335</v>
      </c>
      <c r="B1447">
        <v>0</v>
      </c>
      <c r="D1447">
        <v>2.3333333333333335</v>
      </c>
      <c r="E1447">
        <v>0</v>
      </c>
    </row>
    <row r="1448" spans="1:5" x14ac:dyDescent="0.25">
      <c r="A1448">
        <v>2.327906976744186</v>
      </c>
      <c r="B1448">
        <v>0</v>
      </c>
      <c r="D1448">
        <v>2.327906976744186</v>
      </c>
      <c r="E1448">
        <v>0</v>
      </c>
    </row>
    <row r="1449" spans="1:5" x14ac:dyDescent="0.25">
      <c r="A1449">
        <v>2.3225058004640369</v>
      </c>
      <c r="B1449">
        <v>0</v>
      </c>
      <c r="D1449">
        <v>2.3225058004640369</v>
      </c>
      <c r="E1449">
        <v>0</v>
      </c>
    </row>
    <row r="1450" spans="1:5" x14ac:dyDescent="0.25">
      <c r="A1450">
        <v>2.3171296296296298</v>
      </c>
      <c r="B1450">
        <v>0</v>
      </c>
      <c r="D1450">
        <v>2.3171296296296298</v>
      </c>
      <c r="E1450">
        <v>0</v>
      </c>
    </row>
    <row r="1451" spans="1:5" x14ac:dyDescent="0.25">
      <c r="A1451">
        <v>2.3117782909930717</v>
      </c>
      <c r="B1451">
        <v>0</v>
      </c>
      <c r="D1451">
        <v>2.3117782909930717</v>
      </c>
      <c r="E1451">
        <v>0</v>
      </c>
    </row>
    <row r="1452" spans="1:5" x14ac:dyDescent="0.25">
      <c r="A1452">
        <v>2.306451612903226</v>
      </c>
      <c r="B1452">
        <v>0</v>
      </c>
      <c r="D1452">
        <v>2.306451612903226</v>
      </c>
      <c r="E1452">
        <v>0</v>
      </c>
    </row>
    <row r="1453" spans="1:5" x14ac:dyDescent="0.25">
      <c r="A1453">
        <v>2.3011494252873566</v>
      </c>
      <c r="B1453">
        <v>0</v>
      </c>
      <c r="D1453">
        <v>2.3011494252873566</v>
      </c>
      <c r="E1453">
        <v>0</v>
      </c>
    </row>
    <row r="1454" spans="1:5" x14ac:dyDescent="0.25">
      <c r="A1454">
        <v>2.2958715596330275</v>
      </c>
      <c r="B1454">
        <v>0</v>
      </c>
      <c r="D1454">
        <v>2.2958715596330275</v>
      </c>
      <c r="E1454">
        <v>0</v>
      </c>
    </row>
    <row r="1455" spans="1:5" x14ac:dyDescent="0.25">
      <c r="A1455">
        <v>2.290617848970252</v>
      </c>
      <c r="B1455">
        <v>0</v>
      </c>
      <c r="D1455">
        <v>2.290617848970252</v>
      </c>
      <c r="E1455">
        <v>0</v>
      </c>
    </row>
    <row r="1456" spans="1:5" x14ac:dyDescent="0.25">
      <c r="A1456">
        <v>2.2853881278538815</v>
      </c>
      <c r="B1456">
        <v>0</v>
      </c>
      <c r="D1456">
        <v>2.2853881278538815</v>
      </c>
      <c r="E1456">
        <v>0</v>
      </c>
    </row>
    <row r="1457" spans="1:5" x14ac:dyDescent="0.25">
      <c r="A1457">
        <v>2.2801822323462413</v>
      </c>
      <c r="B1457">
        <v>0</v>
      </c>
      <c r="D1457">
        <v>2.2801822323462413</v>
      </c>
      <c r="E1457">
        <v>0</v>
      </c>
    </row>
    <row r="1458" spans="1:5" x14ac:dyDescent="0.25">
      <c r="A1458">
        <v>2.2749999999999999</v>
      </c>
      <c r="B1458">
        <v>0</v>
      </c>
      <c r="D1458">
        <v>2.2749999999999999</v>
      </c>
      <c r="E1458">
        <v>0</v>
      </c>
    </row>
    <row r="1459" spans="1:5" x14ac:dyDescent="0.25">
      <c r="A1459">
        <v>2.2698412698412698</v>
      </c>
      <c r="B1459">
        <v>0</v>
      </c>
      <c r="D1459">
        <v>2.2698412698412698</v>
      </c>
      <c r="E1459">
        <v>0</v>
      </c>
    </row>
    <row r="1460" spans="1:5" x14ac:dyDescent="0.25">
      <c r="A1460">
        <v>2.2647058823529411</v>
      </c>
      <c r="B1460">
        <v>0</v>
      </c>
      <c r="D1460">
        <v>2.2647058823529411</v>
      </c>
      <c r="E1460">
        <v>0</v>
      </c>
    </row>
    <row r="1461" spans="1:5" x14ac:dyDescent="0.25">
      <c r="A1461">
        <v>2.2595936794582392</v>
      </c>
      <c r="B1461">
        <v>0</v>
      </c>
      <c r="D1461">
        <v>2.2595936794582392</v>
      </c>
      <c r="E1461">
        <v>0</v>
      </c>
    </row>
    <row r="1462" spans="1:5" x14ac:dyDescent="0.25">
      <c r="A1462">
        <v>2.2545045045045042</v>
      </c>
      <c r="B1462">
        <v>0</v>
      </c>
      <c r="D1462">
        <v>2.2545045045045042</v>
      </c>
      <c r="E1462">
        <v>0</v>
      </c>
    </row>
    <row r="1463" spans="1:5" x14ac:dyDescent="0.25">
      <c r="A1463">
        <v>2.249438202247191</v>
      </c>
      <c r="B1463">
        <v>0</v>
      </c>
      <c r="D1463">
        <v>2.249438202247191</v>
      </c>
      <c r="E1463">
        <v>0</v>
      </c>
    </row>
    <row r="1464" spans="1:5" x14ac:dyDescent="0.25">
      <c r="A1464">
        <v>2.2443946188340806</v>
      </c>
      <c r="B1464">
        <v>0</v>
      </c>
      <c r="D1464">
        <v>2.2443946188340806</v>
      </c>
      <c r="E1464">
        <v>0</v>
      </c>
    </row>
    <row r="1465" spans="1:5" x14ac:dyDescent="0.25">
      <c r="A1465">
        <v>2.2393736017897092</v>
      </c>
      <c r="B1465">
        <v>0</v>
      </c>
      <c r="D1465">
        <v>2.2393736017897092</v>
      </c>
      <c r="E1465">
        <v>0</v>
      </c>
    </row>
    <row r="1466" spans="1:5" x14ac:dyDescent="0.25">
      <c r="A1466">
        <v>2.234375</v>
      </c>
      <c r="B1466">
        <v>0</v>
      </c>
      <c r="D1466">
        <v>2.234375</v>
      </c>
      <c r="E1466">
        <v>0</v>
      </c>
    </row>
    <row r="1467" spans="1:5" x14ac:dyDescent="0.25">
      <c r="A1467">
        <v>2.2293986636971046</v>
      </c>
      <c r="B1467">
        <v>0</v>
      </c>
      <c r="D1467">
        <v>2.2293986636971046</v>
      </c>
      <c r="E1467">
        <v>0</v>
      </c>
    </row>
    <row r="1468" spans="1:5" x14ac:dyDescent="0.25">
      <c r="A1468">
        <v>2.2244444444444444</v>
      </c>
      <c r="B1468">
        <v>0</v>
      </c>
      <c r="D1468">
        <v>2.2244444444444444</v>
      </c>
      <c r="E1468">
        <v>0</v>
      </c>
    </row>
    <row r="1469" spans="1:5" x14ac:dyDescent="0.25">
      <c r="A1469">
        <v>2.219512195121951</v>
      </c>
      <c r="B1469">
        <v>0</v>
      </c>
      <c r="D1469">
        <v>2.219512195121951</v>
      </c>
      <c r="E1469">
        <v>0</v>
      </c>
    </row>
    <row r="1470" spans="1:5" x14ac:dyDescent="0.25">
      <c r="A1470">
        <v>2.2146017699115044</v>
      </c>
      <c r="B1470">
        <v>0</v>
      </c>
      <c r="D1470">
        <v>2.2146017699115044</v>
      </c>
      <c r="E1470">
        <v>0</v>
      </c>
    </row>
    <row r="1471" spans="1:5" x14ac:dyDescent="0.25">
      <c r="A1471">
        <v>2.2097130242825607</v>
      </c>
      <c r="B1471">
        <v>0</v>
      </c>
      <c r="D1471">
        <v>2.2097130242825607</v>
      </c>
      <c r="E1471">
        <v>0</v>
      </c>
    </row>
    <row r="1472" spans="1:5" x14ac:dyDescent="0.25">
      <c r="A1472">
        <v>2.2048458149779733</v>
      </c>
      <c r="B1472">
        <v>0</v>
      </c>
      <c r="D1472">
        <v>2.2048458149779733</v>
      </c>
      <c r="E1472">
        <v>0</v>
      </c>
    </row>
    <row r="1473" spans="1:5" x14ac:dyDescent="0.25">
      <c r="A1473">
        <v>2.2000000000000002</v>
      </c>
      <c r="B1473">
        <v>0</v>
      </c>
      <c r="D1473">
        <v>2.2000000000000002</v>
      </c>
      <c r="E1473">
        <v>0</v>
      </c>
    </row>
    <row r="1474" spans="1:5" x14ac:dyDescent="0.25">
      <c r="A1474">
        <v>2.195175438596491</v>
      </c>
      <c r="B1474">
        <v>0</v>
      </c>
      <c r="D1474">
        <v>2.195175438596491</v>
      </c>
      <c r="E1474">
        <v>0</v>
      </c>
    </row>
    <row r="1475" spans="1:5" x14ac:dyDescent="0.25">
      <c r="A1475">
        <v>2.190371991247265</v>
      </c>
      <c r="B1475">
        <v>0</v>
      </c>
      <c r="D1475">
        <v>2.190371991247265</v>
      </c>
      <c r="E1475">
        <v>0</v>
      </c>
    </row>
    <row r="1476" spans="1:5" x14ac:dyDescent="0.25">
      <c r="A1476">
        <v>2.1855895196506552</v>
      </c>
      <c r="B1476">
        <v>0</v>
      </c>
      <c r="D1476">
        <v>2.1855895196506552</v>
      </c>
      <c r="E1476">
        <v>0</v>
      </c>
    </row>
    <row r="1477" spans="1:5" x14ac:dyDescent="0.25">
      <c r="A1477">
        <v>2.1808278867102397</v>
      </c>
      <c r="B1477">
        <v>0</v>
      </c>
      <c r="D1477">
        <v>2.1808278867102397</v>
      </c>
      <c r="E1477">
        <v>0</v>
      </c>
    </row>
    <row r="1478" spans="1:5" x14ac:dyDescent="0.25">
      <c r="A1478">
        <v>2.1760869565217393</v>
      </c>
      <c r="B1478">
        <v>0</v>
      </c>
      <c r="D1478">
        <v>2.1760869565217393</v>
      </c>
      <c r="E1478">
        <v>0</v>
      </c>
    </row>
    <row r="1479" spans="1:5" x14ac:dyDescent="0.25">
      <c r="A1479">
        <v>2.1713665943600868</v>
      </c>
      <c r="B1479">
        <v>0</v>
      </c>
      <c r="D1479">
        <v>2.1713665943600868</v>
      </c>
      <c r="E1479">
        <v>0</v>
      </c>
    </row>
    <row r="1480" spans="1:5" x14ac:dyDescent="0.25">
      <c r="A1480">
        <v>2.1666666666666665</v>
      </c>
      <c r="B1480">
        <v>0</v>
      </c>
      <c r="D1480">
        <v>2.1666666666666665</v>
      </c>
      <c r="E1480">
        <v>0</v>
      </c>
    </row>
    <row r="1481" spans="1:5" x14ac:dyDescent="0.25">
      <c r="A1481">
        <v>2.161987041036717</v>
      </c>
      <c r="B1481">
        <v>0</v>
      </c>
      <c r="D1481">
        <v>2.161987041036717</v>
      </c>
      <c r="E1481">
        <v>0</v>
      </c>
    </row>
    <row r="1482" spans="1:5" x14ac:dyDescent="0.25">
      <c r="A1482">
        <v>2.1573275862068964</v>
      </c>
      <c r="B1482">
        <v>0</v>
      </c>
      <c r="D1482">
        <v>2.1573275862068964</v>
      </c>
      <c r="E1482">
        <v>0</v>
      </c>
    </row>
    <row r="1483" spans="1:5" x14ac:dyDescent="0.25">
      <c r="A1483">
        <v>2.1526881720430109</v>
      </c>
      <c r="B1483">
        <v>0</v>
      </c>
      <c r="D1483">
        <v>2.1526881720430109</v>
      </c>
      <c r="E1483">
        <v>0</v>
      </c>
    </row>
    <row r="1484" spans="1:5" x14ac:dyDescent="0.25">
      <c r="A1484">
        <v>2.148068669527897</v>
      </c>
      <c r="B1484">
        <v>0</v>
      </c>
      <c r="D1484">
        <v>2.148068669527897</v>
      </c>
      <c r="E1484">
        <v>0</v>
      </c>
    </row>
    <row r="1485" spans="1:5" x14ac:dyDescent="0.25">
      <c r="A1485">
        <v>2.1434689507494644</v>
      </c>
      <c r="B1485">
        <v>0</v>
      </c>
      <c r="D1485">
        <v>2.1434689507494644</v>
      </c>
      <c r="E1485">
        <v>0</v>
      </c>
    </row>
    <row r="1486" spans="1:5" x14ac:dyDescent="0.25">
      <c r="A1486">
        <v>2.1388888888888888</v>
      </c>
      <c r="B1486">
        <v>0</v>
      </c>
      <c r="D1486">
        <v>2.1388888888888888</v>
      </c>
      <c r="E1486">
        <v>0</v>
      </c>
    </row>
    <row r="1487" spans="1:5" x14ac:dyDescent="0.25">
      <c r="A1487">
        <v>2.1343283582089554</v>
      </c>
      <c r="B1487">
        <v>0</v>
      </c>
      <c r="D1487">
        <v>2.1343283582089554</v>
      </c>
      <c r="E1487">
        <v>0</v>
      </c>
    </row>
    <row r="1488" spans="1:5" x14ac:dyDescent="0.25">
      <c r="A1488">
        <v>2.1297872340425532</v>
      </c>
      <c r="B1488">
        <v>0</v>
      </c>
      <c r="D1488">
        <v>2.1297872340425532</v>
      </c>
      <c r="E1488">
        <v>0</v>
      </c>
    </row>
    <row r="1489" spans="1:5" x14ac:dyDescent="0.25">
      <c r="A1489">
        <v>2.1252653927813165</v>
      </c>
      <c r="B1489">
        <v>0</v>
      </c>
      <c r="D1489">
        <v>2.1252653927813165</v>
      </c>
      <c r="E1489">
        <v>0</v>
      </c>
    </row>
    <row r="1490" spans="1:5" x14ac:dyDescent="0.25">
      <c r="A1490">
        <v>2.1207627118644066</v>
      </c>
      <c r="B1490">
        <v>0</v>
      </c>
      <c r="D1490">
        <v>2.1207627118644066</v>
      </c>
      <c r="E1490">
        <v>0</v>
      </c>
    </row>
    <row r="1491" spans="1:5" x14ac:dyDescent="0.25">
      <c r="A1491">
        <v>2.1162790697674421</v>
      </c>
      <c r="B1491">
        <v>0</v>
      </c>
      <c r="D1491">
        <v>2.1162790697674421</v>
      </c>
      <c r="E1491">
        <v>0</v>
      </c>
    </row>
    <row r="1492" spans="1:5" x14ac:dyDescent="0.25">
      <c r="A1492">
        <v>2.111814345991561</v>
      </c>
      <c r="B1492">
        <v>0</v>
      </c>
      <c r="D1492">
        <v>2.111814345991561</v>
      </c>
      <c r="E1492">
        <v>0</v>
      </c>
    </row>
    <row r="1493" spans="1:5" x14ac:dyDescent="0.25">
      <c r="A1493">
        <v>2.1073684210526316</v>
      </c>
      <c r="B1493">
        <v>0</v>
      </c>
      <c r="D1493">
        <v>2.1073684210526316</v>
      </c>
      <c r="E1493">
        <v>0</v>
      </c>
    </row>
    <row r="1494" spans="1:5" x14ac:dyDescent="0.25">
      <c r="A1494">
        <v>2.1029411764705883</v>
      </c>
      <c r="B1494">
        <v>0</v>
      </c>
      <c r="D1494">
        <v>2.1029411764705883</v>
      </c>
      <c r="E1494">
        <v>0</v>
      </c>
    </row>
    <row r="1495" spans="1:5" x14ac:dyDescent="0.25">
      <c r="A1495">
        <v>2.0985324947589099</v>
      </c>
      <c r="B1495">
        <v>0</v>
      </c>
      <c r="D1495">
        <v>2.0985324947589099</v>
      </c>
      <c r="E1495">
        <v>0</v>
      </c>
    </row>
    <row r="1496" spans="1:5" x14ac:dyDescent="0.25">
      <c r="A1496">
        <v>2.0941422594142258</v>
      </c>
      <c r="B1496">
        <v>0</v>
      </c>
      <c r="D1496">
        <v>2.0941422594142258</v>
      </c>
      <c r="E1496">
        <v>0</v>
      </c>
    </row>
    <row r="1497" spans="1:5" x14ac:dyDescent="0.25">
      <c r="A1497">
        <v>2.0897703549060545</v>
      </c>
      <c r="B1497">
        <v>0</v>
      </c>
      <c r="D1497">
        <v>2.0897703549060545</v>
      </c>
      <c r="E1497">
        <v>0</v>
      </c>
    </row>
    <row r="1498" spans="1:5" x14ac:dyDescent="0.25">
      <c r="A1498">
        <v>2.0854166666666667</v>
      </c>
      <c r="B1498">
        <v>0</v>
      </c>
      <c r="D1498">
        <v>2.0854166666666667</v>
      </c>
      <c r="E1498">
        <v>0</v>
      </c>
    </row>
    <row r="1499" spans="1:5" x14ac:dyDescent="0.25">
      <c r="A1499">
        <v>2.0810810810810811</v>
      </c>
      <c r="B1499">
        <v>0</v>
      </c>
      <c r="D1499">
        <v>2.0810810810810811</v>
      </c>
      <c r="E1499">
        <v>0</v>
      </c>
    </row>
    <row r="1500" spans="1:5" x14ac:dyDescent="0.25">
      <c r="A1500">
        <v>2.0767634854771782</v>
      </c>
      <c r="B1500">
        <v>0</v>
      </c>
      <c r="D1500">
        <v>2.0767634854771782</v>
      </c>
      <c r="E1500">
        <v>0</v>
      </c>
    </row>
    <row r="1501" spans="1:5" x14ac:dyDescent="0.25">
      <c r="A1501">
        <v>2.0724637681159419</v>
      </c>
      <c r="B1501">
        <v>0</v>
      </c>
      <c r="D1501">
        <v>2.0724637681159419</v>
      </c>
      <c r="E1501">
        <v>0</v>
      </c>
    </row>
    <row r="1502" spans="1:5" x14ac:dyDescent="0.25">
      <c r="A1502">
        <v>2.0681818181818183</v>
      </c>
      <c r="B1502">
        <v>0</v>
      </c>
      <c r="D1502">
        <v>2.0681818181818183</v>
      </c>
      <c r="E1502">
        <v>0</v>
      </c>
    </row>
    <row r="1503" spans="1:5" x14ac:dyDescent="0.25">
      <c r="A1503">
        <v>2.0639175257731956</v>
      </c>
      <c r="B1503">
        <v>0</v>
      </c>
      <c r="D1503">
        <v>2.0639175257731956</v>
      </c>
      <c r="E1503">
        <v>0</v>
      </c>
    </row>
    <row r="1504" spans="1:5" x14ac:dyDescent="0.25">
      <c r="A1504">
        <v>2.0596707818930042</v>
      </c>
      <c r="B1504">
        <v>0</v>
      </c>
      <c r="D1504">
        <v>2.0596707818930042</v>
      </c>
      <c r="E1504">
        <v>0</v>
      </c>
    </row>
    <row r="1505" spans="1:5" x14ac:dyDescent="0.25">
      <c r="A1505">
        <v>2.055441478439425</v>
      </c>
      <c r="B1505">
        <v>0</v>
      </c>
      <c r="D1505">
        <v>2.055441478439425</v>
      </c>
      <c r="E1505">
        <v>0</v>
      </c>
    </row>
    <row r="1506" spans="1:5" x14ac:dyDescent="0.25">
      <c r="A1506">
        <v>2.0512295081967213</v>
      </c>
      <c r="B1506">
        <v>0</v>
      </c>
      <c r="D1506">
        <v>2.0512295081967213</v>
      </c>
      <c r="E1506">
        <v>0</v>
      </c>
    </row>
    <row r="1507" spans="1:5" x14ac:dyDescent="0.25">
      <c r="A1507">
        <v>2.0470347648261757</v>
      </c>
      <c r="B1507">
        <v>0</v>
      </c>
      <c r="D1507">
        <v>2.0470347648261757</v>
      </c>
      <c r="E1507">
        <v>0</v>
      </c>
    </row>
    <row r="1508" spans="1:5" x14ac:dyDescent="0.25">
      <c r="A1508">
        <v>2.0428571428571427</v>
      </c>
      <c r="B1508">
        <v>0</v>
      </c>
      <c r="D1508">
        <v>2.0428571428571427</v>
      </c>
      <c r="E1508">
        <v>0</v>
      </c>
    </row>
    <row r="1509" spans="1:5" x14ac:dyDescent="0.25">
      <c r="A1509">
        <v>2.0386965376782076</v>
      </c>
      <c r="B1509">
        <v>0</v>
      </c>
      <c r="D1509">
        <v>2.0386965376782076</v>
      </c>
      <c r="E1509">
        <v>0</v>
      </c>
    </row>
    <row r="1510" spans="1:5" x14ac:dyDescent="0.25">
      <c r="A1510">
        <v>2.0345528455284554</v>
      </c>
      <c r="B1510">
        <v>0</v>
      </c>
      <c r="D1510">
        <v>2.0345528455284554</v>
      </c>
      <c r="E1510">
        <v>0</v>
      </c>
    </row>
    <row r="1511" spans="1:5" x14ac:dyDescent="0.25">
      <c r="A1511">
        <v>2.030425963488844</v>
      </c>
      <c r="B1511">
        <v>0</v>
      </c>
      <c r="D1511">
        <v>2.030425963488844</v>
      </c>
      <c r="E1511">
        <v>0</v>
      </c>
    </row>
    <row r="1512" spans="1:5" x14ac:dyDescent="0.25">
      <c r="A1512">
        <v>2.0263157894736841</v>
      </c>
      <c r="B1512">
        <v>0</v>
      </c>
      <c r="D1512">
        <v>2.0263157894736841</v>
      </c>
      <c r="E1512">
        <v>0</v>
      </c>
    </row>
    <row r="1513" spans="1:5" x14ac:dyDescent="0.25">
      <c r="A1513">
        <v>2.0222222222222221</v>
      </c>
      <c r="B1513">
        <v>0</v>
      </c>
      <c r="D1513">
        <v>2.0222222222222221</v>
      </c>
      <c r="E1513">
        <v>0</v>
      </c>
    </row>
    <row r="1514" spans="1:5" x14ac:dyDescent="0.25">
      <c r="A1514">
        <v>2.0181451612903225</v>
      </c>
      <c r="B1514">
        <v>0</v>
      </c>
      <c r="D1514">
        <v>2.0181451612903225</v>
      </c>
      <c r="E1514">
        <v>0</v>
      </c>
    </row>
    <row r="1515" spans="1:5" x14ac:dyDescent="0.25">
      <c r="A1515">
        <v>2.0140845070422535</v>
      </c>
      <c r="B1515">
        <v>0</v>
      </c>
      <c r="D1515">
        <v>2.0140845070422535</v>
      </c>
      <c r="E1515">
        <v>0</v>
      </c>
    </row>
    <row r="1516" spans="1:5" x14ac:dyDescent="0.25">
      <c r="A1516">
        <v>2.0100401606425704</v>
      </c>
      <c r="B1516">
        <v>0</v>
      </c>
      <c r="D1516">
        <v>2.0100401606425704</v>
      </c>
      <c r="E1516">
        <v>0</v>
      </c>
    </row>
    <row r="1517" spans="1:5" x14ac:dyDescent="0.25">
      <c r="A1517">
        <v>2.0060120240480961</v>
      </c>
      <c r="B1517">
        <v>0</v>
      </c>
      <c r="D1517">
        <v>2.0060120240480961</v>
      </c>
      <c r="E1517">
        <v>0</v>
      </c>
    </row>
    <row r="1518" spans="1:5" x14ac:dyDescent="0.25">
      <c r="A1518">
        <v>2.0019999999999998</v>
      </c>
      <c r="B1518">
        <v>0</v>
      </c>
      <c r="D1518">
        <v>2.0019999999999998</v>
      </c>
      <c r="E1518">
        <v>0</v>
      </c>
    </row>
    <row r="1519" spans="1:5" x14ac:dyDescent="0.25">
      <c r="A1519">
        <v>1.998003992015968</v>
      </c>
      <c r="B1519">
        <v>0</v>
      </c>
      <c r="D1519">
        <v>1.998003992015968</v>
      </c>
      <c r="E1519">
        <v>0</v>
      </c>
    </row>
    <row r="1520" spans="1:5" x14ac:dyDescent="0.25">
      <c r="A1520">
        <v>1.9940239043824701</v>
      </c>
      <c r="B1520">
        <v>0</v>
      </c>
      <c r="D1520">
        <v>1.9940239043824701</v>
      </c>
      <c r="E1520">
        <v>0</v>
      </c>
    </row>
    <row r="1521" spans="1:5" x14ac:dyDescent="0.25">
      <c r="A1521">
        <v>1.9900596421471175</v>
      </c>
      <c r="B1521">
        <v>0</v>
      </c>
      <c r="D1521">
        <v>1.9900596421471175</v>
      </c>
      <c r="E1521">
        <v>0</v>
      </c>
    </row>
    <row r="1522" spans="1:5" x14ac:dyDescent="0.25">
      <c r="A1522">
        <v>1.9861111111111109</v>
      </c>
      <c r="B1522">
        <v>0</v>
      </c>
      <c r="D1522">
        <v>1.9861111111111109</v>
      </c>
      <c r="E1522">
        <v>0</v>
      </c>
    </row>
    <row r="1523" spans="1:5" x14ac:dyDescent="0.25">
      <c r="A1523">
        <v>1.9821782178217822</v>
      </c>
      <c r="B1523">
        <v>0</v>
      </c>
      <c r="D1523">
        <v>1.9821782178217822</v>
      </c>
      <c r="E1523">
        <v>0</v>
      </c>
    </row>
    <row r="1524" spans="1:5" x14ac:dyDescent="0.25">
      <c r="A1524">
        <v>1.9782608695652175</v>
      </c>
      <c r="B1524">
        <v>0</v>
      </c>
      <c r="D1524">
        <v>1.9782608695652175</v>
      </c>
      <c r="E1524">
        <v>0</v>
      </c>
    </row>
    <row r="1525" spans="1:5" x14ac:dyDescent="0.25">
      <c r="A1525">
        <v>1.9743589743589747</v>
      </c>
      <c r="B1525">
        <v>0</v>
      </c>
      <c r="D1525">
        <v>1.9743589743589747</v>
      </c>
      <c r="E1525">
        <v>0</v>
      </c>
    </row>
    <row r="1526" spans="1:5" x14ac:dyDescent="0.25">
      <c r="A1526">
        <v>1.9704724409448817</v>
      </c>
      <c r="B1526">
        <v>0</v>
      </c>
      <c r="D1526">
        <v>1.9704724409448817</v>
      </c>
      <c r="E1526">
        <v>0</v>
      </c>
    </row>
    <row r="1527" spans="1:5" x14ac:dyDescent="0.25">
      <c r="A1527">
        <v>1.9666011787819253</v>
      </c>
      <c r="B1527">
        <v>0</v>
      </c>
      <c r="D1527">
        <v>1.9666011787819253</v>
      </c>
      <c r="E1527">
        <v>0</v>
      </c>
    </row>
    <row r="1528" spans="1:5" x14ac:dyDescent="0.25">
      <c r="A1528">
        <v>1.9627450980392158</v>
      </c>
      <c r="B1528">
        <v>0</v>
      </c>
      <c r="D1528">
        <v>1.9627450980392158</v>
      </c>
      <c r="E1528">
        <v>0</v>
      </c>
    </row>
    <row r="1529" spans="1:5" x14ac:dyDescent="0.25">
      <c r="A1529">
        <v>1.9589041095890409</v>
      </c>
      <c r="B1529">
        <v>0</v>
      </c>
      <c r="D1529">
        <v>1.9589041095890409</v>
      </c>
      <c r="E1529">
        <v>0</v>
      </c>
    </row>
    <row r="1530" spans="1:5" x14ac:dyDescent="0.25">
      <c r="A1530">
        <v>1.955078125</v>
      </c>
      <c r="B1530">
        <v>0</v>
      </c>
      <c r="D1530">
        <v>1.955078125</v>
      </c>
      <c r="E1530">
        <v>0</v>
      </c>
    </row>
    <row r="1531" spans="1:5" x14ac:dyDescent="0.25">
      <c r="A1531">
        <v>1.9512670565302146</v>
      </c>
      <c r="B1531">
        <v>0</v>
      </c>
      <c r="D1531">
        <v>1.9512670565302146</v>
      </c>
      <c r="E1531">
        <v>0</v>
      </c>
    </row>
    <row r="1532" spans="1:5" x14ac:dyDescent="0.25">
      <c r="A1532">
        <v>1.9474708171206223</v>
      </c>
      <c r="B1532">
        <v>0</v>
      </c>
      <c r="D1532">
        <v>1.9474708171206223</v>
      </c>
      <c r="E1532">
        <v>0</v>
      </c>
    </row>
    <row r="1533" spans="1:5" x14ac:dyDescent="0.25">
      <c r="A1533">
        <v>1.9436893203883494</v>
      </c>
      <c r="B1533">
        <v>0</v>
      </c>
      <c r="D1533">
        <v>1.9436893203883494</v>
      </c>
      <c r="E1533">
        <v>0</v>
      </c>
    </row>
    <row r="1534" spans="1:5" x14ac:dyDescent="0.25">
      <c r="A1534">
        <v>1.9399224806201552</v>
      </c>
      <c r="B1534">
        <v>0</v>
      </c>
      <c r="D1534">
        <v>1.9399224806201552</v>
      </c>
      <c r="E1534">
        <v>0</v>
      </c>
    </row>
    <row r="1535" spans="1:5" x14ac:dyDescent="0.25">
      <c r="A1535">
        <v>1.9361702127659572</v>
      </c>
      <c r="B1535">
        <v>0</v>
      </c>
      <c r="D1535">
        <v>1.9361702127659572</v>
      </c>
      <c r="E1535">
        <v>0</v>
      </c>
    </row>
    <row r="1536" spans="1:5" x14ac:dyDescent="0.25">
      <c r="A1536">
        <v>1.9324324324324325</v>
      </c>
      <c r="B1536">
        <v>0</v>
      </c>
      <c r="D1536">
        <v>1.9324324324324325</v>
      </c>
      <c r="E1536">
        <v>0</v>
      </c>
    </row>
    <row r="1537" spans="1:5" x14ac:dyDescent="0.25">
      <c r="A1537">
        <v>1.928709055876686</v>
      </c>
      <c r="B1537">
        <v>0</v>
      </c>
      <c r="D1537">
        <v>1.928709055876686</v>
      </c>
      <c r="E1537">
        <v>0</v>
      </c>
    </row>
    <row r="1538" spans="1:5" x14ac:dyDescent="0.25">
      <c r="A1538">
        <v>1.9250000000000003</v>
      </c>
      <c r="B1538">
        <v>0</v>
      </c>
      <c r="D1538">
        <v>1.9250000000000003</v>
      </c>
      <c r="E1538">
        <v>0</v>
      </c>
    </row>
    <row r="1539" spans="1:5" x14ac:dyDescent="0.25">
      <c r="A1539">
        <v>1.9213051823416505</v>
      </c>
      <c r="B1539">
        <v>0</v>
      </c>
      <c r="D1539">
        <v>1.9213051823416505</v>
      </c>
      <c r="E1539">
        <v>0</v>
      </c>
    </row>
    <row r="1540" spans="1:5" x14ac:dyDescent="0.25">
      <c r="A1540">
        <v>1.9176245210727969</v>
      </c>
      <c r="B1540">
        <v>0</v>
      </c>
      <c r="D1540">
        <v>1.9176245210727969</v>
      </c>
      <c r="E1540">
        <v>0</v>
      </c>
    </row>
    <row r="1541" spans="1:5" x14ac:dyDescent="0.25">
      <c r="A1541">
        <v>1.9139579349904399</v>
      </c>
      <c r="B1541">
        <v>0</v>
      </c>
      <c r="D1541">
        <v>1.9139579349904399</v>
      </c>
      <c r="E1541">
        <v>0</v>
      </c>
    </row>
    <row r="1542" spans="1:5" x14ac:dyDescent="0.25">
      <c r="A1542">
        <v>1.9103053435114503</v>
      </c>
      <c r="B1542">
        <v>0</v>
      </c>
      <c r="D1542">
        <v>1.9103053435114503</v>
      </c>
      <c r="E1542">
        <v>0</v>
      </c>
    </row>
    <row r="1543" spans="1:5" x14ac:dyDescent="0.25">
      <c r="A1543">
        <v>1.9066666666666667</v>
      </c>
      <c r="B1543">
        <v>0</v>
      </c>
      <c r="D1543">
        <v>1.9066666666666667</v>
      </c>
      <c r="E1543">
        <v>0</v>
      </c>
    </row>
    <row r="1544" spans="1:5" x14ac:dyDescent="0.25">
      <c r="A1544">
        <v>1.9030418250950571</v>
      </c>
      <c r="B1544">
        <v>0</v>
      </c>
      <c r="D1544">
        <v>1.9030418250950571</v>
      </c>
      <c r="E1544">
        <v>0</v>
      </c>
    </row>
    <row r="1545" spans="1:5" x14ac:dyDescent="0.25">
      <c r="A1545">
        <v>1.8994307400379504</v>
      </c>
      <c r="B1545">
        <v>0</v>
      </c>
      <c r="D1545">
        <v>1.8994307400379504</v>
      </c>
      <c r="E1545">
        <v>0</v>
      </c>
    </row>
    <row r="1546" spans="1:5" x14ac:dyDescent="0.25">
      <c r="A1546">
        <v>1.8958333333333333</v>
      </c>
      <c r="B1546">
        <v>0</v>
      </c>
      <c r="D1546">
        <v>1.8958333333333333</v>
      </c>
      <c r="E1546">
        <v>0</v>
      </c>
    </row>
    <row r="1547" spans="1:5" x14ac:dyDescent="0.25">
      <c r="A1547">
        <v>1.892249527410208</v>
      </c>
      <c r="B1547">
        <v>0</v>
      </c>
      <c r="D1547">
        <v>1.892249527410208</v>
      </c>
      <c r="E1547">
        <v>0</v>
      </c>
    </row>
    <row r="1548" spans="1:5" x14ac:dyDescent="0.25">
      <c r="A1548">
        <v>1.888679245283019</v>
      </c>
      <c r="B1548">
        <v>0</v>
      </c>
      <c r="D1548">
        <v>1.888679245283019</v>
      </c>
      <c r="E1548">
        <v>0</v>
      </c>
    </row>
    <row r="1549" spans="1:5" x14ac:dyDescent="0.25">
      <c r="A1549">
        <v>1.8851224105461393</v>
      </c>
      <c r="B1549">
        <v>0</v>
      </c>
      <c r="D1549">
        <v>1.8851224105461393</v>
      </c>
      <c r="E1549">
        <v>0</v>
      </c>
    </row>
    <row r="1550" spans="1:5" x14ac:dyDescent="0.25">
      <c r="A1550">
        <v>1.881578947368421</v>
      </c>
      <c r="B1550">
        <v>0</v>
      </c>
      <c r="D1550">
        <v>1.881578947368421</v>
      </c>
      <c r="E1550">
        <v>0</v>
      </c>
    </row>
    <row r="1551" spans="1:5" x14ac:dyDescent="0.25">
      <c r="A1551">
        <v>1.878048780487805</v>
      </c>
      <c r="B1551">
        <v>0</v>
      </c>
      <c r="D1551">
        <v>1.878048780487805</v>
      </c>
      <c r="E1551">
        <v>0</v>
      </c>
    </row>
    <row r="1552" spans="1:5" x14ac:dyDescent="0.25">
      <c r="A1552">
        <v>1.8745318352059923</v>
      </c>
      <c r="B1552">
        <v>0</v>
      </c>
      <c r="D1552">
        <v>1.8745318352059923</v>
      </c>
      <c r="E1552">
        <v>0</v>
      </c>
    </row>
    <row r="1553" spans="1:5" x14ac:dyDescent="0.25">
      <c r="A1553">
        <v>1.8710280373831776</v>
      </c>
      <c r="B1553">
        <v>0</v>
      </c>
      <c r="D1553">
        <v>1.8710280373831776</v>
      </c>
      <c r="E1553">
        <v>0</v>
      </c>
    </row>
    <row r="1554" spans="1:5" x14ac:dyDescent="0.25">
      <c r="A1554">
        <v>1.8675373134328359</v>
      </c>
      <c r="B1554">
        <v>0</v>
      </c>
      <c r="D1554">
        <v>1.8675373134328359</v>
      </c>
      <c r="E1554">
        <v>0</v>
      </c>
    </row>
    <row r="1555" spans="1:5" x14ac:dyDescent="0.25">
      <c r="A1555">
        <v>1.8640595903165733</v>
      </c>
      <c r="B1555">
        <v>0</v>
      </c>
      <c r="D1555">
        <v>1.8640595903165733</v>
      </c>
      <c r="E1555">
        <v>0</v>
      </c>
    </row>
    <row r="1556" spans="1:5" x14ac:dyDescent="0.25">
      <c r="A1556">
        <v>1.8605947955390334</v>
      </c>
      <c r="B1556">
        <v>0</v>
      </c>
      <c r="D1556">
        <v>1.8605947955390334</v>
      </c>
      <c r="E1556">
        <v>0</v>
      </c>
    </row>
    <row r="1557" spans="1:5" x14ac:dyDescent="0.25">
      <c r="A1557">
        <v>1.8571428571428572</v>
      </c>
      <c r="B1557">
        <v>0</v>
      </c>
      <c r="D1557">
        <v>1.8571428571428572</v>
      </c>
      <c r="E1557">
        <v>0</v>
      </c>
    </row>
    <row r="1558" spans="1:5" x14ac:dyDescent="0.25">
      <c r="A1558">
        <v>1.8537037037037036</v>
      </c>
      <c r="B1558">
        <v>0</v>
      </c>
      <c r="D1558">
        <v>1.8537037037037036</v>
      </c>
      <c r="E1558">
        <v>0</v>
      </c>
    </row>
    <row r="1559" spans="1:5" x14ac:dyDescent="0.25">
      <c r="A1559">
        <v>1.8502772643253234</v>
      </c>
      <c r="B1559">
        <v>0</v>
      </c>
      <c r="D1559">
        <v>1.8502772643253234</v>
      </c>
      <c r="E1559">
        <v>0</v>
      </c>
    </row>
    <row r="1560" spans="1:5" x14ac:dyDescent="0.25">
      <c r="A1560">
        <v>1.8468634686346863</v>
      </c>
      <c r="B1560">
        <v>0</v>
      </c>
      <c r="D1560">
        <v>1.8468634686346863</v>
      </c>
      <c r="E1560">
        <v>0</v>
      </c>
    </row>
    <row r="1561" spans="1:5" x14ac:dyDescent="0.25">
      <c r="A1561">
        <v>1.843462246777164</v>
      </c>
      <c r="B1561">
        <v>0</v>
      </c>
      <c r="D1561">
        <v>1.843462246777164</v>
      </c>
      <c r="E1561">
        <v>0</v>
      </c>
    </row>
    <row r="1562" spans="1:5" x14ac:dyDescent="0.25">
      <c r="A1562">
        <v>1.8400735294117647</v>
      </c>
      <c r="B1562">
        <v>0</v>
      </c>
      <c r="D1562">
        <v>1.8400735294117647</v>
      </c>
      <c r="E1562">
        <v>0</v>
      </c>
    </row>
    <row r="1563" spans="1:5" x14ac:dyDescent="0.25">
      <c r="A1563">
        <v>1.8366972477064221</v>
      </c>
      <c r="B1563">
        <v>0</v>
      </c>
      <c r="D1563">
        <v>1.8366972477064221</v>
      </c>
      <c r="E1563">
        <v>0</v>
      </c>
    </row>
    <row r="1564" spans="1:5" x14ac:dyDescent="0.25">
      <c r="A1564">
        <v>1.8333333333333335</v>
      </c>
      <c r="B1564">
        <v>0</v>
      </c>
      <c r="D1564">
        <v>1.8333333333333335</v>
      </c>
      <c r="E1564">
        <v>0</v>
      </c>
    </row>
    <row r="1565" spans="1:5" x14ac:dyDescent="0.25">
      <c r="A1565">
        <v>1.829981718464351</v>
      </c>
      <c r="B1565">
        <v>0</v>
      </c>
      <c r="D1565">
        <v>1.829981718464351</v>
      </c>
      <c r="E1565">
        <v>0</v>
      </c>
    </row>
    <row r="1566" spans="1:5" x14ac:dyDescent="0.25">
      <c r="A1566">
        <v>1.8266423357664234</v>
      </c>
      <c r="B1566">
        <v>0</v>
      </c>
      <c r="D1566">
        <v>1.8266423357664234</v>
      </c>
      <c r="E1566">
        <v>0</v>
      </c>
    </row>
    <row r="1567" spans="1:5" x14ac:dyDescent="0.25">
      <c r="A1567">
        <v>1.8233151183970857</v>
      </c>
      <c r="B1567">
        <v>0</v>
      </c>
      <c r="D1567">
        <v>1.8233151183970857</v>
      </c>
      <c r="E1567">
        <v>0</v>
      </c>
    </row>
    <row r="1568" spans="1:5" x14ac:dyDescent="0.25">
      <c r="A1568">
        <v>1.8199999999999998</v>
      </c>
      <c r="B1568">
        <v>0</v>
      </c>
      <c r="D1568">
        <v>1.8199999999999998</v>
      </c>
      <c r="E1568">
        <v>0</v>
      </c>
    </row>
    <row r="1569" spans="1:5" x14ac:dyDescent="0.25">
      <c r="A1569">
        <v>1.8166969147005445</v>
      </c>
      <c r="B1569">
        <v>0</v>
      </c>
      <c r="D1569">
        <v>1.8166969147005445</v>
      </c>
      <c r="E1569">
        <v>0</v>
      </c>
    </row>
    <row r="1570" spans="1:5" x14ac:dyDescent="0.25">
      <c r="A1570">
        <v>1.8134057971014494</v>
      </c>
      <c r="B1570">
        <v>0</v>
      </c>
      <c r="D1570">
        <v>1.8134057971014494</v>
      </c>
      <c r="E1570">
        <v>0</v>
      </c>
    </row>
    <row r="1571" spans="1:5" x14ac:dyDescent="0.25">
      <c r="A1571">
        <v>1.8101265822784811</v>
      </c>
      <c r="B1571">
        <v>0</v>
      </c>
      <c r="D1571">
        <v>1.8101265822784811</v>
      </c>
      <c r="E1571">
        <v>0</v>
      </c>
    </row>
    <row r="1572" spans="1:5" x14ac:dyDescent="0.25">
      <c r="A1572">
        <v>1.8068592057761732</v>
      </c>
      <c r="B1572">
        <v>0</v>
      </c>
      <c r="D1572">
        <v>1.8068592057761732</v>
      </c>
      <c r="E1572">
        <v>0</v>
      </c>
    </row>
    <row r="1573" spans="1:5" x14ac:dyDescent="0.25">
      <c r="A1573">
        <v>1.8036036036036036</v>
      </c>
      <c r="B1573">
        <v>0</v>
      </c>
      <c r="D1573">
        <v>1.8036036036036036</v>
      </c>
      <c r="E1573">
        <v>0</v>
      </c>
    </row>
    <row r="1574" spans="1:5" x14ac:dyDescent="0.25">
      <c r="A1574">
        <v>1.800359712230216</v>
      </c>
      <c r="B1574">
        <v>0</v>
      </c>
      <c r="D1574">
        <v>1.800359712230216</v>
      </c>
      <c r="E1574">
        <v>0</v>
      </c>
    </row>
    <row r="1575" spans="1:5" x14ac:dyDescent="0.25">
      <c r="A1575">
        <v>1.7971274685816876</v>
      </c>
      <c r="B1575">
        <v>0</v>
      </c>
      <c r="D1575">
        <v>1.7971274685816876</v>
      </c>
      <c r="E1575">
        <v>0</v>
      </c>
    </row>
    <row r="1576" spans="1:5" x14ac:dyDescent="0.25">
      <c r="A1576">
        <v>1.7939068100358424</v>
      </c>
      <c r="B1576">
        <v>0</v>
      </c>
      <c r="D1576">
        <v>1.7939068100358424</v>
      </c>
      <c r="E1576">
        <v>0</v>
      </c>
    </row>
    <row r="1577" spans="1:5" x14ac:dyDescent="0.25">
      <c r="A1577">
        <v>1.7906976744186047</v>
      </c>
      <c r="B1577">
        <v>0</v>
      </c>
      <c r="D1577">
        <v>1.7906976744186047</v>
      </c>
      <c r="E1577">
        <v>0</v>
      </c>
    </row>
    <row r="1578" spans="1:5" x14ac:dyDescent="0.25">
      <c r="A1578">
        <v>1.7874999999999999</v>
      </c>
      <c r="B1578">
        <v>0</v>
      </c>
      <c r="D1578">
        <v>1.7874999999999999</v>
      </c>
      <c r="E1578">
        <v>0</v>
      </c>
    </row>
    <row r="1579" spans="1:5" x14ac:dyDescent="0.25">
      <c r="A1579">
        <v>1.784313725490196</v>
      </c>
      <c r="B1579">
        <v>0</v>
      </c>
      <c r="D1579">
        <v>1.784313725490196</v>
      </c>
      <c r="E1579">
        <v>0</v>
      </c>
    </row>
    <row r="1580" spans="1:5" x14ac:dyDescent="0.25">
      <c r="A1580">
        <v>1.7811387900355873</v>
      </c>
      <c r="B1580">
        <v>0</v>
      </c>
      <c r="D1580">
        <v>1.7811387900355873</v>
      </c>
      <c r="E1580">
        <v>0</v>
      </c>
    </row>
    <row r="1581" spans="1:5" x14ac:dyDescent="0.25">
      <c r="A1581">
        <v>1.7779751332149198</v>
      </c>
      <c r="B1581">
        <v>0</v>
      </c>
      <c r="D1581">
        <v>1.7779751332149198</v>
      </c>
      <c r="E1581">
        <v>0</v>
      </c>
    </row>
    <row r="1582" spans="1:5" x14ac:dyDescent="0.25">
      <c r="A1582">
        <v>1.7748226950354609</v>
      </c>
      <c r="B1582">
        <v>0</v>
      </c>
      <c r="D1582">
        <v>1.7748226950354609</v>
      </c>
      <c r="E1582">
        <v>0</v>
      </c>
    </row>
    <row r="1583" spans="1:5" x14ac:dyDescent="0.25">
      <c r="A1583">
        <v>1.7716814159292036</v>
      </c>
      <c r="B1583">
        <v>0</v>
      </c>
      <c r="D1583">
        <v>1.7716814159292036</v>
      </c>
      <c r="E1583">
        <v>0</v>
      </c>
    </row>
    <row r="1584" spans="1:5" x14ac:dyDescent="0.25">
      <c r="A1584">
        <v>1.7685512367491167</v>
      </c>
      <c r="B1584">
        <v>0</v>
      </c>
      <c r="D1584">
        <v>1.7685512367491167</v>
      </c>
      <c r="E1584">
        <v>0</v>
      </c>
    </row>
    <row r="1585" spans="1:5" x14ac:dyDescent="0.25">
      <c r="A1585">
        <v>1.7654320987654319</v>
      </c>
      <c r="B1585">
        <v>0</v>
      </c>
      <c r="D1585">
        <v>1.7654320987654319</v>
      </c>
      <c r="E1585">
        <v>0</v>
      </c>
    </row>
    <row r="1586" spans="1:5" x14ac:dyDescent="0.25">
      <c r="A1586">
        <v>1.7623239436619718</v>
      </c>
      <c r="B1586">
        <v>0</v>
      </c>
      <c r="D1586">
        <v>1.7623239436619718</v>
      </c>
      <c r="E1586">
        <v>0</v>
      </c>
    </row>
    <row r="1587" spans="1:5" x14ac:dyDescent="0.25">
      <c r="A1587">
        <v>1.7592267135325133</v>
      </c>
      <c r="B1587">
        <v>0</v>
      </c>
      <c r="D1587">
        <v>1.7592267135325133</v>
      </c>
      <c r="E1587">
        <v>0</v>
      </c>
    </row>
    <row r="1588" spans="1:5" x14ac:dyDescent="0.25">
      <c r="A1588">
        <v>1.7561403508771929</v>
      </c>
      <c r="B1588">
        <v>0</v>
      </c>
      <c r="D1588">
        <v>1.7561403508771929</v>
      </c>
      <c r="E1588">
        <v>0</v>
      </c>
    </row>
    <row r="1589" spans="1:5" x14ac:dyDescent="0.25">
      <c r="A1589">
        <v>1.7530647985989491</v>
      </c>
      <c r="B1589">
        <v>0</v>
      </c>
      <c r="D1589">
        <v>1.7530647985989491</v>
      </c>
      <c r="E1589">
        <v>0</v>
      </c>
    </row>
    <row r="1590" spans="1:5" x14ac:dyDescent="0.25">
      <c r="A1590">
        <v>1.75</v>
      </c>
      <c r="B1590">
        <v>0</v>
      </c>
      <c r="D1590">
        <v>1.75</v>
      </c>
      <c r="E1590">
        <v>0</v>
      </c>
    </row>
    <row r="1591" spans="1:5" x14ac:dyDescent="0.25">
      <c r="A1591">
        <v>1.7469458987783593</v>
      </c>
      <c r="B1591">
        <v>0</v>
      </c>
      <c r="D1591">
        <v>1.7469458987783593</v>
      </c>
      <c r="E1591">
        <v>0</v>
      </c>
    </row>
    <row r="1592" spans="1:5" x14ac:dyDescent="0.25">
      <c r="A1592">
        <v>1.7439024390243902</v>
      </c>
      <c r="B1592">
        <v>0</v>
      </c>
      <c r="D1592">
        <v>1.7439024390243902</v>
      </c>
      <c r="E1592">
        <v>0</v>
      </c>
    </row>
    <row r="1593" spans="1:5" x14ac:dyDescent="0.25">
      <c r="A1593">
        <v>1.7408695652173913</v>
      </c>
      <c r="B1593">
        <v>0</v>
      </c>
      <c r="D1593">
        <v>1.7408695652173913</v>
      </c>
      <c r="E1593">
        <v>0</v>
      </c>
    </row>
    <row r="1594" spans="1:5" x14ac:dyDescent="0.25">
      <c r="A1594">
        <v>1.7378472222222221</v>
      </c>
      <c r="B1594">
        <v>0</v>
      </c>
      <c r="D1594">
        <v>1.7378472222222221</v>
      </c>
      <c r="E1594">
        <v>0</v>
      </c>
    </row>
    <row r="1595" spans="1:5" x14ac:dyDescent="0.25">
      <c r="A1595">
        <v>1.7348353552859619</v>
      </c>
      <c r="B1595">
        <v>0</v>
      </c>
      <c r="D1595">
        <v>1.7348353552859619</v>
      </c>
      <c r="E1595">
        <v>0</v>
      </c>
    </row>
    <row r="1596" spans="1:5" x14ac:dyDescent="0.25">
      <c r="A1596">
        <v>1.7318339100346021</v>
      </c>
      <c r="B1596">
        <v>0</v>
      </c>
      <c r="D1596">
        <v>1.7318339100346021</v>
      </c>
      <c r="E1596">
        <v>0</v>
      </c>
    </row>
    <row r="1597" spans="1:5" x14ac:dyDescent="0.25">
      <c r="A1597">
        <v>1.7288428324697755</v>
      </c>
      <c r="B1597">
        <v>0</v>
      </c>
      <c r="D1597">
        <v>1.7288428324697755</v>
      </c>
      <c r="E1597">
        <v>0</v>
      </c>
    </row>
    <row r="1598" spans="1:5" x14ac:dyDescent="0.25">
      <c r="A1598">
        <v>1.7258620689655171</v>
      </c>
      <c r="B1598">
        <v>0</v>
      </c>
      <c r="D1598">
        <v>1.7258620689655171</v>
      </c>
      <c r="E1598">
        <v>0</v>
      </c>
    </row>
    <row r="1599" spans="1:5" x14ac:dyDescent="0.25">
      <c r="A1599">
        <v>1.7228915662650603</v>
      </c>
      <c r="B1599">
        <v>0</v>
      </c>
      <c r="D1599">
        <v>1.7228915662650603</v>
      </c>
      <c r="E1599">
        <v>0</v>
      </c>
    </row>
    <row r="1600" spans="1:5" x14ac:dyDescent="0.25">
      <c r="A1600">
        <v>1.7199312714776633</v>
      </c>
      <c r="B1600">
        <v>0</v>
      </c>
      <c r="D1600">
        <v>1.7199312714776633</v>
      </c>
      <c r="E1600">
        <v>0</v>
      </c>
    </row>
    <row r="1601" spans="1:5" x14ac:dyDescent="0.25">
      <c r="A1601">
        <v>1.7169811320754715</v>
      </c>
      <c r="B1601">
        <v>0</v>
      </c>
      <c r="D1601">
        <v>1.7169811320754715</v>
      </c>
      <c r="E1601">
        <v>0</v>
      </c>
    </row>
    <row r="1602" spans="1:5" x14ac:dyDescent="0.25">
      <c r="A1602">
        <v>1.7140410958904109</v>
      </c>
      <c r="B1602">
        <v>0</v>
      </c>
      <c r="D1602">
        <v>1.7140410958904109</v>
      </c>
      <c r="E1602">
        <v>0</v>
      </c>
    </row>
    <row r="1603" spans="1:5" x14ac:dyDescent="0.25">
      <c r="A1603">
        <v>1.7111111111111112</v>
      </c>
      <c r="B1603">
        <v>0</v>
      </c>
      <c r="D1603">
        <v>1.7111111111111112</v>
      </c>
      <c r="E1603">
        <v>0</v>
      </c>
    </row>
    <row r="1604" spans="1:5" x14ac:dyDescent="0.25">
      <c r="A1604">
        <v>1.7081911262798632</v>
      </c>
      <c r="B1604">
        <v>0</v>
      </c>
      <c r="D1604">
        <v>1.7081911262798632</v>
      </c>
      <c r="E1604">
        <v>0</v>
      </c>
    </row>
    <row r="1605" spans="1:5" x14ac:dyDescent="0.25">
      <c r="A1605">
        <v>1.7052810902896081</v>
      </c>
      <c r="B1605">
        <v>0</v>
      </c>
      <c r="D1605">
        <v>1.7052810902896081</v>
      </c>
      <c r="E1605">
        <v>0</v>
      </c>
    </row>
    <row r="1606" spans="1:5" x14ac:dyDescent="0.25">
      <c r="A1606">
        <v>1.7023809523809523</v>
      </c>
      <c r="B1606">
        <v>0</v>
      </c>
      <c r="D1606">
        <v>1.7023809523809523</v>
      </c>
      <c r="E1606">
        <v>0</v>
      </c>
    </row>
    <row r="1607" spans="1:5" x14ac:dyDescent="0.25">
      <c r="A1607">
        <v>1.6994906621392192</v>
      </c>
      <c r="B1607">
        <v>0</v>
      </c>
      <c r="D1607">
        <v>1.6994906621392192</v>
      </c>
      <c r="E1607">
        <v>0</v>
      </c>
    </row>
    <row r="1608" spans="1:5" x14ac:dyDescent="0.25">
      <c r="A1608">
        <v>1.6966101694915254</v>
      </c>
      <c r="B1608">
        <v>0</v>
      </c>
      <c r="D1608">
        <v>1.6966101694915254</v>
      </c>
      <c r="E1608">
        <v>0</v>
      </c>
    </row>
    <row r="1609" spans="1:5" x14ac:dyDescent="0.25">
      <c r="A1609">
        <v>1.6937394247038917</v>
      </c>
      <c r="B1609">
        <v>0</v>
      </c>
      <c r="D1609">
        <v>1.6937394247038917</v>
      </c>
      <c r="E1609">
        <v>0</v>
      </c>
    </row>
    <row r="1610" spans="1:5" x14ac:dyDescent="0.25">
      <c r="A1610">
        <v>1.6908783783783785</v>
      </c>
      <c r="B1610">
        <v>0</v>
      </c>
      <c r="D1610">
        <v>1.6908783783783785</v>
      </c>
      <c r="E1610">
        <v>0</v>
      </c>
    </row>
    <row r="1611" spans="1:5" x14ac:dyDescent="0.25">
      <c r="A1611">
        <v>1.6880269814502529</v>
      </c>
      <c r="B1611">
        <v>0</v>
      </c>
      <c r="D1611">
        <v>1.6880269814502529</v>
      </c>
      <c r="E1611">
        <v>0</v>
      </c>
    </row>
    <row r="1612" spans="1:5" x14ac:dyDescent="0.25">
      <c r="A1612">
        <v>1.6851851851851851</v>
      </c>
      <c r="B1612">
        <v>0</v>
      </c>
      <c r="D1612">
        <v>1.6851851851851851</v>
      </c>
      <c r="E1612">
        <v>0</v>
      </c>
    </row>
    <row r="1613" spans="1:5" x14ac:dyDescent="0.25">
      <c r="A1613">
        <v>1.6823529411764706</v>
      </c>
      <c r="B1613">
        <v>0</v>
      </c>
      <c r="D1613">
        <v>1.6823529411764706</v>
      </c>
      <c r="E1613">
        <v>0</v>
      </c>
    </row>
    <row r="1614" spans="1:5" x14ac:dyDescent="0.25">
      <c r="A1614">
        <v>1.6795302013422817</v>
      </c>
      <c r="B1614">
        <v>0</v>
      </c>
      <c r="D1614">
        <v>1.6795302013422817</v>
      </c>
      <c r="E1614">
        <v>0</v>
      </c>
    </row>
    <row r="1615" spans="1:5" x14ac:dyDescent="0.25">
      <c r="A1615">
        <v>1.676716917922948</v>
      </c>
      <c r="B1615">
        <v>0</v>
      </c>
      <c r="D1615">
        <v>1.676716917922948</v>
      </c>
      <c r="E1615">
        <v>0</v>
      </c>
    </row>
    <row r="1616" spans="1:5" x14ac:dyDescent="0.25">
      <c r="A1616">
        <v>1.673913043478261</v>
      </c>
      <c r="B1616">
        <v>0</v>
      </c>
      <c r="D1616">
        <v>1.673913043478261</v>
      </c>
      <c r="E1616">
        <v>0</v>
      </c>
    </row>
    <row r="1617" spans="1:5" x14ac:dyDescent="0.25">
      <c r="A1617">
        <v>1.6711185308848078</v>
      </c>
      <c r="B1617">
        <v>0</v>
      </c>
      <c r="D1617">
        <v>1.6711185308848078</v>
      </c>
      <c r="E1617">
        <v>0</v>
      </c>
    </row>
    <row r="1618" spans="1:5" x14ac:dyDescent="0.25">
      <c r="A1618">
        <v>1.6683333333333332</v>
      </c>
      <c r="B1618">
        <v>0</v>
      </c>
      <c r="D1618">
        <v>1.6683333333333332</v>
      </c>
      <c r="E1618">
        <v>0</v>
      </c>
    </row>
    <row r="1619" spans="1:5" x14ac:dyDescent="0.25">
      <c r="A1619">
        <v>1.6655574043261232</v>
      </c>
      <c r="B1619">
        <v>0</v>
      </c>
      <c r="D1619">
        <v>1.6655574043261232</v>
      </c>
      <c r="E1619">
        <v>0</v>
      </c>
    </row>
    <row r="1620" spans="1:5" x14ac:dyDescent="0.25">
      <c r="A1620">
        <v>1.6627906976744187</v>
      </c>
      <c r="B1620">
        <v>0</v>
      </c>
      <c r="D1620">
        <v>1.6627906976744187</v>
      </c>
      <c r="E1620">
        <v>0</v>
      </c>
    </row>
    <row r="1621" spans="1:5" x14ac:dyDescent="0.25">
      <c r="A1621">
        <v>1.6600331674958539</v>
      </c>
      <c r="B1621">
        <v>0</v>
      </c>
      <c r="D1621">
        <v>1.6600331674958539</v>
      </c>
      <c r="E1621">
        <v>0</v>
      </c>
    </row>
    <row r="1622" spans="1:5" x14ac:dyDescent="0.25">
      <c r="A1622">
        <v>1.6572847682119205</v>
      </c>
      <c r="B1622">
        <v>0</v>
      </c>
      <c r="D1622">
        <v>1.6572847682119205</v>
      </c>
      <c r="E1622">
        <v>0</v>
      </c>
    </row>
    <row r="1623" spans="1:5" x14ac:dyDescent="0.25">
      <c r="A1623">
        <v>1.6545454545454545</v>
      </c>
      <c r="B1623">
        <v>0</v>
      </c>
      <c r="D1623">
        <v>1.6545454545454545</v>
      </c>
      <c r="E1623">
        <v>0</v>
      </c>
    </row>
    <row r="1624" spans="1:5" x14ac:dyDescent="0.25">
      <c r="A1624">
        <v>1.6518151815181517</v>
      </c>
      <c r="B1624">
        <v>0</v>
      </c>
      <c r="D1624">
        <v>1.6518151815181517</v>
      </c>
      <c r="E1624">
        <v>0</v>
      </c>
    </row>
    <row r="1625" spans="1:5" x14ac:dyDescent="0.25">
      <c r="A1625">
        <v>1.6490939044481054</v>
      </c>
      <c r="B1625">
        <v>0</v>
      </c>
      <c r="D1625">
        <v>1.6490939044481054</v>
      </c>
      <c r="E1625">
        <v>0</v>
      </c>
    </row>
    <row r="1626" spans="1:5" x14ac:dyDescent="0.25">
      <c r="A1626">
        <v>1.6463815789473686</v>
      </c>
      <c r="B1626">
        <v>0</v>
      </c>
      <c r="D1626">
        <v>1.6463815789473686</v>
      </c>
      <c r="E1626">
        <v>0</v>
      </c>
    </row>
    <row r="1627" spans="1:5" x14ac:dyDescent="0.25">
      <c r="A1627">
        <v>1.6436781609195401</v>
      </c>
      <c r="B1627">
        <v>0</v>
      </c>
      <c r="D1627">
        <v>1.6436781609195401</v>
      </c>
      <c r="E1627">
        <v>0</v>
      </c>
    </row>
    <row r="1628" spans="1:5" x14ac:dyDescent="0.25">
      <c r="A1628">
        <v>1.6409836065573771</v>
      </c>
      <c r="B1628">
        <v>0</v>
      </c>
      <c r="D1628">
        <v>1.6409836065573771</v>
      </c>
      <c r="E1628">
        <v>0</v>
      </c>
    </row>
    <row r="1629" spans="1:5" x14ac:dyDescent="0.25">
      <c r="A1629">
        <v>1.6382978723404256</v>
      </c>
      <c r="B1629">
        <v>0</v>
      </c>
      <c r="D1629">
        <v>1.6382978723404256</v>
      </c>
      <c r="E1629">
        <v>0</v>
      </c>
    </row>
    <row r="1630" spans="1:5" x14ac:dyDescent="0.25">
      <c r="A1630">
        <v>1.6356209150326799</v>
      </c>
      <c r="B1630">
        <v>0</v>
      </c>
      <c r="D1630">
        <v>1.6356209150326799</v>
      </c>
      <c r="E1630">
        <v>0</v>
      </c>
    </row>
    <row r="1631" spans="1:5" x14ac:dyDescent="0.25">
      <c r="A1631">
        <v>1.632952691680261</v>
      </c>
      <c r="B1631">
        <v>0</v>
      </c>
      <c r="D1631">
        <v>1.632952691680261</v>
      </c>
      <c r="E1631">
        <v>0</v>
      </c>
    </row>
    <row r="1632" spans="1:5" x14ac:dyDescent="0.25">
      <c r="A1632">
        <v>1.6302931596091206</v>
      </c>
      <c r="B1632">
        <v>0</v>
      </c>
      <c r="D1632">
        <v>1.6302931596091206</v>
      </c>
      <c r="E1632">
        <v>0</v>
      </c>
    </row>
    <row r="1633" spans="1:5" x14ac:dyDescent="0.25">
      <c r="A1633">
        <v>1.6276422764227643</v>
      </c>
      <c r="B1633">
        <v>0</v>
      </c>
      <c r="D1633">
        <v>1.6276422764227643</v>
      </c>
      <c r="E1633">
        <v>0</v>
      </c>
    </row>
    <row r="1634" spans="1:5" x14ac:dyDescent="0.25">
      <c r="A1634">
        <v>1.625</v>
      </c>
      <c r="B1634">
        <v>0</v>
      </c>
      <c r="D1634">
        <v>1.625</v>
      </c>
      <c r="E1634">
        <v>0</v>
      </c>
    </row>
    <row r="1635" spans="1:5" x14ac:dyDescent="0.25">
      <c r="A1635">
        <v>1.6223662884927066</v>
      </c>
      <c r="B1635">
        <v>0</v>
      </c>
      <c r="D1635">
        <v>1.6223662884927066</v>
      </c>
      <c r="E1635">
        <v>0</v>
      </c>
    </row>
    <row r="1636" spans="1:5" x14ac:dyDescent="0.25">
      <c r="A1636">
        <v>1.6197411003236246</v>
      </c>
      <c r="B1636">
        <v>0</v>
      </c>
      <c r="D1636">
        <v>1.6197411003236246</v>
      </c>
      <c r="E1636">
        <v>0</v>
      </c>
    </row>
    <row r="1637" spans="1:5" x14ac:dyDescent="0.25">
      <c r="A1637">
        <v>1.617124394184168</v>
      </c>
      <c r="B1637">
        <v>0</v>
      </c>
      <c r="D1637">
        <v>1.617124394184168</v>
      </c>
      <c r="E1637">
        <v>0</v>
      </c>
    </row>
    <row r="1638" spans="1:5" x14ac:dyDescent="0.25">
      <c r="A1638">
        <v>1.6145161290322581</v>
      </c>
      <c r="B1638">
        <v>0</v>
      </c>
      <c r="D1638">
        <v>1.6145161290322581</v>
      </c>
      <c r="E1638">
        <v>0</v>
      </c>
    </row>
    <row r="1639" spans="1:5" x14ac:dyDescent="0.25">
      <c r="A1639">
        <v>1.6119162640901772</v>
      </c>
      <c r="B1639">
        <v>0</v>
      </c>
      <c r="D1639">
        <v>1.6119162640901772</v>
      </c>
      <c r="E1639">
        <v>0</v>
      </c>
    </row>
    <row r="1640" spans="1:5" x14ac:dyDescent="0.25">
      <c r="A1640">
        <v>1.6093247588424435</v>
      </c>
      <c r="B1640">
        <v>0</v>
      </c>
      <c r="D1640">
        <v>1.6093247588424435</v>
      </c>
      <c r="E1640">
        <v>0</v>
      </c>
    </row>
    <row r="1641" spans="1:5" x14ac:dyDescent="0.25">
      <c r="A1641">
        <v>1.6067415730337078</v>
      </c>
      <c r="B1641">
        <v>0</v>
      </c>
      <c r="D1641">
        <v>1.6067415730337078</v>
      </c>
      <c r="E1641">
        <v>0</v>
      </c>
    </row>
    <row r="1642" spans="1:5" x14ac:dyDescent="0.25">
      <c r="A1642">
        <v>1.6041666666666667</v>
      </c>
      <c r="B1642">
        <v>0</v>
      </c>
      <c r="D1642">
        <v>1.6041666666666667</v>
      </c>
      <c r="E1642">
        <v>0</v>
      </c>
    </row>
    <row r="1643" spans="1:5" x14ac:dyDescent="0.25">
      <c r="A1643">
        <v>1.6016000000000001</v>
      </c>
      <c r="B1643">
        <v>0</v>
      </c>
      <c r="D1643">
        <v>1.6016000000000001</v>
      </c>
      <c r="E1643">
        <v>0</v>
      </c>
    </row>
    <row r="1644" spans="1:5" x14ac:dyDescent="0.25">
      <c r="A1644">
        <v>1.5990415335463257</v>
      </c>
      <c r="B1644">
        <v>0</v>
      </c>
      <c r="D1644">
        <v>1.5990415335463257</v>
      </c>
      <c r="E1644">
        <v>0</v>
      </c>
    </row>
    <row r="1645" spans="1:5" x14ac:dyDescent="0.25">
      <c r="A1645">
        <v>1.5964912280701755</v>
      </c>
      <c r="B1645">
        <v>0</v>
      </c>
      <c r="D1645">
        <v>1.5964912280701755</v>
      </c>
      <c r="E1645">
        <v>0</v>
      </c>
    </row>
    <row r="1646" spans="1:5" x14ac:dyDescent="0.25">
      <c r="A1646">
        <v>1.5939490445859874</v>
      </c>
      <c r="B1646">
        <v>0</v>
      </c>
      <c r="D1646">
        <v>1.5939490445859874</v>
      </c>
      <c r="E1646">
        <v>0</v>
      </c>
    </row>
    <row r="1647" spans="1:5" x14ac:dyDescent="0.25">
      <c r="A1647">
        <v>1.5914149443561207</v>
      </c>
      <c r="B1647">
        <v>0</v>
      </c>
      <c r="D1647">
        <v>1.5914149443561207</v>
      </c>
      <c r="E1647">
        <v>0</v>
      </c>
    </row>
    <row r="1648" spans="1:5" x14ac:dyDescent="0.25">
      <c r="A1648">
        <v>1.5888888888888888</v>
      </c>
      <c r="B1648">
        <v>0</v>
      </c>
      <c r="D1648">
        <v>1.5888888888888888</v>
      </c>
      <c r="E1648">
        <v>0</v>
      </c>
    </row>
    <row r="1649" spans="1:5" x14ac:dyDescent="0.25">
      <c r="A1649">
        <v>1.5863708399366085</v>
      </c>
      <c r="B1649">
        <v>0</v>
      </c>
      <c r="D1649">
        <v>1.5863708399366085</v>
      </c>
      <c r="E1649">
        <v>0</v>
      </c>
    </row>
    <row r="1650" spans="1:5" x14ac:dyDescent="0.25">
      <c r="A1650">
        <v>1.5838607594936707</v>
      </c>
      <c r="B1650">
        <v>0</v>
      </c>
      <c r="D1650">
        <v>1.5838607594936707</v>
      </c>
      <c r="E1650">
        <v>0</v>
      </c>
    </row>
    <row r="1651" spans="1:5" x14ac:dyDescent="0.25">
      <c r="A1651">
        <v>1.5813586097946286</v>
      </c>
      <c r="B1651">
        <v>0</v>
      </c>
      <c r="D1651">
        <v>1.5813586097946286</v>
      </c>
      <c r="E1651">
        <v>0</v>
      </c>
    </row>
    <row r="1652" spans="1:5" x14ac:dyDescent="0.25">
      <c r="A1652">
        <v>1.5788643533123028</v>
      </c>
      <c r="B1652">
        <v>0</v>
      </c>
      <c r="D1652">
        <v>1.5788643533123028</v>
      </c>
      <c r="E1652">
        <v>0</v>
      </c>
    </row>
    <row r="1653" spans="1:5" x14ac:dyDescent="0.25">
      <c r="A1653">
        <v>1.5763779527559056</v>
      </c>
      <c r="B1653">
        <v>0</v>
      </c>
      <c r="D1653">
        <v>1.5763779527559056</v>
      </c>
      <c r="E1653">
        <v>0</v>
      </c>
    </row>
    <row r="1654" spans="1:5" x14ac:dyDescent="0.25">
      <c r="A1654">
        <v>1.5738993710691824</v>
      </c>
      <c r="B1654">
        <v>0</v>
      </c>
      <c r="D1654">
        <v>1.5738993710691824</v>
      </c>
      <c r="E1654">
        <v>0</v>
      </c>
    </row>
    <row r="1655" spans="1:5" x14ac:dyDescent="0.25">
      <c r="A1655">
        <v>1.5714285714285714</v>
      </c>
      <c r="B1655">
        <v>0</v>
      </c>
      <c r="D1655">
        <v>1.5714285714285714</v>
      </c>
      <c r="E1655">
        <v>0</v>
      </c>
    </row>
    <row r="1656" spans="1:5" x14ac:dyDescent="0.25">
      <c r="A1656">
        <v>1.5689655172413794</v>
      </c>
      <c r="B1656">
        <v>0</v>
      </c>
      <c r="D1656">
        <v>1.5689655172413794</v>
      </c>
      <c r="E1656">
        <v>0</v>
      </c>
    </row>
    <row r="1657" spans="1:5" x14ac:dyDescent="0.25">
      <c r="A1657">
        <v>1.5665101721439749</v>
      </c>
      <c r="B1657">
        <v>0</v>
      </c>
      <c r="D1657">
        <v>1.5665101721439749</v>
      </c>
      <c r="E1657">
        <v>0</v>
      </c>
    </row>
    <row r="1658" spans="1:5" x14ac:dyDescent="0.25">
      <c r="A1658">
        <v>1.5640624999999999</v>
      </c>
      <c r="B1658">
        <v>0</v>
      </c>
      <c r="D1658">
        <v>1.5640624999999999</v>
      </c>
      <c r="E1658">
        <v>0</v>
      </c>
    </row>
    <row r="1659" spans="1:5" x14ac:dyDescent="0.25">
      <c r="A1659">
        <v>1.5616224648985961</v>
      </c>
      <c r="B1659">
        <v>0</v>
      </c>
      <c r="D1659">
        <v>1.5616224648985961</v>
      </c>
      <c r="E1659">
        <v>0</v>
      </c>
    </row>
    <row r="1660" spans="1:5" x14ac:dyDescent="0.25">
      <c r="A1660">
        <v>1.5591900311526479</v>
      </c>
      <c r="B1660">
        <v>0</v>
      </c>
      <c r="D1660">
        <v>1.5591900311526479</v>
      </c>
      <c r="E1660">
        <v>0</v>
      </c>
    </row>
    <row r="1661" spans="1:5" x14ac:dyDescent="0.25">
      <c r="A1661">
        <v>1.5567651632970452</v>
      </c>
      <c r="B1661">
        <v>0</v>
      </c>
      <c r="D1661">
        <v>1.5567651632970452</v>
      </c>
      <c r="E1661">
        <v>0</v>
      </c>
    </row>
    <row r="1662" spans="1:5" x14ac:dyDescent="0.25">
      <c r="A1662">
        <v>1.5543478260869565</v>
      </c>
      <c r="B1662">
        <v>0</v>
      </c>
      <c r="D1662">
        <v>1.5543478260869565</v>
      </c>
      <c r="E1662">
        <v>0</v>
      </c>
    </row>
    <row r="1663" spans="1:5" x14ac:dyDescent="0.25">
      <c r="A1663">
        <v>1.5519379844961239</v>
      </c>
      <c r="B1663">
        <v>0</v>
      </c>
      <c r="D1663">
        <v>1.5519379844961239</v>
      </c>
      <c r="E1663">
        <v>0</v>
      </c>
    </row>
    <row r="1664" spans="1:5" x14ac:dyDescent="0.25">
      <c r="A1664">
        <v>1.5495356037151702</v>
      </c>
      <c r="B1664">
        <v>0</v>
      </c>
      <c r="D1664">
        <v>1.5495356037151702</v>
      </c>
      <c r="E1664">
        <v>0</v>
      </c>
    </row>
    <row r="1665" spans="1:5" x14ac:dyDescent="0.25">
      <c r="A1665">
        <v>1.5471406491499227</v>
      </c>
      <c r="B1665">
        <v>0</v>
      </c>
      <c r="D1665">
        <v>1.5471406491499227</v>
      </c>
      <c r="E1665">
        <v>0</v>
      </c>
    </row>
    <row r="1666" spans="1:5" x14ac:dyDescent="0.25">
      <c r="A1666">
        <v>1.5447530864197532</v>
      </c>
      <c r="B1666">
        <v>0</v>
      </c>
      <c r="D1666">
        <v>1.5447530864197532</v>
      </c>
      <c r="E1666">
        <v>0</v>
      </c>
    </row>
    <row r="1667" spans="1:5" x14ac:dyDescent="0.25">
      <c r="A1667">
        <v>1.5423728813559321</v>
      </c>
      <c r="B1667">
        <v>0</v>
      </c>
      <c r="D1667">
        <v>1.5423728813559321</v>
      </c>
      <c r="E1667">
        <v>0</v>
      </c>
    </row>
    <row r="1668" spans="1:5" x14ac:dyDescent="0.25">
      <c r="A1668">
        <v>1.54</v>
      </c>
      <c r="B1668">
        <v>0</v>
      </c>
      <c r="D1668">
        <v>1.54</v>
      </c>
      <c r="E1668">
        <v>0</v>
      </c>
    </row>
    <row r="1669" spans="1:5" x14ac:dyDescent="0.25">
      <c r="A1669">
        <v>1.5376344086021507</v>
      </c>
      <c r="B1669">
        <v>0</v>
      </c>
      <c r="D1669">
        <v>1.5376344086021507</v>
      </c>
      <c r="E1669">
        <v>0</v>
      </c>
    </row>
    <row r="1670" spans="1:5" x14ac:dyDescent="0.25">
      <c r="A1670">
        <v>1.5352760736196318</v>
      </c>
      <c r="B1670">
        <v>0</v>
      </c>
      <c r="D1670">
        <v>1.5352760736196318</v>
      </c>
      <c r="E1670">
        <v>0</v>
      </c>
    </row>
    <row r="1671" spans="1:5" x14ac:dyDescent="0.25">
      <c r="A1671">
        <v>1.5329249617151608</v>
      </c>
      <c r="B1671">
        <v>0</v>
      </c>
      <c r="D1671">
        <v>1.5329249617151608</v>
      </c>
      <c r="E1671">
        <v>0</v>
      </c>
    </row>
    <row r="1672" spans="1:5" x14ac:dyDescent="0.25">
      <c r="A1672">
        <v>1.5305810397553516</v>
      </c>
      <c r="B1672">
        <v>0</v>
      </c>
      <c r="D1672">
        <v>1.5305810397553516</v>
      </c>
      <c r="E1672">
        <v>0</v>
      </c>
    </row>
    <row r="1673" spans="1:5" x14ac:dyDescent="0.25">
      <c r="A1673">
        <v>1.5282442748091603</v>
      </c>
      <c r="B1673">
        <v>0</v>
      </c>
      <c r="D1673">
        <v>1.5282442748091603</v>
      </c>
      <c r="E1673">
        <v>0</v>
      </c>
    </row>
    <row r="1674" spans="1:5" x14ac:dyDescent="0.25">
      <c r="A1674">
        <v>1.5259146341463414</v>
      </c>
      <c r="B1674">
        <v>0</v>
      </c>
      <c r="D1674">
        <v>1.5259146341463414</v>
      </c>
      <c r="E1674">
        <v>0</v>
      </c>
    </row>
    <row r="1675" spans="1:5" x14ac:dyDescent="0.25">
      <c r="A1675">
        <v>1.5235920852359208</v>
      </c>
      <c r="B1675">
        <v>0</v>
      </c>
      <c r="D1675">
        <v>1.5235920852359208</v>
      </c>
      <c r="E1675">
        <v>0</v>
      </c>
    </row>
    <row r="1676" spans="1:5" x14ac:dyDescent="0.25">
      <c r="A1676">
        <v>1.521276595744681</v>
      </c>
      <c r="B1676">
        <v>0</v>
      </c>
      <c r="D1676">
        <v>1.521276595744681</v>
      </c>
      <c r="E1676">
        <v>0</v>
      </c>
    </row>
    <row r="1677" spans="1:5" x14ac:dyDescent="0.25">
      <c r="A1677">
        <v>1.51896813353566</v>
      </c>
      <c r="B1677">
        <v>0</v>
      </c>
      <c r="D1677">
        <v>1.51896813353566</v>
      </c>
      <c r="E1677">
        <v>0</v>
      </c>
    </row>
    <row r="1678" spans="1:5" x14ac:dyDescent="0.25">
      <c r="A1678">
        <v>1.5166666666666666</v>
      </c>
      <c r="B1678">
        <v>0</v>
      </c>
      <c r="D1678">
        <v>1.5166666666666666</v>
      </c>
      <c r="E1678">
        <v>0</v>
      </c>
    </row>
    <row r="1679" spans="1:5" x14ac:dyDescent="0.25">
      <c r="A1679">
        <v>1.514372163388805</v>
      </c>
      <c r="B1679">
        <v>0</v>
      </c>
      <c r="D1679">
        <v>1.514372163388805</v>
      </c>
      <c r="E1679">
        <v>0</v>
      </c>
    </row>
    <row r="1680" spans="1:5" x14ac:dyDescent="0.25">
      <c r="A1680">
        <v>1.512084592145015</v>
      </c>
      <c r="B1680">
        <v>0</v>
      </c>
      <c r="D1680">
        <v>1.512084592145015</v>
      </c>
      <c r="E1680">
        <v>0</v>
      </c>
    </row>
    <row r="1681" spans="1:5" x14ac:dyDescent="0.25">
      <c r="A1681">
        <v>1.5098039215686274</v>
      </c>
      <c r="B1681">
        <v>0</v>
      </c>
      <c r="D1681">
        <v>1.5098039215686274</v>
      </c>
      <c r="E1681">
        <v>0</v>
      </c>
    </row>
    <row r="1682" spans="1:5" x14ac:dyDescent="0.25">
      <c r="A1682">
        <v>1.5075301204819278</v>
      </c>
      <c r="B1682">
        <v>0</v>
      </c>
      <c r="D1682">
        <v>1.5075301204819278</v>
      </c>
      <c r="E1682">
        <v>0</v>
      </c>
    </row>
    <row r="1683" spans="1:5" x14ac:dyDescent="0.25">
      <c r="A1683">
        <v>1.5052631578947366</v>
      </c>
      <c r="B1683">
        <v>0</v>
      </c>
      <c r="D1683">
        <v>1.5052631578947366</v>
      </c>
      <c r="E1683">
        <v>0</v>
      </c>
    </row>
    <row r="1684" spans="1:5" x14ac:dyDescent="0.25">
      <c r="A1684">
        <v>1.503003003003003</v>
      </c>
      <c r="B1684">
        <v>0</v>
      </c>
      <c r="D1684">
        <v>1.503003003003003</v>
      </c>
      <c r="E1684">
        <v>0</v>
      </c>
    </row>
    <row r="1685" spans="1:5" x14ac:dyDescent="0.25">
      <c r="A1685">
        <v>1.5007496251874064</v>
      </c>
      <c r="B1685">
        <v>0</v>
      </c>
      <c r="D1685">
        <v>1.5007496251874064</v>
      </c>
      <c r="E1685">
        <v>0</v>
      </c>
    </row>
    <row r="1686" spans="1:5" x14ac:dyDescent="0.25">
      <c r="A1686">
        <v>1.4985029940119758</v>
      </c>
      <c r="B1686">
        <v>0</v>
      </c>
      <c r="D1686">
        <v>1.4985029940119758</v>
      </c>
      <c r="E1686">
        <v>0</v>
      </c>
    </row>
    <row r="1687" spans="1:5" x14ac:dyDescent="0.25">
      <c r="A1687">
        <v>1.4962630792227205</v>
      </c>
      <c r="B1687">
        <v>0</v>
      </c>
      <c r="D1687">
        <v>1.4962630792227205</v>
      </c>
      <c r="E1687">
        <v>0</v>
      </c>
    </row>
    <row r="1688" spans="1:5" x14ac:dyDescent="0.25">
      <c r="A1688">
        <v>1.4940298507462686</v>
      </c>
      <c r="B1688">
        <v>0</v>
      </c>
      <c r="D1688">
        <v>1.4940298507462686</v>
      </c>
      <c r="E1688">
        <v>0</v>
      </c>
    </row>
    <row r="1689" spans="1:5" x14ac:dyDescent="0.25">
      <c r="A1689">
        <v>1.4918032786885247</v>
      </c>
      <c r="B1689">
        <v>0</v>
      </c>
      <c r="D1689">
        <v>1.4918032786885247</v>
      </c>
      <c r="E1689">
        <v>0</v>
      </c>
    </row>
    <row r="1690" spans="1:5" x14ac:dyDescent="0.25">
      <c r="A1690">
        <v>1.4895833333333333</v>
      </c>
      <c r="B1690">
        <v>0</v>
      </c>
      <c r="D1690">
        <v>1.4895833333333333</v>
      </c>
      <c r="E1690">
        <v>0</v>
      </c>
    </row>
    <row r="1691" spans="1:5" x14ac:dyDescent="0.25">
      <c r="A1691">
        <v>1.487369985141159</v>
      </c>
      <c r="B1691">
        <v>0</v>
      </c>
      <c r="D1691">
        <v>1.487369985141159</v>
      </c>
      <c r="E1691">
        <v>0</v>
      </c>
    </row>
    <row r="1692" spans="1:5" x14ac:dyDescent="0.25">
      <c r="A1692">
        <v>1.4851632047477745</v>
      </c>
      <c r="B1692">
        <v>0</v>
      </c>
      <c r="D1692">
        <v>1.4851632047477745</v>
      </c>
      <c r="E1692">
        <v>0</v>
      </c>
    </row>
    <row r="1693" spans="1:5" x14ac:dyDescent="0.25">
      <c r="A1693">
        <v>1.4829629629629628</v>
      </c>
      <c r="B1693">
        <v>0</v>
      </c>
      <c r="D1693">
        <v>1.4829629629629628</v>
      </c>
      <c r="E1693">
        <v>0</v>
      </c>
    </row>
    <row r="1694" spans="1:5" x14ac:dyDescent="0.25">
      <c r="A1694">
        <v>1.4807692307692308</v>
      </c>
      <c r="B1694">
        <v>0</v>
      </c>
      <c r="D1694">
        <v>1.4807692307692308</v>
      </c>
      <c r="E1694">
        <v>0</v>
      </c>
    </row>
    <row r="1695" spans="1:5" x14ac:dyDescent="0.25">
      <c r="A1695">
        <v>1.4785819793205319</v>
      </c>
      <c r="B1695">
        <v>0</v>
      </c>
      <c r="D1695">
        <v>1.4785819793205319</v>
      </c>
      <c r="E1695">
        <v>0</v>
      </c>
    </row>
    <row r="1696" spans="1:5" x14ac:dyDescent="0.25">
      <c r="A1696">
        <v>1.4764011799410028</v>
      </c>
      <c r="B1696">
        <v>0</v>
      </c>
      <c r="D1696">
        <v>1.4764011799410028</v>
      </c>
      <c r="E1696">
        <v>0</v>
      </c>
    </row>
    <row r="1697" spans="1:5" x14ac:dyDescent="0.25">
      <c r="A1697">
        <v>1.4742268041237112</v>
      </c>
      <c r="B1697">
        <v>0</v>
      </c>
      <c r="D1697">
        <v>1.4742268041237112</v>
      </c>
      <c r="E1697">
        <v>0</v>
      </c>
    </row>
    <row r="1698" spans="1:5" x14ac:dyDescent="0.25">
      <c r="A1698">
        <v>1.4720588235294119</v>
      </c>
      <c r="B1698">
        <v>0</v>
      </c>
      <c r="D1698">
        <v>1.4720588235294119</v>
      </c>
      <c r="E1698">
        <v>0</v>
      </c>
    </row>
    <row r="1699" spans="1:5" x14ac:dyDescent="0.25">
      <c r="A1699">
        <v>1.4698972099853158</v>
      </c>
      <c r="B1699">
        <v>0</v>
      </c>
      <c r="D1699">
        <v>1.4698972099853158</v>
      </c>
      <c r="E1699">
        <v>0</v>
      </c>
    </row>
    <row r="1700" spans="1:5" x14ac:dyDescent="0.25">
      <c r="A1700">
        <v>1.467741935483871</v>
      </c>
      <c r="B1700">
        <v>0</v>
      </c>
      <c r="D1700">
        <v>1.467741935483871</v>
      </c>
      <c r="E1700">
        <v>0</v>
      </c>
    </row>
    <row r="1701" spans="1:5" x14ac:dyDescent="0.25">
      <c r="A1701">
        <v>1.4655929721815519</v>
      </c>
      <c r="B1701">
        <v>0</v>
      </c>
      <c r="D1701">
        <v>1.4655929721815519</v>
      </c>
      <c r="E1701">
        <v>0</v>
      </c>
    </row>
    <row r="1702" spans="1:5" x14ac:dyDescent="0.25">
      <c r="A1702">
        <v>1.4634502923976609</v>
      </c>
      <c r="B1702">
        <v>0</v>
      </c>
      <c r="D1702">
        <v>1.4634502923976609</v>
      </c>
      <c r="E1702">
        <v>0</v>
      </c>
    </row>
    <row r="1703" spans="1:5" x14ac:dyDescent="0.25">
      <c r="A1703">
        <v>1.4613138686131386</v>
      </c>
      <c r="B1703">
        <v>0</v>
      </c>
      <c r="D1703">
        <v>1.4613138686131386</v>
      </c>
      <c r="E1703">
        <v>0</v>
      </c>
    </row>
    <row r="1704" spans="1:5" x14ac:dyDescent="0.25">
      <c r="A1704">
        <v>1.4591836734693877</v>
      </c>
      <c r="B1704">
        <v>0</v>
      </c>
      <c r="D1704">
        <v>1.4591836734693877</v>
      </c>
      <c r="E1704">
        <v>0</v>
      </c>
    </row>
    <row r="1705" spans="1:5" x14ac:dyDescent="0.25">
      <c r="A1705">
        <v>1.4570596797671034</v>
      </c>
      <c r="B1705">
        <v>0</v>
      </c>
      <c r="D1705">
        <v>1.4570596797671034</v>
      </c>
      <c r="E1705">
        <v>0</v>
      </c>
    </row>
    <row r="1706" spans="1:5" x14ac:dyDescent="0.25">
      <c r="A1706">
        <v>1.4549418604651161</v>
      </c>
      <c r="B1706">
        <v>0</v>
      </c>
      <c r="D1706">
        <v>1.4549418604651161</v>
      </c>
      <c r="E1706">
        <v>0</v>
      </c>
    </row>
    <row r="1707" spans="1:5" x14ac:dyDescent="0.25">
      <c r="A1707">
        <v>1.4528301886792452</v>
      </c>
      <c r="B1707">
        <v>0</v>
      </c>
      <c r="D1707">
        <v>1.4528301886792452</v>
      </c>
      <c r="E1707">
        <v>0</v>
      </c>
    </row>
    <row r="1708" spans="1:5" x14ac:dyDescent="0.25">
      <c r="A1708">
        <v>1.4507246376811596</v>
      </c>
      <c r="B1708">
        <v>0</v>
      </c>
      <c r="D1708">
        <v>1.4507246376811596</v>
      </c>
      <c r="E1708">
        <v>0</v>
      </c>
    </row>
    <row r="1709" spans="1:5" x14ac:dyDescent="0.25">
      <c r="A1709">
        <v>1.4486251808972503</v>
      </c>
      <c r="B1709">
        <v>0</v>
      </c>
      <c r="D1709">
        <v>1.4486251808972503</v>
      </c>
      <c r="E1709">
        <v>0</v>
      </c>
    </row>
    <row r="1710" spans="1:5" x14ac:dyDescent="0.25">
      <c r="A1710">
        <v>1.4465317919075145</v>
      </c>
      <c r="B1710">
        <v>0</v>
      </c>
      <c r="D1710">
        <v>1.4465317919075145</v>
      </c>
      <c r="E1710">
        <v>0</v>
      </c>
    </row>
    <row r="1711" spans="1:5" x14ac:dyDescent="0.25">
      <c r="A1711">
        <v>1.4444444444444444</v>
      </c>
      <c r="B1711">
        <v>0</v>
      </c>
      <c r="D1711">
        <v>1.4444444444444444</v>
      </c>
      <c r="E1711">
        <v>0</v>
      </c>
    </row>
    <row r="1712" spans="1:5" x14ac:dyDescent="0.25">
      <c r="A1712">
        <v>1.4423631123919309</v>
      </c>
      <c r="B1712">
        <v>0</v>
      </c>
      <c r="D1712">
        <v>1.4423631123919309</v>
      </c>
      <c r="E1712">
        <v>0</v>
      </c>
    </row>
    <row r="1713" spans="1:5" x14ac:dyDescent="0.25">
      <c r="A1713">
        <v>1.4402877697841725</v>
      </c>
      <c r="B1713">
        <v>0</v>
      </c>
      <c r="D1713">
        <v>1.4402877697841725</v>
      </c>
      <c r="E1713">
        <v>0</v>
      </c>
    </row>
    <row r="1714" spans="1:5" x14ac:dyDescent="0.25">
      <c r="A1714">
        <v>1.4382183908045978</v>
      </c>
      <c r="B1714">
        <v>0</v>
      </c>
      <c r="D1714">
        <v>1.4382183908045978</v>
      </c>
      <c r="E1714">
        <v>0</v>
      </c>
    </row>
    <row r="1715" spans="1:5" x14ac:dyDescent="0.25">
      <c r="A1715">
        <v>1.4361549497847921</v>
      </c>
      <c r="B1715">
        <v>0</v>
      </c>
      <c r="D1715">
        <v>1.4361549497847921</v>
      </c>
      <c r="E1715">
        <v>0</v>
      </c>
    </row>
    <row r="1716" spans="1:5" x14ac:dyDescent="0.25">
      <c r="A1716">
        <v>1.4340974212034383</v>
      </c>
      <c r="B1716">
        <v>0</v>
      </c>
      <c r="D1716">
        <v>1.4340974212034383</v>
      </c>
      <c r="E1716">
        <v>0</v>
      </c>
    </row>
    <row r="1717" spans="1:5" x14ac:dyDescent="0.25">
      <c r="A1717">
        <v>1.4320457796852646</v>
      </c>
      <c r="B1717">
        <v>0</v>
      </c>
      <c r="D1717">
        <v>1.4320457796852646</v>
      </c>
      <c r="E1717">
        <v>0</v>
      </c>
    </row>
    <row r="1718" spans="1:5" x14ac:dyDescent="0.25">
      <c r="A1718">
        <v>1.4300000000000002</v>
      </c>
      <c r="B1718">
        <v>0</v>
      </c>
      <c r="D1718">
        <v>1.4300000000000002</v>
      </c>
      <c r="E1718">
        <v>0</v>
      </c>
    </row>
    <row r="1719" spans="1:5" x14ac:dyDescent="0.25">
      <c r="A1719">
        <v>1.4279600570613409</v>
      </c>
      <c r="B1719">
        <v>0</v>
      </c>
      <c r="D1719">
        <v>1.4279600570613409</v>
      </c>
      <c r="E1719">
        <v>0</v>
      </c>
    </row>
    <row r="1720" spans="1:5" x14ac:dyDescent="0.25">
      <c r="A1720">
        <v>1.4259259259259258</v>
      </c>
      <c r="B1720">
        <v>0</v>
      </c>
      <c r="D1720">
        <v>1.4259259259259258</v>
      </c>
      <c r="E1720">
        <v>0</v>
      </c>
    </row>
    <row r="1721" spans="1:5" x14ac:dyDescent="0.25">
      <c r="A1721">
        <v>1.4238975817923187</v>
      </c>
      <c r="B1721">
        <v>0</v>
      </c>
      <c r="D1721">
        <v>1.4238975817923187</v>
      </c>
      <c r="E1721">
        <v>0</v>
      </c>
    </row>
    <row r="1722" spans="1:5" x14ac:dyDescent="0.25">
      <c r="A1722">
        <v>1.421875</v>
      </c>
      <c r="B1722">
        <v>0</v>
      </c>
      <c r="D1722">
        <v>1.421875</v>
      </c>
      <c r="E1722">
        <v>0</v>
      </c>
    </row>
    <row r="1723" spans="1:5" x14ac:dyDescent="0.25">
      <c r="A1723">
        <v>1.4198581560283687</v>
      </c>
      <c r="B1723">
        <v>0</v>
      </c>
      <c r="D1723">
        <v>1.4198581560283687</v>
      </c>
      <c r="E1723">
        <v>0</v>
      </c>
    </row>
    <row r="1724" spans="1:5" x14ac:dyDescent="0.25">
      <c r="A1724">
        <v>1.4178470254957507</v>
      </c>
      <c r="B1724">
        <v>0</v>
      </c>
      <c r="D1724">
        <v>1.4178470254957507</v>
      </c>
      <c r="E1724">
        <v>0</v>
      </c>
    </row>
    <row r="1725" spans="1:5" x14ac:dyDescent="0.25">
      <c r="A1725">
        <v>1.415841584158416</v>
      </c>
      <c r="B1725">
        <v>0</v>
      </c>
      <c r="D1725">
        <v>1.415841584158416</v>
      </c>
      <c r="E1725">
        <v>0</v>
      </c>
    </row>
    <row r="1726" spans="1:5" x14ac:dyDescent="0.25">
      <c r="A1726">
        <v>1.4138418079096045</v>
      </c>
      <c r="B1726">
        <v>0</v>
      </c>
      <c r="D1726">
        <v>1.4138418079096045</v>
      </c>
      <c r="E1726">
        <v>0</v>
      </c>
    </row>
    <row r="1727" spans="1:5" x14ac:dyDescent="0.25">
      <c r="A1727">
        <v>1.4118476727785614</v>
      </c>
      <c r="B1727">
        <v>0</v>
      </c>
      <c r="D1727">
        <v>1.4118476727785614</v>
      </c>
      <c r="E1727">
        <v>0</v>
      </c>
    </row>
    <row r="1728" spans="1:5" x14ac:dyDescent="0.25">
      <c r="A1728">
        <v>1.4098591549295776</v>
      </c>
      <c r="B1728">
        <v>0</v>
      </c>
      <c r="D1728">
        <v>1.4098591549295776</v>
      </c>
      <c r="E1728">
        <v>0</v>
      </c>
    </row>
    <row r="1729" spans="1:5" x14ac:dyDescent="0.25">
      <c r="A1729">
        <v>1.4078762306610406</v>
      </c>
      <c r="B1729">
        <v>0</v>
      </c>
      <c r="D1729">
        <v>1.4078762306610406</v>
      </c>
      <c r="E1729">
        <v>0</v>
      </c>
    </row>
    <row r="1730" spans="1:5" x14ac:dyDescent="0.25">
      <c r="A1730">
        <v>1.4058988764044944</v>
      </c>
      <c r="B1730">
        <v>0</v>
      </c>
      <c r="D1730">
        <v>1.4058988764044944</v>
      </c>
      <c r="E1730">
        <v>0</v>
      </c>
    </row>
    <row r="1731" spans="1:5" x14ac:dyDescent="0.25">
      <c r="A1731">
        <v>1.4039270687237027</v>
      </c>
      <c r="B1731">
        <v>0</v>
      </c>
      <c r="D1731">
        <v>1.4039270687237027</v>
      </c>
      <c r="E1731">
        <v>0</v>
      </c>
    </row>
    <row r="1732" spans="1:5" x14ac:dyDescent="0.25">
      <c r="A1732">
        <v>1.4019607843137254</v>
      </c>
      <c r="B1732">
        <v>0</v>
      </c>
      <c r="D1732">
        <v>1.4019607843137254</v>
      </c>
      <c r="E1732">
        <v>0</v>
      </c>
    </row>
    <row r="1733" spans="1:5" x14ac:dyDescent="0.25">
      <c r="A1733">
        <v>1.4</v>
      </c>
      <c r="B1733">
        <v>0</v>
      </c>
      <c r="D1733">
        <v>1.4</v>
      </c>
      <c r="E1733">
        <v>0</v>
      </c>
    </row>
    <row r="1734" spans="1:5" x14ac:dyDescent="0.25">
      <c r="A1734">
        <v>1.3980446927374302</v>
      </c>
      <c r="B1734">
        <v>0</v>
      </c>
      <c r="D1734">
        <v>1.3980446927374302</v>
      </c>
      <c r="E1734">
        <v>0</v>
      </c>
    </row>
    <row r="1735" spans="1:5" x14ac:dyDescent="0.25">
      <c r="A1735">
        <v>1.3960948396094841</v>
      </c>
      <c r="B1735">
        <v>0</v>
      </c>
      <c r="D1735">
        <v>1.3960948396094841</v>
      </c>
      <c r="E1735">
        <v>0</v>
      </c>
    </row>
    <row r="1736" spans="1:5" x14ac:dyDescent="0.25">
      <c r="A1736">
        <v>1.3941504178272981</v>
      </c>
      <c r="B1736">
        <v>0</v>
      </c>
      <c r="D1736">
        <v>1.3941504178272981</v>
      </c>
      <c r="E1736">
        <v>0</v>
      </c>
    </row>
    <row r="1737" spans="1:5" x14ac:dyDescent="0.25">
      <c r="A1737">
        <v>1.3922114047287899</v>
      </c>
      <c r="B1737">
        <v>0</v>
      </c>
      <c r="D1737">
        <v>1.3922114047287899</v>
      </c>
      <c r="E1737">
        <v>0</v>
      </c>
    </row>
    <row r="1738" spans="1:5" x14ac:dyDescent="0.25">
      <c r="A1738">
        <v>1.3902777777777779</v>
      </c>
      <c r="B1738">
        <v>0</v>
      </c>
      <c r="D1738">
        <v>1.3902777777777779</v>
      </c>
      <c r="E1738">
        <v>0</v>
      </c>
    </row>
    <row r="1739" spans="1:5" x14ac:dyDescent="0.25">
      <c r="A1739">
        <v>1.3883495145631066</v>
      </c>
      <c r="B1739">
        <v>0</v>
      </c>
      <c r="D1739">
        <v>1.3883495145631066</v>
      </c>
      <c r="E1739">
        <v>0</v>
      </c>
    </row>
    <row r="1740" spans="1:5" x14ac:dyDescent="0.25">
      <c r="A1740">
        <v>1.3864265927977839</v>
      </c>
      <c r="B1740">
        <v>0</v>
      </c>
      <c r="D1740">
        <v>1.3864265927977839</v>
      </c>
      <c r="E1740">
        <v>0</v>
      </c>
    </row>
    <row r="1741" spans="1:5" x14ac:dyDescent="0.25">
      <c r="A1741">
        <v>1.3845089903181189</v>
      </c>
      <c r="B1741">
        <v>0</v>
      </c>
      <c r="D1741">
        <v>1.3845089903181189</v>
      </c>
      <c r="E1741">
        <v>0</v>
      </c>
    </row>
    <row r="1742" spans="1:5" x14ac:dyDescent="0.25">
      <c r="A1742">
        <v>1.3825966850828728</v>
      </c>
      <c r="B1742">
        <v>0</v>
      </c>
      <c r="D1742">
        <v>1.3825966850828728</v>
      </c>
      <c r="E1742">
        <v>0</v>
      </c>
    </row>
    <row r="1743" spans="1:5" x14ac:dyDescent="0.25">
      <c r="A1743">
        <v>1.3806896551724137</v>
      </c>
      <c r="B1743">
        <v>0</v>
      </c>
      <c r="D1743">
        <v>1.3806896551724137</v>
      </c>
      <c r="E1743">
        <v>0</v>
      </c>
    </row>
    <row r="1744" spans="1:5" x14ac:dyDescent="0.25">
      <c r="A1744">
        <v>1.3787878787878789</v>
      </c>
      <c r="B1744">
        <v>0</v>
      </c>
      <c r="D1744">
        <v>1.3787878787878789</v>
      </c>
      <c r="E1744">
        <v>0</v>
      </c>
    </row>
    <row r="1745" spans="1:5" x14ac:dyDescent="0.25">
      <c r="A1745">
        <v>1.3768913342503437</v>
      </c>
      <c r="B1745">
        <v>0</v>
      </c>
      <c r="D1745">
        <v>1.3768913342503437</v>
      </c>
      <c r="E1745">
        <v>0</v>
      </c>
    </row>
    <row r="1746" spans="1:5" x14ac:dyDescent="0.25">
      <c r="A1746">
        <v>1.375</v>
      </c>
      <c r="B1746">
        <v>0</v>
      </c>
      <c r="D1746">
        <v>1.375</v>
      </c>
      <c r="E1746">
        <v>0</v>
      </c>
    </row>
    <row r="1747" spans="1:5" x14ac:dyDescent="0.25">
      <c r="A1747">
        <v>1.3731138545953361</v>
      </c>
      <c r="B1747">
        <v>0</v>
      </c>
      <c r="D1747">
        <v>1.3731138545953361</v>
      </c>
      <c r="E1747">
        <v>0</v>
      </c>
    </row>
    <row r="1748" spans="1:5" x14ac:dyDescent="0.25">
      <c r="A1748">
        <v>1.371232876712329</v>
      </c>
      <c r="B1748">
        <v>0</v>
      </c>
      <c r="D1748">
        <v>1.371232876712329</v>
      </c>
      <c r="E1748">
        <v>0</v>
      </c>
    </row>
    <row r="1749" spans="1:5" x14ac:dyDescent="0.25">
      <c r="A1749">
        <v>1.3693570451436388</v>
      </c>
      <c r="B1749">
        <v>0</v>
      </c>
      <c r="D1749">
        <v>1.3693570451436388</v>
      </c>
      <c r="E1749">
        <v>0</v>
      </c>
    </row>
    <row r="1750" spans="1:5" x14ac:dyDescent="0.25">
      <c r="A1750">
        <v>1.3674863387978142</v>
      </c>
      <c r="B1750">
        <v>0</v>
      </c>
      <c r="D1750">
        <v>1.3674863387978142</v>
      </c>
      <c r="E1750">
        <v>0</v>
      </c>
    </row>
    <row r="1751" spans="1:5" x14ac:dyDescent="0.25">
      <c r="A1751">
        <v>1.3656207366984994</v>
      </c>
      <c r="B1751">
        <v>0</v>
      </c>
      <c r="D1751">
        <v>1.3656207366984994</v>
      </c>
      <c r="E1751">
        <v>0</v>
      </c>
    </row>
    <row r="1752" spans="1:5" x14ac:dyDescent="0.25">
      <c r="A1752">
        <v>1.3637602179836512</v>
      </c>
      <c r="B1752">
        <v>0</v>
      </c>
      <c r="D1752">
        <v>1.3637602179836512</v>
      </c>
      <c r="E1752">
        <v>0</v>
      </c>
    </row>
    <row r="1753" spans="1:5" x14ac:dyDescent="0.25">
      <c r="A1753">
        <v>1.361904761904762</v>
      </c>
      <c r="B1753">
        <v>0</v>
      </c>
      <c r="D1753">
        <v>1.361904761904762</v>
      </c>
      <c r="E1753">
        <v>0</v>
      </c>
    </row>
    <row r="1754" spans="1:5" x14ac:dyDescent="0.25">
      <c r="A1754">
        <v>1.3600543478260869</v>
      </c>
      <c r="B1754">
        <v>0</v>
      </c>
      <c r="D1754">
        <v>1.3600543478260869</v>
      </c>
      <c r="E1754">
        <v>0</v>
      </c>
    </row>
    <row r="1755" spans="1:5" x14ac:dyDescent="0.25">
      <c r="A1755">
        <v>1.3582089552238805</v>
      </c>
      <c r="B1755">
        <v>0</v>
      </c>
      <c r="D1755">
        <v>1.3582089552238805</v>
      </c>
      <c r="E1755">
        <v>0</v>
      </c>
    </row>
    <row r="1756" spans="1:5" x14ac:dyDescent="0.25">
      <c r="A1756">
        <v>1.3563685636856369</v>
      </c>
      <c r="B1756">
        <v>0</v>
      </c>
      <c r="D1756">
        <v>1.3563685636856369</v>
      </c>
      <c r="E1756">
        <v>0</v>
      </c>
    </row>
    <row r="1757" spans="1:5" x14ac:dyDescent="0.25">
      <c r="A1757">
        <v>1.354533152909337</v>
      </c>
      <c r="B1757">
        <v>0</v>
      </c>
      <c r="D1757">
        <v>1.354533152909337</v>
      </c>
      <c r="E1757">
        <v>0</v>
      </c>
    </row>
    <row r="1758" spans="1:5" x14ac:dyDescent="0.25">
      <c r="A1758">
        <v>1.3527027027027028</v>
      </c>
      <c r="B1758">
        <v>0</v>
      </c>
      <c r="D1758">
        <v>1.3527027027027028</v>
      </c>
      <c r="E1758">
        <v>0</v>
      </c>
    </row>
    <row r="1759" spans="1:5" x14ac:dyDescent="0.25">
      <c r="A1759">
        <v>1.3508771929824561</v>
      </c>
      <c r="B1759">
        <v>0</v>
      </c>
      <c r="D1759">
        <v>1.3508771929824561</v>
      </c>
      <c r="E1759">
        <v>0</v>
      </c>
    </row>
    <row r="1760" spans="1:5" x14ac:dyDescent="0.25">
      <c r="A1760">
        <v>1.3490566037735849</v>
      </c>
      <c r="B1760">
        <v>0</v>
      </c>
      <c r="D1760">
        <v>1.3490566037735849</v>
      </c>
      <c r="E1760">
        <v>0</v>
      </c>
    </row>
    <row r="1761" spans="1:5" x14ac:dyDescent="0.25">
      <c r="A1761">
        <v>1.3472409152086138</v>
      </c>
      <c r="B1761">
        <v>0</v>
      </c>
      <c r="D1761">
        <v>1.3472409152086138</v>
      </c>
      <c r="E1761">
        <v>0</v>
      </c>
    </row>
    <row r="1762" spans="1:5" x14ac:dyDescent="0.25">
      <c r="A1762">
        <v>1.3454301075268817</v>
      </c>
      <c r="B1762">
        <v>0</v>
      </c>
      <c r="D1762">
        <v>1.3454301075268817</v>
      </c>
      <c r="E1762">
        <v>0</v>
      </c>
    </row>
    <row r="1763" spans="1:5" x14ac:dyDescent="0.25">
      <c r="A1763">
        <v>1.3436241610738255</v>
      </c>
      <c r="B1763">
        <v>0</v>
      </c>
      <c r="D1763">
        <v>1.3436241610738255</v>
      </c>
      <c r="E1763">
        <v>0</v>
      </c>
    </row>
    <row r="1764" spans="1:5" x14ac:dyDescent="0.25">
      <c r="A1764">
        <v>1.3418230563002682</v>
      </c>
      <c r="B1764">
        <v>0</v>
      </c>
      <c r="D1764">
        <v>1.3418230563002682</v>
      </c>
      <c r="E1764">
        <v>0</v>
      </c>
    </row>
    <row r="1765" spans="1:5" x14ac:dyDescent="0.25">
      <c r="A1765">
        <v>1.3400267737617135</v>
      </c>
      <c r="B1765">
        <v>0</v>
      </c>
      <c r="D1765">
        <v>1.3400267737617135</v>
      </c>
      <c r="E1765">
        <v>0</v>
      </c>
    </row>
    <row r="1766" spans="1:5" x14ac:dyDescent="0.25">
      <c r="A1766">
        <v>1.338235294117647</v>
      </c>
      <c r="B1766">
        <v>0</v>
      </c>
      <c r="D1766">
        <v>1.338235294117647</v>
      </c>
      <c r="E1766">
        <v>0</v>
      </c>
    </row>
    <row r="1767" spans="1:5" x14ac:dyDescent="0.25">
      <c r="A1767">
        <v>1.3364485981308412</v>
      </c>
      <c r="B1767">
        <v>0</v>
      </c>
      <c r="D1767">
        <v>1.3364485981308412</v>
      </c>
      <c r="E1767">
        <v>0</v>
      </c>
    </row>
    <row r="1768" spans="1:5" x14ac:dyDescent="0.25">
      <c r="A1768">
        <v>1.3346666666666667</v>
      </c>
      <c r="B1768">
        <v>0</v>
      </c>
      <c r="D1768">
        <v>1.3346666666666667</v>
      </c>
      <c r="E1768">
        <v>0</v>
      </c>
    </row>
    <row r="1769" spans="1:5" x14ac:dyDescent="0.25">
      <c r="A1769">
        <v>1.3328894806924101</v>
      </c>
      <c r="B1769">
        <v>0</v>
      </c>
      <c r="D1769">
        <v>1.3328894806924101</v>
      </c>
      <c r="E1769">
        <v>0</v>
      </c>
    </row>
    <row r="1770" spans="1:5" x14ac:dyDescent="0.25">
      <c r="A1770">
        <v>1.3311170212765957</v>
      </c>
      <c r="B1770">
        <v>0</v>
      </c>
      <c r="D1770">
        <v>1.3311170212765957</v>
      </c>
      <c r="E1770">
        <v>0</v>
      </c>
    </row>
    <row r="1771" spans="1:5" x14ac:dyDescent="0.25">
      <c r="A1771">
        <v>1.3293492695883136</v>
      </c>
      <c r="B1771">
        <v>0</v>
      </c>
      <c r="D1771">
        <v>1.3293492695883136</v>
      </c>
      <c r="E1771">
        <v>0</v>
      </c>
    </row>
    <row r="1772" spans="1:5" x14ac:dyDescent="0.25">
      <c r="A1772">
        <v>1.3275862068965516</v>
      </c>
      <c r="B1772">
        <v>0</v>
      </c>
      <c r="D1772">
        <v>1.3275862068965516</v>
      </c>
      <c r="E1772">
        <v>0</v>
      </c>
    </row>
    <row r="1773" spans="1:5" x14ac:dyDescent="0.25">
      <c r="A1773">
        <v>1.3258278145695364</v>
      </c>
      <c r="B1773">
        <v>0</v>
      </c>
      <c r="D1773">
        <v>1.3258278145695364</v>
      </c>
      <c r="E1773">
        <v>0</v>
      </c>
    </row>
    <row r="1774" spans="1:5" x14ac:dyDescent="0.25">
      <c r="A1774">
        <v>1.3240740740740742</v>
      </c>
      <c r="B1774">
        <v>0</v>
      </c>
      <c r="D1774">
        <v>1.3240740740740742</v>
      </c>
      <c r="E1774">
        <v>0</v>
      </c>
    </row>
    <row r="1775" spans="1:5" x14ac:dyDescent="0.25">
      <c r="A1775">
        <v>1.3223249669749009</v>
      </c>
      <c r="B1775">
        <v>0</v>
      </c>
      <c r="D1775">
        <v>1.3223249669749009</v>
      </c>
      <c r="E1775">
        <v>0</v>
      </c>
    </row>
    <row r="1776" spans="1:5" x14ac:dyDescent="0.25">
      <c r="A1776">
        <v>1.3205804749340369</v>
      </c>
      <c r="B1776">
        <v>0</v>
      </c>
      <c r="D1776">
        <v>1.3205804749340369</v>
      </c>
      <c r="E1776">
        <v>0</v>
      </c>
    </row>
    <row r="1777" spans="1:5" x14ac:dyDescent="0.25">
      <c r="A1777">
        <v>1.318840579710145</v>
      </c>
      <c r="B1777">
        <v>0</v>
      </c>
      <c r="D1777">
        <v>1.318840579710145</v>
      </c>
      <c r="E1777">
        <v>0</v>
      </c>
    </row>
    <row r="1778" spans="1:5" x14ac:dyDescent="0.25">
      <c r="A1778">
        <v>1.3171052631578946</v>
      </c>
      <c r="B1778">
        <v>0</v>
      </c>
      <c r="D1778">
        <v>1.3171052631578946</v>
      </c>
      <c r="E1778">
        <v>0</v>
      </c>
    </row>
    <row r="1779" spans="1:5" x14ac:dyDescent="0.25">
      <c r="A1779">
        <v>1.3153745072273324</v>
      </c>
      <c r="B1779">
        <v>0</v>
      </c>
      <c r="D1779">
        <v>1.3153745072273324</v>
      </c>
      <c r="E1779">
        <v>0</v>
      </c>
    </row>
    <row r="1780" spans="1:5" x14ac:dyDescent="0.25">
      <c r="A1780">
        <v>1.3136482939632546</v>
      </c>
      <c r="B1780">
        <v>0</v>
      </c>
      <c r="D1780">
        <v>1.3136482939632546</v>
      </c>
      <c r="E1780">
        <v>0</v>
      </c>
    </row>
    <row r="1781" spans="1:5" x14ac:dyDescent="0.25">
      <c r="A1781">
        <v>1.3119266055045873</v>
      </c>
      <c r="B1781">
        <v>0</v>
      </c>
      <c r="D1781">
        <v>1.3119266055045873</v>
      </c>
      <c r="E1781">
        <v>0</v>
      </c>
    </row>
    <row r="1782" spans="1:5" x14ac:dyDescent="0.25">
      <c r="A1782">
        <v>1.3102094240837696</v>
      </c>
      <c r="B1782">
        <v>0</v>
      </c>
      <c r="D1782">
        <v>1.3102094240837696</v>
      </c>
      <c r="E1782">
        <v>0</v>
      </c>
    </row>
    <row r="1783" spans="1:5" x14ac:dyDescent="0.25">
      <c r="A1783">
        <v>1.3084967320261438</v>
      </c>
      <c r="B1783">
        <v>0</v>
      </c>
      <c r="D1783">
        <v>1.3084967320261438</v>
      </c>
      <c r="E1783">
        <v>0</v>
      </c>
    </row>
    <row r="1784" spans="1:5" x14ac:dyDescent="0.25">
      <c r="A1784">
        <v>1.3067885117493474</v>
      </c>
      <c r="B1784">
        <v>0</v>
      </c>
      <c r="D1784">
        <v>1.3067885117493474</v>
      </c>
      <c r="E1784">
        <v>0</v>
      </c>
    </row>
    <row r="1785" spans="1:5" x14ac:dyDescent="0.25">
      <c r="A1785">
        <v>1.3050847457627117</v>
      </c>
      <c r="B1785">
        <v>0</v>
      </c>
      <c r="D1785">
        <v>1.3050847457627117</v>
      </c>
      <c r="E1785">
        <v>0</v>
      </c>
    </row>
    <row r="1786" spans="1:5" x14ac:dyDescent="0.25">
      <c r="A1786">
        <v>1.3033854166666667</v>
      </c>
      <c r="B1786">
        <v>0</v>
      </c>
      <c r="D1786">
        <v>1.3033854166666667</v>
      </c>
      <c r="E1786">
        <v>0</v>
      </c>
    </row>
    <row r="1787" spans="1:5" x14ac:dyDescent="0.25">
      <c r="A1787">
        <v>1.3016905071521456</v>
      </c>
      <c r="B1787">
        <v>0</v>
      </c>
      <c r="D1787">
        <v>1.3016905071521456</v>
      </c>
      <c r="E1787">
        <v>0</v>
      </c>
    </row>
    <row r="1788" spans="1:5" x14ac:dyDescent="0.25">
      <c r="A1788">
        <v>1.2999999999999998</v>
      </c>
      <c r="B1788">
        <v>0</v>
      </c>
      <c r="D1788">
        <v>1.2999999999999998</v>
      </c>
      <c r="E1788">
        <v>0</v>
      </c>
    </row>
    <row r="1789" spans="1:5" x14ac:dyDescent="0.25">
      <c r="A1789">
        <v>1.2983138780804151</v>
      </c>
      <c r="B1789">
        <v>0</v>
      </c>
      <c r="D1789">
        <v>1.2983138780804151</v>
      </c>
      <c r="E1789">
        <v>0</v>
      </c>
    </row>
    <row r="1790" spans="1:5" x14ac:dyDescent="0.25">
      <c r="A1790">
        <v>1.2966321243523315</v>
      </c>
      <c r="B1790">
        <v>0</v>
      </c>
      <c r="D1790">
        <v>1.2966321243523315</v>
      </c>
      <c r="E1790">
        <v>0</v>
      </c>
    </row>
    <row r="1791" spans="1:5" x14ac:dyDescent="0.25">
      <c r="A1791">
        <v>1.2949547218628719</v>
      </c>
      <c r="B1791">
        <v>0</v>
      </c>
      <c r="D1791">
        <v>1.2949547218628719</v>
      </c>
      <c r="E1791">
        <v>0</v>
      </c>
    </row>
    <row r="1792" spans="1:5" x14ac:dyDescent="0.25">
      <c r="A1792">
        <v>1.29328165374677</v>
      </c>
      <c r="B1792">
        <v>0</v>
      </c>
      <c r="D1792">
        <v>1.29328165374677</v>
      </c>
      <c r="E1792">
        <v>0</v>
      </c>
    </row>
    <row r="1793" spans="1:5" x14ac:dyDescent="0.25">
      <c r="A1793">
        <v>1.2916129032258066</v>
      </c>
      <c r="B1793">
        <v>0</v>
      </c>
      <c r="D1793">
        <v>1.2916129032258066</v>
      </c>
      <c r="E1793">
        <v>0</v>
      </c>
    </row>
    <row r="1794" spans="1:5" x14ac:dyDescent="0.25">
      <c r="A1794">
        <v>1.2899484536082475</v>
      </c>
      <c r="B1794">
        <v>0</v>
      </c>
      <c r="D1794">
        <v>1.2899484536082475</v>
      </c>
      <c r="E1794">
        <v>0</v>
      </c>
    </row>
    <row r="1795" spans="1:5" x14ac:dyDescent="0.25">
      <c r="A1795">
        <v>1.2882882882882882</v>
      </c>
      <c r="B1795">
        <v>0</v>
      </c>
      <c r="D1795">
        <v>1.2882882882882882</v>
      </c>
      <c r="E1795">
        <v>0</v>
      </c>
    </row>
    <row r="1796" spans="1:5" x14ac:dyDescent="0.25">
      <c r="A1796">
        <v>1.2866323907455013</v>
      </c>
      <c r="B1796">
        <v>0</v>
      </c>
      <c r="D1796">
        <v>1.2866323907455013</v>
      </c>
      <c r="E1796">
        <v>0</v>
      </c>
    </row>
    <row r="1797" spans="1:5" x14ac:dyDescent="0.25">
      <c r="A1797">
        <v>1.2849807445442876</v>
      </c>
      <c r="B1797">
        <v>0</v>
      </c>
      <c r="D1797">
        <v>1.2849807445442876</v>
      </c>
      <c r="E1797">
        <v>0</v>
      </c>
    </row>
    <row r="1798" spans="1:5" x14ac:dyDescent="0.25">
      <c r="A1798">
        <v>1.2833333333333332</v>
      </c>
      <c r="B1798">
        <v>0</v>
      </c>
      <c r="D1798">
        <v>1.2833333333333332</v>
      </c>
      <c r="E1798">
        <v>0</v>
      </c>
    </row>
    <row r="1799" spans="1:5" x14ac:dyDescent="0.25">
      <c r="A1799">
        <v>1.2816901408450705</v>
      </c>
      <c r="B1799">
        <v>0</v>
      </c>
      <c r="D1799">
        <v>1.2816901408450705</v>
      </c>
      <c r="E1799">
        <v>0</v>
      </c>
    </row>
    <row r="1800" spans="1:5" x14ac:dyDescent="0.25">
      <c r="A1800">
        <v>1.2800511508951407</v>
      </c>
      <c r="B1800">
        <v>0</v>
      </c>
      <c r="D1800">
        <v>1.2800511508951407</v>
      </c>
      <c r="E1800">
        <v>0</v>
      </c>
    </row>
    <row r="1801" spans="1:5" x14ac:dyDescent="0.25">
      <c r="A1801">
        <v>1.2784163473818646</v>
      </c>
      <c r="B1801">
        <v>0</v>
      </c>
      <c r="D1801">
        <v>1.2784163473818646</v>
      </c>
      <c r="E1801">
        <v>0</v>
      </c>
    </row>
    <row r="1802" spans="1:5" x14ac:dyDescent="0.25">
      <c r="A1802">
        <v>1.2767857142857142</v>
      </c>
      <c r="B1802">
        <v>0</v>
      </c>
      <c r="D1802">
        <v>1.2767857142857142</v>
      </c>
      <c r="E1802">
        <v>0</v>
      </c>
    </row>
    <row r="1803" spans="1:5" x14ac:dyDescent="0.25">
      <c r="A1803">
        <v>1.2751592356687897</v>
      </c>
      <c r="B1803">
        <v>0</v>
      </c>
      <c r="D1803">
        <v>1.2751592356687897</v>
      </c>
      <c r="E1803">
        <v>0</v>
      </c>
    </row>
    <row r="1804" spans="1:5" x14ac:dyDescent="0.25">
      <c r="A1804">
        <v>1.2735368956743003</v>
      </c>
      <c r="B1804">
        <v>0</v>
      </c>
      <c r="D1804">
        <v>1.2735368956743003</v>
      </c>
      <c r="E1804">
        <v>0</v>
      </c>
    </row>
    <row r="1805" spans="1:5" x14ac:dyDescent="0.25">
      <c r="A1805">
        <v>1.2719186785260483</v>
      </c>
      <c r="B1805">
        <v>0</v>
      </c>
      <c r="D1805">
        <v>1.2719186785260483</v>
      </c>
      <c r="E1805">
        <v>0</v>
      </c>
    </row>
    <row r="1806" spans="1:5" x14ac:dyDescent="0.25">
      <c r="A1806">
        <v>1.2703045685279188</v>
      </c>
      <c r="B1806">
        <v>0</v>
      </c>
      <c r="D1806">
        <v>1.2703045685279188</v>
      </c>
      <c r="E1806">
        <v>0</v>
      </c>
    </row>
    <row r="1807" spans="1:5" x14ac:dyDescent="0.25">
      <c r="A1807">
        <v>1.2686945500633715</v>
      </c>
      <c r="B1807">
        <v>0</v>
      </c>
      <c r="D1807">
        <v>1.2686945500633715</v>
      </c>
      <c r="E1807">
        <v>0</v>
      </c>
    </row>
    <row r="1808" spans="1:5" x14ac:dyDescent="0.25">
      <c r="A1808">
        <v>1.2670886075949366</v>
      </c>
      <c r="B1808">
        <v>0</v>
      </c>
      <c r="D1808">
        <v>1.2670886075949366</v>
      </c>
      <c r="E1808">
        <v>0</v>
      </c>
    </row>
    <row r="1809" spans="1:5" x14ac:dyDescent="0.25">
      <c r="A1809">
        <v>1.2654867256637168</v>
      </c>
      <c r="B1809">
        <v>0</v>
      </c>
      <c r="D1809">
        <v>1.2654867256637168</v>
      </c>
      <c r="E1809">
        <v>0</v>
      </c>
    </row>
    <row r="1810" spans="1:5" x14ac:dyDescent="0.25">
      <c r="A1810">
        <v>1.2638888888888888</v>
      </c>
      <c r="B1810">
        <v>0</v>
      </c>
      <c r="D1810">
        <v>1.2638888888888888</v>
      </c>
      <c r="E1810">
        <v>0</v>
      </c>
    </row>
    <row r="1811" spans="1:5" x14ac:dyDescent="0.25">
      <c r="A1811">
        <v>1.262295081967213</v>
      </c>
      <c r="B1811">
        <v>0</v>
      </c>
      <c r="D1811">
        <v>1.262295081967213</v>
      </c>
      <c r="E1811">
        <v>0</v>
      </c>
    </row>
    <row r="1812" spans="1:5" x14ac:dyDescent="0.25">
      <c r="A1812">
        <v>1.2607052896725441</v>
      </c>
      <c r="B1812">
        <v>0</v>
      </c>
      <c r="D1812">
        <v>1.2607052896725441</v>
      </c>
      <c r="E1812">
        <v>0</v>
      </c>
    </row>
    <row r="1813" spans="1:5" x14ac:dyDescent="0.25">
      <c r="A1813">
        <v>1.2591194968553459</v>
      </c>
      <c r="B1813">
        <v>0</v>
      </c>
      <c r="D1813">
        <v>1.2591194968553459</v>
      </c>
      <c r="E1813">
        <v>0</v>
      </c>
    </row>
    <row r="1814" spans="1:5" x14ac:dyDescent="0.25">
      <c r="A1814">
        <v>1.2575376884422109</v>
      </c>
      <c r="B1814">
        <v>0</v>
      </c>
      <c r="D1814">
        <v>1.2575376884422109</v>
      </c>
      <c r="E1814">
        <v>0</v>
      </c>
    </row>
    <row r="1815" spans="1:5" x14ac:dyDescent="0.25">
      <c r="A1815">
        <v>1.2559598494353827</v>
      </c>
      <c r="B1815">
        <v>0</v>
      </c>
      <c r="D1815">
        <v>1.2559598494353827</v>
      </c>
      <c r="E1815">
        <v>0</v>
      </c>
    </row>
    <row r="1816" spans="1:5" x14ac:dyDescent="0.25">
      <c r="A1816">
        <v>1.2543859649122808</v>
      </c>
      <c r="B1816">
        <v>0</v>
      </c>
      <c r="D1816">
        <v>1.2543859649122808</v>
      </c>
      <c r="E1816">
        <v>0</v>
      </c>
    </row>
    <row r="1817" spans="1:5" x14ac:dyDescent="0.25">
      <c r="A1817">
        <v>1.2528160200250313</v>
      </c>
      <c r="B1817">
        <v>0</v>
      </c>
      <c r="D1817">
        <v>1.2528160200250313</v>
      </c>
      <c r="E1817">
        <v>0</v>
      </c>
    </row>
    <row r="1818" spans="1:5" x14ac:dyDescent="0.25">
      <c r="A1818">
        <v>1.25125</v>
      </c>
      <c r="B1818">
        <v>0</v>
      </c>
      <c r="D1818">
        <v>1.25125</v>
      </c>
      <c r="E1818">
        <v>0</v>
      </c>
    </row>
    <row r="1819" spans="1:5" x14ac:dyDescent="0.25">
      <c r="A1819">
        <v>1.2496878901373283</v>
      </c>
      <c r="B1819">
        <v>0</v>
      </c>
      <c r="D1819">
        <v>1.2496878901373283</v>
      </c>
      <c r="E1819">
        <v>0</v>
      </c>
    </row>
    <row r="1820" spans="1:5" x14ac:dyDescent="0.25">
      <c r="A1820">
        <v>1.2481296758104738</v>
      </c>
      <c r="B1820">
        <v>0</v>
      </c>
      <c r="D1820">
        <v>1.2481296758104738</v>
      </c>
      <c r="E1820">
        <v>0</v>
      </c>
    </row>
    <row r="1821" spans="1:5" x14ac:dyDescent="0.25">
      <c r="A1821">
        <v>1.2465753424657533</v>
      </c>
      <c r="B1821">
        <v>0</v>
      </c>
      <c r="D1821">
        <v>1.2465753424657533</v>
      </c>
      <c r="E1821">
        <v>0</v>
      </c>
    </row>
    <row r="1822" spans="1:5" x14ac:dyDescent="0.25">
      <c r="A1822">
        <v>1.2450248756218905</v>
      </c>
      <c r="B1822">
        <v>0</v>
      </c>
      <c r="D1822">
        <v>1.2450248756218905</v>
      </c>
      <c r="E1822">
        <v>0</v>
      </c>
    </row>
    <row r="1823" spans="1:5" x14ac:dyDescent="0.25">
      <c r="A1823">
        <v>1.2434782608695654</v>
      </c>
      <c r="B1823">
        <v>0</v>
      </c>
      <c r="D1823">
        <v>1.2434782608695654</v>
      </c>
      <c r="E1823">
        <v>0</v>
      </c>
    </row>
    <row r="1824" spans="1:5" x14ac:dyDescent="0.25">
      <c r="A1824">
        <v>1.2419354838709677</v>
      </c>
      <c r="B1824">
        <v>0</v>
      </c>
      <c r="D1824">
        <v>1.2419354838709677</v>
      </c>
      <c r="E1824">
        <v>0</v>
      </c>
    </row>
    <row r="1825" spans="1:5" x14ac:dyDescent="0.25">
      <c r="A1825">
        <v>1.2403965303593556</v>
      </c>
      <c r="B1825">
        <v>0</v>
      </c>
      <c r="D1825">
        <v>1.2403965303593556</v>
      </c>
      <c r="E1825">
        <v>0</v>
      </c>
    </row>
    <row r="1826" spans="1:5" x14ac:dyDescent="0.25">
      <c r="A1826">
        <v>1.238861386138614</v>
      </c>
      <c r="B1826">
        <v>0</v>
      </c>
      <c r="D1826">
        <v>1.238861386138614</v>
      </c>
      <c r="E1826">
        <v>0</v>
      </c>
    </row>
    <row r="1827" spans="1:5" x14ac:dyDescent="0.25">
      <c r="A1827">
        <v>1.2373300370828184</v>
      </c>
      <c r="B1827">
        <v>0</v>
      </c>
      <c r="D1827">
        <v>1.2373300370828184</v>
      </c>
      <c r="E1827">
        <v>0</v>
      </c>
    </row>
    <row r="1828" spans="1:5" x14ac:dyDescent="0.25">
      <c r="A1828">
        <v>1.2358024691358025</v>
      </c>
      <c r="B1828">
        <v>0</v>
      </c>
      <c r="D1828">
        <v>1.2358024691358025</v>
      </c>
      <c r="E1828">
        <v>0</v>
      </c>
    </row>
    <row r="1829" spans="1:5" x14ac:dyDescent="0.25">
      <c r="A1829">
        <v>1.2342786683107274</v>
      </c>
      <c r="B1829">
        <v>0</v>
      </c>
      <c r="D1829">
        <v>1.2342786683107274</v>
      </c>
      <c r="E1829">
        <v>0</v>
      </c>
    </row>
    <row r="1830" spans="1:5" x14ac:dyDescent="0.25">
      <c r="A1830">
        <v>1.2327586206896552</v>
      </c>
      <c r="B1830">
        <v>0</v>
      </c>
      <c r="D1830">
        <v>1.2327586206896552</v>
      </c>
      <c r="E1830">
        <v>0</v>
      </c>
    </row>
    <row r="1831" spans="1:5" x14ac:dyDescent="0.25">
      <c r="A1831">
        <v>1.2312423124231242</v>
      </c>
      <c r="B1831">
        <v>0</v>
      </c>
      <c r="D1831">
        <v>1.2312423124231242</v>
      </c>
      <c r="E1831">
        <v>0</v>
      </c>
    </row>
    <row r="1832" spans="1:5" x14ac:dyDescent="0.25">
      <c r="A1832">
        <v>1.2297297297297298</v>
      </c>
      <c r="B1832">
        <v>0</v>
      </c>
      <c r="D1832">
        <v>1.2297297297297298</v>
      </c>
      <c r="E1832">
        <v>0</v>
      </c>
    </row>
    <row r="1833" spans="1:5" x14ac:dyDescent="0.25">
      <c r="A1833">
        <v>1.2282208588957055</v>
      </c>
      <c r="B1833">
        <v>0</v>
      </c>
      <c r="D1833">
        <v>1.2282208588957055</v>
      </c>
      <c r="E1833">
        <v>0</v>
      </c>
    </row>
    <row r="1834" spans="1:5" x14ac:dyDescent="0.25">
      <c r="A1834">
        <v>1.2267156862745097</v>
      </c>
      <c r="B1834">
        <v>0</v>
      </c>
      <c r="D1834">
        <v>1.2267156862745097</v>
      </c>
      <c r="E1834">
        <v>0</v>
      </c>
    </row>
    <row r="1835" spans="1:5" x14ac:dyDescent="0.25">
      <c r="A1835">
        <v>1.2252141982864138</v>
      </c>
      <c r="B1835">
        <v>0</v>
      </c>
      <c r="D1835">
        <v>1.2252141982864138</v>
      </c>
      <c r="E1835">
        <v>0</v>
      </c>
    </row>
    <row r="1836" spans="1:5" x14ac:dyDescent="0.25">
      <c r="A1836">
        <v>1.2237163814180929</v>
      </c>
      <c r="B1836">
        <v>0</v>
      </c>
      <c r="D1836">
        <v>1.2237163814180929</v>
      </c>
      <c r="E1836">
        <v>0</v>
      </c>
    </row>
    <row r="1837" spans="1:5" x14ac:dyDescent="0.25">
      <c r="A1837">
        <v>1.2222222222222221</v>
      </c>
      <c r="B1837">
        <v>0</v>
      </c>
      <c r="D1837">
        <v>1.2222222222222221</v>
      </c>
      <c r="E1837">
        <v>0</v>
      </c>
    </row>
    <row r="1838" spans="1:5" x14ac:dyDescent="0.25">
      <c r="A1838">
        <v>1.2207317073170731</v>
      </c>
      <c r="B1838">
        <v>0</v>
      </c>
      <c r="D1838">
        <v>1.2207317073170731</v>
      </c>
      <c r="E1838">
        <v>0</v>
      </c>
    </row>
    <row r="1839" spans="1:5" x14ac:dyDescent="0.25">
      <c r="A1839">
        <v>1.2192448233861146</v>
      </c>
      <c r="B1839">
        <v>0</v>
      </c>
      <c r="D1839">
        <v>1.2192448233861146</v>
      </c>
      <c r="E1839">
        <v>0</v>
      </c>
    </row>
    <row r="1840" spans="1:5" x14ac:dyDescent="0.25">
      <c r="A1840">
        <v>1.2177615571776157</v>
      </c>
      <c r="B1840">
        <v>0</v>
      </c>
      <c r="D1840">
        <v>1.2177615571776157</v>
      </c>
      <c r="E1840">
        <v>0</v>
      </c>
    </row>
    <row r="1841" spans="1:5" x14ac:dyDescent="0.25">
      <c r="A1841">
        <v>1.2162818955042527</v>
      </c>
      <c r="B1841">
        <v>0</v>
      </c>
      <c r="D1841">
        <v>1.2162818955042527</v>
      </c>
      <c r="E1841">
        <v>0</v>
      </c>
    </row>
    <row r="1842" spans="1:5" x14ac:dyDescent="0.25">
      <c r="A1842">
        <v>1.2148058252427185</v>
      </c>
      <c r="B1842">
        <v>0</v>
      </c>
      <c r="D1842">
        <v>1.2148058252427185</v>
      </c>
      <c r="E1842">
        <v>0</v>
      </c>
    </row>
    <row r="1843" spans="1:5" x14ac:dyDescent="0.25">
      <c r="A1843">
        <v>1.2133333333333334</v>
      </c>
      <c r="B1843">
        <v>0</v>
      </c>
      <c r="D1843">
        <v>1.2133333333333334</v>
      </c>
      <c r="E1843">
        <v>0</v>
      </c>
    </row>
    <row r="1844" spans="1:5" x14ac:dyDescent="0.25">
      <c r="A1844">
        <v>1.2118644067796609</v>
      </c>
      <c r="B1844">
        <v>0</v>
      </c>
      <c r="D1844">
        <v>1.2118644067796609</v>
      </c>
      <c r="E1844">
        <v>0</v>
      </c>
    </row>
    <row r="1845" spans="1:5" x14ac:dyDescent="0.25">
      <c r="A1845">
        <v>1.2103990326481258</v>
      </c>
      <c r="B1845">
        <v>0</v>
      </c>
      <c r="D1845">
        <v>1.2103990326481258</v>
      </c>
      <c r="E1845">
        <v>0</v>
      </c>
    </row>
    <row r="1846" spans="1:5" x14ac:dyDescent="0.25">
      <c r="A1846">
        <v>1.2089371980676329</v>
      </c>
      <c r="B1846">
        <v>0</v>
      </c>
      <c r="D1846">
        <v>1.2089371980676329</v>
      </c>
      <c r="E1846">
        <v>0</v>
      </c>
    </row>
    <row r="1847" spans="1:5" x14ac:dyDescent="0.25">
      <c r="A1847">
        <v>1.2074788902291917</v>
      </c>
      <c r="B1847">
        <v>0</v>
      </c>
      <c r="D1847">
        <v>1.2074788902291917</v>
      </c>
      <c r="E1847">
        <v>0</v>
      </c>
    </row>
    <row r="1848" spans="1:5" x14ac:dyDescent="0.25">
      <c r="A1848">
        <v>1.2060240963855422</v>
      </c>
      <c r="B1848">
        <v>0</v>
      </c>
      <c r="D1848">
        <v>1.2060240963855422</v>
      </c>
      <c r="E1848">
        <v>0</v>
      </c>
    </row>
    <row r="1849" spans="1:5" x14ac:dyDescent="0.25">
      <c r="A1849">
        <v>1.2045728038507821</v>
      </c>
      <c r="B1849">
        <v>0</v>
      </c>
      <c r="D1849">
        <v>1.2045728038507821</v>
      </c>
      <c r="E1849">
        <v>0</v>
      </c>
    </row>
    <row r="1850" spans="1:5" x14ac:dyDescent="0.25">
      <c r="A1850">
        <v>1.203125</v>
      </c>
      <c r="B1850">
        <v>0</v>
      </c>
      <c r="D1850">
        <v>1.203125</v>
      </c>
      <c r="E1850">
        <v>0</v>
      </c>
    </row>
    <row r="1851" spans="1:5" x14ac:dyDescent="0.25">
      <c r="A1851">
        <v>1.2016806722689075</v>
      </c>
      <c r="B1851">
        <v>0</v>
      </c>
      <c r="D1851">
        <v>1.2016806722689075</v>
      </c>
      <c r="E1851">
        <v>0</v>
      </c>
    </row>
    <row r="1852" spans="1:5" x14ac:dyDescent="0.25">
      <c r="A1852">
        <v>1.2002398081534773</v>
      </c>
      <c r="B1852">
        <v>0</v>
      </c>
      <c r="D1852">
        <v>1.2002398081534773</v>
      </c>
      <c r="E1852">
        <v>0</v>
      </c>
    </row>
    <row r="1853" spans="1:5" x14ac:dyDescent="0.25">
      <c r="A1853">
        <v>1.198802395209581</v>
      </c>
      <c r="B1853">
        <v>0</v>
      </c>
      <c r="D1853">
        <v>1.198802395209581</v>
      </c>
      <c r="E1853">
        <v>0</v>
      </c>
    </row>
    <row r="1854" spans="1:5" x14ac:dyDescent="0.25">
      <c r="A1854">
        <v>1.1973684210526316</v>
      </c>
      <c r="B1854">
        <v>0</v>
      </c>
      <c r="D1854">
        <v>1.1973684210526316</v>
      </c>
      <c r="E1854">
        <v>0</v>
      </c>
    </row>
    <row r="1855" spans="1:5" x14ac:dyDescent="0.25">
      <c r="A1855">
        <v>1.1959378733572281</v>
      </c>
      <c r="B1855">
        <v>0</v>
      </c>
      <c r="D1855">
        <v>1.1959378733572281</v>
      </c>
      <c r="E1855">
        <v>0</v>
      </c>
    </row>
    <row r="1856" spans="1:5" x14ac:dyDescent="0.25">
      <c r="A1856">
        <v>1.194510739856802</v>
      </c>
      <c r="B1856">
        <v>0</v>
      </c>
      <c r="D1856">
        <v>1.194510739856802</v>
      </c>
      <c r="E1856">
        <v>0</v>
      </c>
    </row>
    <row r="1857" spans="1:5" x14ac:dyDescent="0.25">
      <c r="A1857">
        <v>1.1930870083432656</v>
      </c>
      <c r="B1857">
        <v>0</v>
      </c>
      <c r="D1857">
        <v>1.1930870083432656</v>
      </c>
      <c r="E1857">
        <v>0</v>
      </c>
    </row>
    <row r="1858" spans="1:5" x14ac:dyDescent="0.25">
      <c r="A1858">
        <v>1.1916666666666667</v>
      </c>
      <c r="B1858">
        <v>0</v>
      </c>
      <c r="D1858">
        <v>1.1916666666666667</v>
      </c>
      <c r="E1858">
        <v>0</v>
      </c>
    </row>
    <row r="1859" spans="1:5" x14ac:dyDescent="0.25">
      <c r="A1859">
        <v>1.1902497027348395</v>
      </c>
      <c r="B1859">
        <v>0</v>
      </c>
      <c r="D1859">
        <v>1.1902497027348395</v>
      </c>
      <c r="E1859">
        <v>0</v>
      </c>
    </row>
    <row r="1860" spans="1:5" x14ac:dyDescent="0.25">
      <c r="A1860">
        <v>1.188836104513064</v>
      </c>
      <c r="B1860">
        <v>0</v>
      </c>
      <c r="D1860">
        <v>1.188836104513064</v>
      </c>
      <c r="E1860">
        <v>0</v>
      </c>
    </row>
    <row r="1861" spans="1:5" x14ac:dyDescent="0.25">
      <c r="A1861">
        <v>1.1874258600237249</v>
      </c>
      <c r="B1861">
        <v>0</v>
      </c>
      <c r="D1861">
        <v>1.1874258600237249</v>
      </c>
      <c r="E1861">
        <v>0</v>
      </c>
    </row>
    <row r="1862" spans="1:5" x14ac:dyDescent="0.25">
      <c r="A1862">
        <v>1.1860189573459716</v>
      </c>
      <c r="B1862">
        <v>0</v>
      </c>
      <c r="D1862">
        <v>1.1860189573459716</v>
      </c>
      <c r="E1862">
        <v>0</v>
      </c>
    </row>
    <row r="1863" spans="1:5" x14ac:dyDescent="0.25">
      <c r="A1863">
        <v>1.1846153846153846</v>
      </c>
      <c r="B1863">
        <v>0</v>
      </c>
      <c r="D1863">
        <v>1.1846153846153846</v>
      </c>
      <c r="E1863">
        <v>0</v>
      </c>
    </row>
    <row r="1864" spans="1:5" x14ac:dyDescent="0.25">
      <c r="A1864">
        <v>1.1832151300236406</v>
      </c>
      <c r="B1864">
        <v>0</v>
      </c>
      <c r="D1864">
        <v>1.1832151300236406</v>
      </c>
      <c r="E1864">
        <v>0</v>
      </c>
    </row>
    <row r="1865" spans="1:5" x14ac:dyDescent="0.25">
      <c r="A1865">
        <v>1.1818181818181819</v>
      </c>
      <c r="B1865">
        <v>0</v>
      </c>
      <c r="D1865">
        <v>1.1818181818181819</v>
      </c>
      <c r="E1865">
        <v>0</v>
      </c>
    </row>
    <row r="1866" spans="1:5" x14ac:dyDescent="0.25">
      <c r="A1866">
        <v>1.1804245283018868</v>
      </c>
      <c r="B1866">
        <v>0</v>
      </c>
      <c r="D1866">
        <v>1.1804245283018868</v>
      </c>
      <c r="E1866">
        <v>0</v>
      </c>
    </row>
    <row r="1867" spans="1:5" x14ac:dyDescent="0.25">
      <c r="A1867">
        <v>1.1790341578327443</v>
      </c>
      <c r="B1867">
        <v>0</v>
      </c>
      <c r="D1867">
        <v>1.1790341578327443</v>
      </c>
      <c r="E1867">
        <v>0</v>
      </c>
    </row>
    <row r="1868" spans="1:5" x14ac:dyDescent="0.25">
      <c r="A1868">
        <v>1.1776470588235295</v>
      </c>
      <c r="B1868">
        <v>0</v>
      </c>
      <c r="D1868">
        <v>1.1776470588235295</v>
      </c>
      <c r="E1868">
        <v>0</v>
      </c>
    </row>
    <row r="1869" spans="1:5" x14ac:dyDescent="0.25">
      <c r="A1869">
        <v>1.1762632197414806</v>
      </c>
      <c r="B1869">
        <v>0</v>
      </c>
      <c r="D1869">
        <v>1.1762632197414806</v>
      </c>
      <c r="E1869">
        <v>0</v>
      </c>
    </row>
    <row r="1870" spans="1:5" x14ac:dyDescent="0.25">
      <c r="A1870">
        <v>1.1748826291079812</v>
      </c>
      <c r="B1870">
        <v>0</v>
      </c>
      <c r="D1870">
        <v>1.1748826291079812</v>
      </c>
      <c r="E1870">
        <v>0</v>
      </c>
    </row>
    <row r="1871" spans="1:5" x14ac:dyDescent="0.25">
      <c r="A1871">
        <v>1.1735052754982416</v>
      </c>
      <c r="B1871">
        <v>0</v>
      </c>
      <c r="D1871">
        <v>1.1735052754982416</v>
      </c>
      <c r="E1871">
        <v>0</v>
      </c>
    </row>
    <row r="1872" spans="1:5" x14ac:dyDescent="0.25">
      <c r="A1872">
        <v>1.1721311475409837</v>
      </c>
      <c r="B1872">
        <v>0</v>
      </c>
      <c r="D1872">
        <v>1.1721311475409837</v>
      </c>
      <c r="E1872">
        <v>0</v>
      </c>
    </row>
    <row r="1873" spans="1:5" x14ac:dyDescent="0.25">
      <c r="A1873">
        <v>1.1707602339181287</v>
      </c>
      <c r="B1873">
        <v>0</v>
      </c>
      <c r="D1873">
        <v>1.1707602339181287</v>
      </c>
      <c r="E1873">
        <v>0</v>
      </c>
    </row>
    <row r="1874" spans="1:5" x14ac:dyDescent="0.25">
      <c r="A1874">
        <v>1.169392523364486</v>
      </c>
      <c r="B1874">
        <v>0</v>
      </c>
      <c r="D1874">
        <v>1.169392523364486</v>
      </c>
      <c r="E1874">
        <v>0</v>
      </c>
    </row>
    <row r="1875" spans="1:5" x14ac:dyDescent="0.25">
      <c r="A1875">
        <v>1.1680280046674445</v>
      </c>
      <c r="B1875">
        <v>0</v>
      </c>
      <c r="D1875">
        <v>1.1680280046674445</v>
      </c>
      <c r="E1875">
        <v>0</v>
      </c>
    </row>
    <row r="1876" spans="1:5" x14ac:dyDescent="0.25">
      <c r="A1876">
        <v>1.1666666666666667</v>
      </c>
      <c r="B1876">
        <v>0</v>
      </c>
      <c r="D1876">
        <v>1.1666666666666667</v>
      </c>
      <c r="E1876">
        <v>0</v>
      </c>
    </row>
    <row r="1877" spans="1:5" x14ac:dyDescent="0.25">
      <c r="A1877">
        <v>1.1653084982537834</v>
      </c>
      <c r="B1877">
        <v>0</v>
      </c>
      <c r="D1877">
        <v>1.1653084982537834</v>
      </c>
      <c r="E1877">
        <v>0</v>
      </c>
    </row>
    <row r="1878" spans="1:5" x14ac:dyDescent="0.25">
      <c r="A1878">
        <v>1.163953488372093</v>
      </c>
      <c r="B1878">
        <v>0</v>
      </c>
      <c r="D1878">
        <v>1.163953488372093</v>
      </c>
      <c r="E1878">
        <v>0</v>
      </c>
    </row>
    <row r="1879" spans="1:5" x14ac:dyDescent="0.25">
      <c r="A1879">
        <v>1.1626016260162602</v>
      </c>
      <c r="B1879">
        <v>0</v>
      </c>
      <c r="D1879">
        <v>1.1626016260162602</v>
      </c>
      <c r="E1879">
        <v>0</v>
      </c>
    </row>
    <row r="1880" spans="1:5" x14ac:dyDescent="0.25">
      <c r="A1880">
        <v>1.1612529002320184</v>
      </c>
      <c r="B1880">
        <v>0</v>
      </c>
      <c r="D1880">
        <v>1.1612529002320184</v>
      </c>
      <c r="E1880">
        <v>0</v>
      </c>
    </row>
    <row r="1881" spans="1:5" x14ac:dyDescent="0.25">
      <c r="A1881">
        <v>1.1599073001158748</v>
      </c>
      <c r="B1881">
        <v>0</v>
      </c>
      <c r="D1881">
        <v>1.1599073001158748</v>
      </c>
      <c r="E1881">
        <v>0</v>
      </c>
    </row>
    <row r="1882" spans="1:5" x14ac:dyDescent="0.25">
      <c r="A1882">
        <v>1.1585648148148149</v>
      </c>
      <c r="B1882">
        <v>0</v>
      </c>
      <c r="D1882">
        <v>1.1585648148148149</v>
      </c>
      <c r="E1882">
        <v>0</v>
      </c>
    </row>
    <row r="1883" spans="1:5" x14ac:dyDescent="0.25">
      <c r="A1883">
        <v>1.1572254335260115</v>
      </c>
      <c r="B1883">
        <v>0</v>
      </c>
      <c r="D1883">
        <v>1.1572254335260115</v>
      </c>
      <c r="E1883">
        <v>0</v>
      </c>
    </row>
    <row r="1884" spans="1:5" x14ac:dyDescent="0.25">
      <c r="A1884">
        <v>1.1558891454965359</v>
      </c>
      <c r="B1884">
        <v>0</v>
      </c>
      <c r="D1884">
        <v>1.1558891454965359</v>
      </c>
      <c r="E1884">
        <v>0</v>
      </c>
    </row>
    <row r="1885" spans="1:5" x14ac:dyDescent="0.25">
      <c r="A1885">
        <v>1.1545559400230681</v>
      </c>
      <c r="B1885">
        <v>0</v>
      </c>
      <c r="D1885">
        <v>1.1545559400230681</v>
      </c>
      <c r="E1885">
        <v>0</v>
      </c>
    </row>
    <row r="1886" spans="1:5" x14ac:dyDescent="0.25">
      <c r="A1886">
        <v>1.153225806451613</v>
      </c>
      <c r="B1886">
        <v>0</v>
      </c>
      <c r="D1886">
        <v>1.153225806451613</v>
      </c>
      <c r="E1886">
        <v>0</v>
      </c>
    </row>
    <row r="1887" spans="1:5" x14ac:dyDescent="0.25">
      <c r="A1887">
        <v>1.1518987341772151</v>
      </c>
      <c r="B1887">
        <v>0</v>
      </c>
      <c r="D1887">
        <v>1.1518987341772151</v>
      </c>
      <c r="E1887">
        <v>0</v>
      </c>
    </row>
    <row r="1888" spans="1:5" x14ac:dyDescent="0.25">
      <c r="A1888">
        <v>1.1505747126436783</v>
      </c>
      <c r="B1888">
        <v>0</v>
      </c>
      <c r="D1888">
        <v>1.1505747126436783</v>
      </c>
      <c r="E1888">
        <v>0</v>
      </c>
    </row>
    <row r="1889" spans="1:5" x14ac:dyDescent="0.25">
      <c r="A1889">
        <v>1.1492537313432836</v>
      </c>
      <c r="B1889">
        <v>0</v>
      </c>
      <c r="D1889">
        <v>1.1492537313432836</v>
      </c>
      <c r="E1889">
        <v>0</v>
      </c>
    </row>
    <row r="1890" spans="1:5" x14ac:dyDescent="0.25">
      <c r="A1890">
        <v>1.1479357798165137</v>
      </c>
      <c r="B1890">
        <v>0</v>
      </c>
      <c r="D1890">
        <v>1.1479357798165137</v>
      </c>
      <c r="E1890">
        <v>0</v>
      </c>
    </row>
    <row r="1891" spans="1:5" x14ac:dyDescent="0.25">
      <c r="A1891">
        <v>1.1466208476517754</v>
      </c>
      <c r="B1891">
        <v>0</v>
      </c>
      <c r="D1891">
        <v>1.1466208476517754</v>
      </c>
      <c r="E1891">
        <v>0</v>
      </c>
    </row>
    <row r="1892" spans="1:5" x14ac:dyDescent="0.25">
      <c r="A1892">
        <v>1.145308924485126</v>
      </c>
      <c r="B1892">
        <v>0</v>
      </c>
      <c r="D1892">
        <v>1.145308924485126</v>
      </c>
      <c r="E1892">
        <v>0</v>
      </c>
    </row>
    <row r="1893" spans="1:5" x14ac:dyDescent="0.25">
      <c r="A1893">
        <v>1.1439999999999999</v>
      </c>
      <c r="B1893">
        <v>0</v>
      </c>
      <c r="D1893">
        <v>1.1439999999999999</v>
      </c>
      <c r="E1893">
        <v>0</v>
      </c>
    </row>
    <row r="1894" spans="1:5" x14ac:dyDescent="0.25">
      <c r="A1894">
        <v>1.1426940639269407</v>
      </c>
      <c r="B1894">
        <v>0</v>
      </c>
      <c r="D1894">
        <v>1.1426940639269407</v>
      </c>
      <c r="E1894">
        <v>0</v>
      </c>
    </row>
    <row r="1895" spans="1:5" x14ac:dyDescent="0.25">
      <c r="A1895">
        <v>1.1413911060433295</v>
      </c>
      <c r="B1895">
        <v>0</v>
      </c>
      <c r="D1895">
        <v>1.1413911060433295</v>
      </c>
      <c r="E1895">
        <v>0</v>
      </c>
    </row>
    <row r="1896" spans="1:5" x14ac:dyDescent="0.25">
      <c r="A1896">
        <v>1.1400911161731206</v>
      </c>
      <c r="B1896">
        <v>0</v>
      </c>
      <c r="D1896">
        <v>1.1400911161731206</v>
      </c>
      <c r="E1896">
        <v>0</v>
      </c>
    </row>
    <row r="1897" spans="1:5" x14ac:dyDescent="0.25">
      <c r="A1897">
        <v>1.1387940841865756</v>
      </c>
      <c r="B1897">
        <v>0</v>
      </c>
      <c r="D1897">
        <v>1.1387940841865756</v>
      </c>
      <c r="E1897">
        <v>0</v>
      </c>
    </row>
    <row r="1898" spans="1:5" x14ac:dyDescent="0.25">
      <c r="A1898">
        <v>1.1375</v>
      </c>
      <c r="B1898">
        <v>0</v>
      </c>
      <c r="D1898">
        <v>1.1375</v>
      </c>
      <c r="E1898">
        <v>0</v>
      </c>
    </row>
    <row r="1899" spans="1:5" x14ac:dyDescent="0.25">
      <c r="A1899">
        <v>1.1362088535754824</v>
      </c>
      <c r="B1899">
        <v>0</v>
      </c>
      <c r="D1899">
        <v>1.1362088535754824</v>
      </c>
      <c r="E1899">
        <v>0</v>
      </c>
    </row>
    <row r="1900" spans="1:5" x14ac:dyDescent="0.25">
      <c r="A1900">
        <v>1.1349206349206349</v>
      </c>
      <c r="B1900">
        <v>0</v>
      </c>
      <c r="D1900">
        <v>1.1349206349206349</v>
      </c>
      <c r="E1900">
        <v>0</v>
      </c>
    </row>
    <row r="1901" spans="1:5" x14ac:dyDescent="0.25">
      <c r="A1901">
        <v>1.1336353340883352</v>
      </c>
      <c r="B1901">
        <v>0</v>
      </c>
      <c r="D1901">
        <v>1.1336353340883352</v>
      </c>
      <c r="E1901">
        <v>0</v>
      </c>
    </row>
    <row r="1902" spans="1:5" x14ac:dyDescent="0.25">
      <c r="A1902">
        <v>1.1323529411764706</v>
      </c>
      <c r="B1902">
        <v>0</v>
      </c>
      <c r="D1902">
        <v>1.1323529411764706</v>
      </c>
      <c r="E1902">
        <v>0</v>
      </c>
    </row>
    <row r="1903" spans="1:5" x14ac:dyDescent="0.25">
      <c r="A1903">
        <v>1.1310734463276835</v>
      </c>
      <c r="B1903">
        <v>0</v>
      </c>
      <c r="D1903">
        <v>1.1310734463276835</v>
      </c>
      <c r="E1903">
        <v>0</v>
      </c>
    </row>
    <row r="1904" spans="1:5" x14ac:dyDescent="0.25">
      <c r="A1904">
        <v>1.1297968397291196</v>
      </c>
      <c r="B1904">
        <v>0</v>
      </c>
      <c r="D1904">
        <v>1.1297968397291196</v>
      </c>
      <c r="E1904">
        <v>0</v>
      </c>
    </row>
    <row r="1905" spans="1:5" x14ac:dyDescent="0.25">
      <c r="A1905">
        <v>1.1285231116121759</v>
      </c>
      <c r="B1905">
        <v>0</v>
      </c>
      <c r="D1905">
        <v>1.1285231116121759</v>
      </c>
      <c r="E1905">
        <v>0</v>
      </c>
    </row>
    <row r="1906" spans="1:5" x14ac:dyDescent="0.25">
      <c r="A1906">
        <v>1.1272522522522521</v>
      </c>
      <c r="B1906">
        <v>0</v>
      </c>
      <c r="D1906">
        <v>1.1272522522522521</v>
      </c>
      <c r="E1906">
        <v>0</v>
      </c>
    </row>
    <row r="1907" spans="1:5" x14ac:dyDescent="0.25">
      <c r="A1907">
        <v>1.1259842519685039</v>
      </c>
      <c r="B1907">
        <v>0</v>
      </c>
      <c r="D1907">
        <v>1.1259842519685039</v>
      </c>
      <c r="E1907">
        <v>0</v>
      </c>
    </row>
    <row r="1908" spans="1:5" x14ac:dyDescent="0.25">
      <c r="A1908">
        <v>1.1247191011235955</v>
      </c>
      <c r="B1908">
        <v>0</v>
      </c>
      <c r="D1908">
        <v>1.1247191011235955</v>
      </c>
      <c r="E1908">
        <v>0</v>
      </c>
    </row>
    <row r="1909" spans="1:5" x14ac:dyDescent="0.25">
      <c r="A1909">
        <v>1.1234567901234569</v>
      </c>
      <c r="B1909">
        <v>0</v>
      </c>
      <c r="D1909">
        <v>1.1234567901234569</v>
      </c>
      <c r="E1909">
        <v>0</v>
      </c>
    </row>
    <row r="1910" spans="1:5" x14ac:dyDescent="0.25">
      <c r="A1910">
        <v>1.1221973094170403</v>
      </c>
      <c r="B1910">
        <v>0</v>
      </c>
      <c r="D1910">
        <v>1.1221973094170403</v>
      </c>
      <c r="E1910">
        <v>0</v>
      </c>
    </row>
    <row r="1911" spans="1:5" x14ac:dyDescent="0.25">
      <c r="A1911">
        <v>1.1209406494960807</v>
      </c>
      <c r="B1911">
        <v>0</v>
      </c>
      <c r="D1911">
        <v>1.1209406494960807</v>
      </c>
      <c r="E1911">
        <v>0</v>
      </c>
    </row>
    <row r="1912" spans="1:5" x14ac:dyDescent="0.25">
      <c r="A1912">
        <v>1.1196868008948546</v>
      </c>
      <c r="B1912">
        <v>0</v>
      </c>
      <c r="D1912">
        <v>1.1196868008948546</v>
      </c>
      <c r="E1912">
        <v>0</v>
      </c>
    </row>
    <row r="1913" spans="1:5" x14ac:dyDescent="0.25">
      <c r="A1913">
        <v>1.1184357541899441</v>
      </c>
      <c r="B1913">
        <v>0</v>
      </c>
      <c r="D1913">
        <v>1.1184357541899441</v>
      </c>
      <c r="E1913">
        <v>0</v>
      </c>
    </row>
    <row r="1914" spans="1:5" x14ac:dyDescent="0.25">
      <c r="A1914">
        <v>1.1171875</v>
      </c>
      <c r="B1914">
        <v>0</v>
      </c>
      <c r="D1914">
        <v>1.1171875</v>
      </c>
      <c r="E1914">
        <v>0</v>
      </c>
    </row>
    <row r="1915" spans="1:5" x14ac:dyDescent="0.25">
      <c r="A1915">
        <v>1.1159420289855073</v>
      </c>
      <c r="B1915">
        <v>0</v>
      </c>
      <c r="D1915">
        <v>1.1159420289855073</v>
      </c>
      <c r="E1915">
        <v>0</v>
      </c>
    </row>
    <row r="1916" spans="1:5" x14ac:dyDescent="0.25">
      <c r="A1916">
        <v>1.1146993318485523</v>
      </c>
      <c r="B1916">
        <v>0</v>
      </c>
      <c r="D1916">
        <v>1.1146993318485523</v>
      </c>
      <c r="E1916">
        <v>0</v>
      </c>
    </row>
    <row r="1917" spans="1:5" x14ac:dyDescent="0.25">
      <c r="A1917">
        <v>1.1134593993325919</v>
      </c>
      <c r="B1917">
        <v>0</v>
      </c>
      <c r="D1917">
        <v>1.1134593993325919</v>
      </c>
      <c r="E1917">
        <v>0</v>
      </c>
    </row>
    <row r="1918" spans="1:5" x14ac:dyDescent="0.25">
      <c r="A1918">
        <v>1.1122222222222222</v>
      </c>
      <c r="B1918">
        <v>0</v>
      </c>
      <c r="D1918">
        <v>1.1122222222222222</v>
      </c>
      <c r="E1918">
        <v>0</v>
      </c>
    </row>
    <row r="1919" spans="1:5" x14ac:dyDescent="0.25">
      <c r="A1919">
        <v>1.1109877913429522</v>
      </c>
      <c r="B1919">
        <v>0</v>
      </c>
      <c r="D1919">
        <v>1.1109877913429522</v>
      </c>
      <c r="E1919">
        <v>0</v>
      </c>
    </row>
    <row r="1920" spans="1:5" x14ac:dyDescent="0.25">
      <c r="A1920">
        <v>1.1097560975609755</v>
      </c>
      <c r="B1920">
        <v>0</v>
      </c>
      <c r="D1920">
        <v>1.1097560975609755</v>
      </c>
      <c r="E1920">
        <v>0</v>
      </c>
    </row>
    <row r="1921" spans="1:5" x14ac:dyDescent="0.25">
      <c r="A1921">
        <v>1.1085271317829457</v>
      </c>
      <c r="B1921">
        <v>0</v>
      </c>
      <c r="D1921">
        <v>1.1085271317829457</v>
      </c>
      <c r="E1921">
        <v>0</v>
      </c>
    </row>
    <row r="1922" spans="1:5" x14ac:dyDescent="0.25">
      <c r="A1922">
        <v>1.1073008849557522</v>
      </c>
      <c r="B1922">
        <v>0</v>
      </c>
      <c r="D1922">
        <v>1.1073008849557522</v>
      </c>
      <c r="E1922">
        <v>0</v>
      </c>
    </row>
    <row r="1923" spans="1:5" x14ac:dyDescent="0.25">
      <c r="A1923">
        <v>1.1060773480662982</v>
      </c>
      <c r="B1923">
        <v>0</v>
      </c>
      <c r="D1923">
        <v>1.1060773480662982</v>
      </c>
      <c r="E1923">
        <v>0</v>
      </c>
    </row>
    <row r="1924" spans="1:5" x14ac:dyDescent="0.25">
      <c r="A1924">
        <v>1.1048565121412803</v>
      </c>
      <c r="B1924">
        <v>0</v>
      </c>
      <c r="D1924">
        <v>1.1048565121412803</v>
      </c>
      <c r="E1924">
        <v>0</v>
      </c>
    </row>
    <row r="1925" spans="1:5" x14ac:dyDescent="0.25">
      <c r="A1925">
        <v>1.1036383682469681</v>
      </c>
      <c r="B1925">
        <v>0</v>
      </c>
      <c r="D1925">
        <v>1.1036383682469681</v>
      </c>
      <c r="E1925">
        <v>0</v>
      </c>
    </row>
    <row r="1926" spans="1:5" x14ac:dyDescent="0.25">
      <c r="A1926">
        <v>1.1024229074889866</v>
      </c>
      <c r="B1926">
        <v>0</v>
      </c>
      <c r="D1926">
        <v>1.1024229074889866</v>
      </c>
      <c r="E1926">
        <v>0</v>
      </c>
    </row>
    <row r="1927" spans="1:5" x14ac:dyDescent="0.25">
      <c r="A1927">
        <v>1.1012101210121013</v>
      </c>
      <c r="B1927">
        <v>0</v>
      </c>
      <c r="D1927">
        <v>1.1012101210121013</v>
      </c>
      <c r="E1927">
        <v>0</v>
      </c>
    </row>
    <row r="1928" spans="1:5" x14ac:dyDescent="0.25">
      <c r="A1928">
        <v>1.1000000000000001</v>
      </c>
      <c r="B1928">
        <v>0</v>
      </c>
      <c r="D1928">
        <v>1.1000000000000001</v>
      </c>
      <c r="E1928">
        <v>0</v>
      </c>
    </row>
    <row r="1929" spans="1:5" x14ac:dyDescent="0.25">
      <c r="A1929">
        <v>1.0987925356750823</v>
      </c>
      <c r="B1929">
        <v>0</v>
      </c>
      <c r="D1929">
        <v>1.0987925356750823</v>
      </c>
      <c r="E1929">
        <v>0</v>
      </c>
    </row>
    <row r="1930" spans="1:5" x14ac:dyDescent="0.25">
      <c r="A1930">
        <v>1.0975877192982455</v>
      </c>
      <c r="B1930">
        <v>0</v>
      </c>
      <c r="D1930">
        <v>1.0975877192982455</v>
      </c>
      <c r="E1930">
        <v>0</v>
      </c>
    </row>
    <row r="1931" spans="1:5" x14ac:dyDescent="0.25">
      <c r="A1931">
        <v>1.0963855421686748</v>
      </c>
      <c r="B1931">
        <v>0</v>
      </c>
      <c r="D1931">
        <v>1.0963855421686748</v>
      </c>
      <c r="E1931">
        <v>0</v>
      </c>
    </row>
    <row r="1932" spans="1:5" x14ac:dyDescent="0.25">
      <c r="A1932">
        <v>1.0951859956236325</v>
      </c>
      <c r="B1932">
        <v>0</v>
      </c>
      <c r="D1932">
        <v>1.0951859956236325</v>
      </c>
      <c r="E1932">
        <v>0</v>
      </c>
    </row>
    <row r="1933" spans="1:5" x14ac:dyDescent="0.25">
      <c r="A1933">
        <v>1.0939890710382514</v>
      </c>
      <c r="B1933">
        <v>0</v>
      </c>
      <c r="D1933">
        <v>1.0939890710382514</v>
      </c>
      <c r="E1933">
        <v>0</v>
      </c>
    </row>
    <row r="1934" spans="1:5" x14ac:dyDescent="0.25">
      <c r="A1934">
        <v>1.0927947598253276</v>
      </c>
      <c r="B1934">
        <v>0</v>
      </c>
      <c r="D1934">
        <v>1.0927947598253276</v>
      </c>
      <c r="E1934">
        <v>0</v>
      </c>
    </row>
    <row r="1935" spans="1:5" x14ac:dyDescent="0.25">
      <c r="A1935">
        <v>1.0916030534351147</v>
      </c>
      <c r="B1935">
        <v>0</v>
      </c>
      <c r="D1935">
        <v>1.0916030534351147</v>
      </c>
      <c r="E1935">
        <v>0</v>
      </c>
    </row>
    <row r="1936" spans="1:5" x14ac:dyDescent="0.25">
      <c r="A1936">
        <v>1.0904139433551199</v>
      </c>
      <c r="B1936">
        <v>0</v>
      </c>
      <c r="D1936">
        <v>1.0904139433551199</v>
      </c>
      <c r="E1936">
        <v>0</v>
      </c>
    </row>
    <row r="1937" spans="1:5" x14ac:dyDescent="0.25">
      <c r="A1937">
        <v>1.089227421109902</v>
      </c>
      <c r="B1937">
        <v>0</v>
      </c>
      <c r="D1937">
        <v>1.089227421109902</v>
      </c>
      <c r="E1937">
        <v>0</v>
      </c>
    </row>
    <row r="1938" spans="1:5" x14ac:dyDescent="0.25">
      <c r="A1938">
        <v>1.0880434782608697</v>
      </c>
      <c r="B1938">
        <v>0</v>
      </c>
      <c r="D1938">
        <v>1.0880434782608697</v>
      </c>
      <c r="E1938">
        <v>0</v>
      </c>
    </row>
    <row r="1939" spans="1:5" x14ac:dyDescent="0.25">
      <c r="A1939">
        <v>1.0868621064060804</v>
      </c>
      <c r="B1939">
        <v>0</v>
      </c>
      <c r="D1939">
        <v>1.0868621064060804</v>
      </c>
      <c r="E1939">
        <v>0</v>
      </c>
    </row>
    <row r="1940" spans="1:5" x14ac:dyDescent="0.25">
      <c r="A1940">
        <v>1.0856832971800434</v>
      </c>
      <c r="B1940">
        <v>0</v>
      </c>
      <c r="D1940">
        <v>1.0856832971800434</v>
      </c>
      <c r="E1940">
        <v>0</v>
      </c>
    </row>
    <row r="1941" spans="1:5" x14ac:dyDescent="0.25">
      <c r="A1941">
        <v>1.0845070422535212</v>
      </c>
      <c r="B1941">
        <v>0</v>
      </c>
      <c r="D1941">
        <v>1.0845070422535212</v>
      </c>
      <c r="E1941">
        <v>0</v>
      </c>
    </row>
    <row r="1942" spans="1:5" x14ac:dyDescent="0.25">
      <c r="A1942">
        <v>1.0833333333333333</v>
      </c>
      <c r="B1942">
        <v>0</v>
      </c>
      <c r="D1942">
        <v>1.0833333333333333</v>
      </c>
      <c r="E1942">
        <v>0</v>
      </c>
    </row>
    <row r="1943" spans="1:5" x14ac:dyDescent="0.25">
      <c r="A1943">
        <v>1.0821621621621622</v>
      </c>
      <c r="B1943">
        <v>0</v>
      </c>
      <c r="D1943">
        <v>1.0821621621621622</v>
      </c>
      <c r="E1943">
        <v>0</v>
      </c>
    </row>
    <row r="1944" spans="1:5" x14ac:dyDescent="0.25">
      <c r="A1944">
        <v>1.0809935205183585</v>
      </c>
      <c r="B1944">
        <v>0</v>
      </c>
      <c r="D1944">
        <v>1.0809935205183585</v>
      </c>
      <c r="E1944">
        <v>0</v>
      </c>
    </row>
    <row r="1945" spans="1:5" x14ac:dyDescent="0.25">
      <c r="A1945">
        <v>1.0798274002157497</v>
      </c>
      <c r="B1945">
        <v>0</v>
      </c>
      <c r="D1945">
        <v>1.0798274002157497</v>
      </c>
      <c r="E1945">
        <v>0</v>
      </c>
    </row>
    <row r="1946" spans="1:5" x14ac:dyDescent="0.25">
      <c r="A1946">
        <v>1.0786637931034482</v>
      </c>
      <c r="B1946">
        <v>0</v>
      </c>
      <c r="D1946">
        <v>1.0786637931034482</v>
      </c>
      <c r="E1946">
        <v>0</v>
      </c>
    </row>
    <row r="1947" spans="1:5" x14ac:dyDescent="0.25">
      <c r="A1947">
        <v>1.077502691065662</v>
      </c>
      <c r="B1947">
        <v>0</v>
      </c>
      <c r="D1947">
        <v>1.077502691065662</v>
      </c>
      <c r="E1947">
        <v>0</v>
      </c>
    </row>
    <row r="1948" spans="1:5" x14ac:dyDescent="0.25">
      <c r="A1948">
        <v>1.0763440860215054</v>
      </c>
      <c r="B1948">
        <v>0</v>
      </c>
      <c r="D1948">
        <v>1.0763440860215054</v>
      </c>
      <c r="E1948">
        <v>0</v>
      </c>
    </row>
    <row r="1949" spans="1:5" x14ac:dyDescent="0.25">
      <c r="A1949">
        <v>1.0751879699248119</v>
      </c>
      <c r="B1949">
        <v>0</v>
      </c>
      <c r="D1949">
        <v>1.0751879699248119</v>
      </c>
      <c r="E1949">
        <v>0</v>
      </c>
    </row>
    <row r="1950" spans="1:5" x14ac:dyDescent="0.25">
      <c r="A1950">
        <v>1.0740343347639485</v>
      </c>
      <c r="B1950">
        <v>0</v>
      </c>
      <c r="D1950">
        <v>1.0740343347639485</v>
      </c>
      <c r="E1950">
        <v>0</v>
      </c>
    </row>
    <row r="1951" spans="1:5" x14ac:dyDescent="0.25">
      <c r="A1951">
        <v>1.0728831725616292</v>
      </c>
      <c r="B1951">
        <v>0</v>
      </c>
      <c r="D1951">
        <v>1.0728831725616292</v>
      </c>
      <c r="E1951">
        <v>0</v>
      </c>
    </row>
    <row r="1952" spans="1:5" x14ac:dyDescent="0.25">
      <c r="A1952">
        <v>1.0717344753747322</v>
      </c>
      <c r="B1952">
        <v>0</v>
      </c>
      <c r="D1952">
        <v>1.0717344753747322</v>
      </c>
      <c r="E1952">
        <v>0</v>
      </c>
    </row>
    <row r="1953" spans="1:5" x14ac:dyDescent="0.25">
      <c r="A1953">
        <v>1.0705882352941176</v>
      </c>
      <c r="B1953">
        <v>0</v>
      </c>
      <c r="D1953">
        <v>1.0705882352941176</v>
      </c>
      <c r="E1953">
        <v>0</v>
      </c>
    </row>
    <row r="1954" spans="1:5" x14ac:dyDescent="0.25">
      <c r="A1954">
        <v>1.0694444444444444</v>
      </c>
      <c r="B1954">
        <v>0</v>
      </c>
      <c r="D1954">
        <v>1.0694444444444444</v>
      </c>
      <c r="E1954">
        <v>0</v>
      </c>
    </row>
    <row r="1955" spans="1:5" x14ac:dyDescent="0.25">
      <c r="A1955">
        <v>1.0683030949839916</v>
      </c>
      <c r="B1955">
        <v>0</v>
      </c>
      <c r="D1955">
        <v>1.0683030949839916</v>
      </c>
      <c r="E1955">
        <v>0</v>
      </c>
    </row>
    <row r="1956" spans="1:5" x14ac:dyDescent="0.25">
      <c r="A1956">
        <v>1.0671641791044777</v>
      </c>
      <c r="B1956">
        <v>0</v>
      </c>
      <c r="D1956">
        <v>1.0671641791044777</v>
      </c>
      <c r="E1956">
        <v>0</v>
      </c>
    </row>
    <row r="1957" spans="1:5" x14ac:dyDescent="0.25">
      <c r="A1957">
        <v>1.066027689030884</v>
      </c>
      <c r="B1957">
        <v>0</v>
      </c>
      <c r="D1957">
        <v>1.066027689030884</v>
      </c>
      <c r="E1957">
        <v>0</v>
      </c>
    </row>
    <row r="1958" spans="1:5" x14ac:dyDescent="0.25">
      <c r="A1958">
        <v>1.0648936170212766</v>
      </c>
      <c r="B1958">
        <v>0</v>
      </c>
      <c r="D1958">
        <v>1.0648936170212766</v>
      </c>
      <c r="E1958">
        <v>0</v>
      </c>
    </row>
    <row r="1959" spans="1:5" x14ac:dyDescent="0.25">
      <c r="A1959">
        <v>1.0637619553666313</v>
      </c>
      <c r="B1959">
        <v>0</v>
      </c>
      <c r="D1959">
        <v>1.0637619553666313</v>
      </c>
      <c r="E1959">
        <v>0</v>
      </c>
    </row>
    <row r="1960" spans="1:5" x14ac:dyDescent="0.25">
      <c r="A1960">
        <v>1.0626326963906583</v>
      </c>
      <c r="B1960">
        <v>0</v>
      </c>
      <c r="D1960">
        <v>1.0626326963906583</v>
      </c>
      <c r="E1960">
        <v>0</v>
      </c>
    </row>
    <row r="1961" spans="1:5" x14ac:dyDescent="0.25">
      <c r="A1961">
        <v>1.0615058324496289</v>
      </c>
      <c r="B1961">
        <v>0</v>
      </c>
      <c r="D1961">
        <v>1.0615058324496289</v>
      </c>
      <c r="E1961">
        <v>0</v>
      </c>
    </row>
    <row r="1962" spans="1:5" x14ac:dyDescent="0.25">
      <c r="A1962">
        <v>1.0603813559322033</v>
      </c>
      <c r="B1962">
        <v>0</v>
      </c>
      <c r="D1962">
        <v>1.0603813559322033</v>
      </c>
      <c r="E1962">
        <v>0</v>
      </c>
    </row>
    <row r="1963" spans="1:5" x14ac:dyDescent="0.25">
      <c r="A1963">
        <v>1.0592592592592593</v>
      </c>
      <c r="B1963">
        <v>0</v>
      </c>
      <c r="D1963">
        <v>1.0592592592592593</v>
      </c>
      <c r="E1963">
        <v>0</v>
      </c>
    </row>
    <row r="1964" spans="1:5" x14ac:dyDescent="0.25">
      <c r="A1964">
        <v>1.058139534883721</v>
      </c>
      <c r="B1964">
        <v>0</v>
      </c>
      <c r="D1964">
        <v>1.058139534883721</v>
      </c>
      <c r="E1964">
        <v>0</v>
      </c>
    </row>
    <row r="1965" spans="1:5" x14ac:dyDescent="0.25">
      <c r="A1965">
        <v>1.0570221752903906</v>
      </c>
      <c r="B1965">
        <v>0</v>
      </c>
      <c r="D1965">
        <v>1.0570221752903906</v>
      </c>
      <c r="E1965">
        <v>0</v>
      </c>
    </row>
    <row r="1966" spans="1:5" x14ac:dyDescent="0.25">
      <c r="A1966">
        <v>1.0559071729957805</v>
      </c>
      <c r="B1966">
        <v>0</v>
      </c>
      <c r="D1966">
        <v>1.0559071729957805</v>
      </c>
      <c r="E1966">
        <v>0</v>
      </c>
    </row>
    <row r="1967" spans="1:5" x14ac:dyDescent="0.25">
      <c r="A1967">
        <v>1.0547945205479452</v>
      </c>
      <c r="B1967">
        <v>0</v>
      </c>
      <c r="D1967">
        <v>1.0547945205479452</v>
      </c>
      <c r="E1967">
        <v>0</v>
      </c>
    </row>
    <row r="1968" spans="1:5" x14ac:dyDescent="0.25">
      <c r="A1968">
        <v>1.0536842105263158</v>
      </c>
      <c r="B1968">
        <v>0</v>
      </c>
      <c r="D1968">
        <v>1.0536842105263158</v>
      </c>
      <c r="E1968">
        <v>0</v>
      </c>
    </row>
    <row r="1969" spans="1:5" x14ac:dyDescent="0.25">
      <c r="A1969">
        <v>1.0525762355415351</v>
      </c>
      <c r="B1969">
        <v>0</v>
      </c>
      <c r="D1969">
        <v>1.0525762355415351</v>
      </c>
      <c r="E1969">
        <v>0</v>
      </c>
    </row>
    <row r="1970" spans="1:5" x14ac:dyDescent="0.25">
      <c r="A1970">
        <v>1.0514705882352942</v>
      </c>
      <c r="B1970">
        <v>0</v>
      </c>
      <c r="D1970">
        <v>1.0514705882352942</v>
      </c>
      <c r="E1970">
        <v>0</v>
      </c>
    </row>
    <row r="1971" spans="1:5" x14ac:dyDescent="0.25">
      <c r="A1971">
        <v>1.050367261280168</v>
      </c>
      <c r="B1971">
        <v>0</v>
      </c>
      <c r="D1971">
        <v>1.050367261280168</v>
      </c>
      <c r="E1971">
        <v>0</v>
      </c>
    </row>
    <row r="1972" spans="1:5" x14ac:dyDescent="0.25">
      <c r="A1972">
        <v>1.049266247379455</v>
      </c>
      <c r="B1972">
        <v>0</v>
      </c>
      <c r="D1972">
        <v>1.049266247379455</v>
      </c>
      <c r="E1972">
        <v>0</v>
      </c>
    </row>
    <row r="1973" spans="1:5" x14ac:dyDescent="0.25">
      <c r="A1973">
        <v>1.0481675392670158</v>
      </c>
      <c r="B1973">
        <v>0</v>
      </c>
      <c r="D1973">
        <v>1.0481675392670158</v>
      </c>
      <c r="E1973">
        <v>0</v>
      </c>
    </row>
    <row r="1974" spans="1:5" x14ac:dyDescent="0.25">
      <c r="A1974">
        <v>1.0470711297071129</v>
      </c>
      <c r="B1974">
        <v>0</v>
      </c>
      <c r="D1974">
        <v>1.0470711297071129</v>
      </c>
      <c r="E1974">
        <v>0</v>
      </c>
    </row>
    <row r="1975" spans="1:5" x14ac:dyDescent="0.25">
      <c r="A1975">
        <v>1.0459770114942528</v>
      </c>
      <c r="B1975">
        <v>0</v>
      </c>
      <c r="D1975">
        <v>1.0459770114942528</v>
      </c>
      <c r="E1975">
        <v>0</v>
      </c>
    </row>
    <row r="1976" spans="1:5" x14ac:dyDescent="0.25">
      <c r="A1976">
        <v>1.0448851774530272</v>
      </c>
      <c r="B1976">
        <v>0</v>
      </c>
      <c r="D1976">
        <v>1.0448851774530272</v>
      </c>
      <c r="E1976">
        <v>0</v>
      </c>
    </row>
    <row r="1977" spans="1:5" x14ac:dyDescent="0.25">
      <c r="A1977">
        <v>1.0437956204379562</v>
      </c>
      <c r="B1977">
        <v>0</v>
      </c>
      <c r="D1977">
        <v>1.0437956204379562</v>
      </c>
      <c r="E1977">
        <v>0</v>
      </c>
    </row>
    <row r="1978" spans="1:5" x14ac:dyDescent="0.25">
      <c r="A1978">
        <v>1.0427083333333333</v>
      </c>
      <c r="B1978">
        <v>0</v>
      </c>
      <c r="D1978">
        <v>1.0427083333333333</v>
      </c>
      <c r="E1978">
        <v>0</v>
      </c>
    </row>
    <row r="1979" spans="1:5" x14ac:dyDescent="0.25">
      <c r="A1979">
        <v>1.0416233090530698</v>
      </c>
      <c r="B1979">
        <v>0</v>
      </c>
      <c r="D1979">
        <v>1.0416233090530698</v>
      </c>
      <c r="E1979">
        <v>0</v>
      </c>
    </row>
    <row r="1980" spans="1:5" x14ac:dyDescent="0.25">
      <c r="A1980">
        <v>1.0405405405405406</v>
      </c>
      <c r="B1980">
        <v>0</v>
      </c>
      <c r="D1980">
        <v>1.0405405405405406</v>
      </c>
      <c r="E1980">
        <v>0</v>
      </c>
    </row>
    <row r="1981" spans="1:5" x14ac:dyDescent="0.25">
      <c r="A1981">
        <v>1.0394600207684321</v>
      </c>
      <c r="B1981">
        <v>0</v>
      </c>
      <c r="D1981">
        <v>1.0394600207684321</v>
      </c>
      <c r="E1981">
        <v>0</v>
      </c>
    </row>
    <row r="1982" spans="1:5" x14ac:dyDescent="0.25">
      <c r="A1982">
        <v>1.0383817427385891</v>
      </c>
      <c r="B1982">
        <v>0</v>
      </c>
      <c r="D1982">
        <v>1.0383817427385891</v>
      </c>
      <c r="E1982">
        <v>0</v>
      </c>
    </row>
    <row r="1983" spans="1:5" x14ac:dyDescent="0.25">
      <c r="A1983">
        <v>1.0373056994818652</v>
      </c>
      <c r="B1983">
        <v>0</v>
      </c>
      <c r="D1983">
        <v>1.0373056994818652</v>
      </c>
      <c r="E1983">
        <v>0</v>
      </c>
    </row>
    <row r="1984" spans="1:5" x14ac:dyDescent="0.25">
      <c r="A1984">
        <v>1.036231884057971</v>
      </c>
      <c r="B1984">
        <v>0</v>
      </c>
      <c r="D1984">
        <v>1.036231884057971</v>
      </c>
      <c r="E1984">
        <v>0</v>
      </c>
    </row>
    <row r="1985" spans="1:5" x14ac:dyDescent="0.25">
      <c r="A1985">
        <v>1.0351602895553258</v>
      </c>
      <c r="B1985">
        <v>0</v>
      </c>
      <c r="D1985">
        <v>1.0351602895553258</v>
      </c>
      <c r="E1985">
        <v>0</v>
      </c>
    </row>
    <row r="1986" spans="1:5" x14ac:dyDescent="0.25">
      <c r="A1986">
        <v>1.0340909090909092</v>
      </c>
      <c r="B1986">
        <v>0</v>
      </c>
      <c r="D1986">
        <v>1.0340909090909092</v>
      </c>
      <c r="E1986">
        <v>0</v>
      </c>
    </row>
    <row r="1987" spans="1:5" x14ac:dyDescent="0.25">
      <c r="A1987">
        <v>1.0330237358101135</v>
      </c>
      <c r="B1987">
        <v>0</v>
      </c>
      <c r="D1987">
        <v>1.0330237358101135</v>
      </c>
      <c r="E1987">
        <v>0</v>
      </c>
    </row>
    <row r="1988" spans="1:5" x14ac:dyDescent="0.25">
      <c r="A1988">
        <v>1.0319587628865978</v>
      </c>
      <c r="B1988">
        <v>0</v>
      </c>
      <c r="D1988">
        <v>1.0319587628865978</v>
      </c>
      <c r="E1988">
        <v>0</v>
      </c>
    </row>
    <row r="1989" spans="1:5" x14ac:dyDescent="0.25">
      <c r="A1989">
        <v>1.0308959835221421</v>
      </c>
      <c r="B1989">
        <v>0</v>
      </c>
      <c r="D1989">
        <v>1.0308959835221421</v>
      </c>
      <c r="E1989">
        <v>0</v>
      </c>
    </row>
    <row r="1990" spans="1:5" x14ac:dyDescent="0.25">
      <c r="A1990">
        <v>1.0298353909465021</v>
      </c>
      <c r="B1990">
        <v>0</v>
      </c>
      <c r="D1990">
        <v>1.0298353909465021</v>
      </c>
      <c r="E1990">
        <v>0</v>
      </c>
    </row>
    <row r="1991" spans="1:5" x14ac:dyDescent="0.25">
      <c r="A1991">
        <v>1.0287769784172662</v>
      </c>
      <c r="B1991">
        <v>0</v>
      </c>
      <c r="D1991">
        <v>1.0287769784172662</v>
      </c>
      <c r="E1991">
        <v>0</v>
      </c>
    </row>
    <row r="1992" spans="1:5" x14ac:dyDescent="0.25">
      <c r="A1992">
        <v>1.0277207392197125</v>
      </c>
      <c r="B1992">
        <v>0</v>
      </c>
      <c r="D1992">
        <v>1.0277207392197125</v>
      </c>
      <c r="E1992">
        <v>0</v>
      </c>
    </row>
    <row r="1993" spans="1:5" x14ac:dyDescent="0.25">
      <c r="A1993">
        <v>1.0266666666666666</v>
      </c>
      <c r="B1993">
        <v>0</v>
      </c>
      <c r="D1993">
        <v>1.0266666666666666</v>
      </c>
      <c r="E1993">
        <v>0</v>
      </c>
    </row>
    <row r="1994" spans="1:5" x14ac:dyDescent="0.25">
      <c r="A1994">
        <v>1.0256147540983607</v>
      </c>
      <c r="B1994">
        <v>0</v>
      </c>
      <c r="D1994">
        <v>1.0256147540983607</v>
      </c>
      <c r="E1994">
        <v>0</v>
      </c>
    </row>
    <row r="1995" spans="1:5" x14ac:dyDescent="0.25">
      <c r="A1995">
        <v>1.0245649948822928</v>
      </c>
      <c r="B1995">
        <v>0</v>
      </c>
      <c r="D1995">
        <v>1.0245649948822928</v>
      </c>
      <c r="E1995">
        <v>0</v>
      </c>
    </row>
    <row r="1996" spans="1:5" x14ac:dyDescent="0.25">
      <c r="A1996">
        <v>1.0235173824130879</v>
      </c>
      <c r="B1996">
        <v>0</v>
      </c>
      <c r="D1996">
        <v>1.0235173824130879</v>
      </c>
      <c r="E1996">
        <v>0</v>
      </c>
    </row>
    <row r="1997" spans="1:5" x14ac:dyDescent="0.25">
      <c r="A1997">
        <v>1.0224719101123596</v>
      </c>
      <c r="B1997">
        <v>0</v>
      </c>
      <c r="D1997">
        <v>1.0224719101123596</v>
      </c>
      <c r="E1997">
        <v>0</v>
      </c>
    </row>
    <row r="1998" spans="1:5" x14ac:dyDescent="0.25">
      <c r="A1998">
        <v>1.0214285714285714</v>
      </c>
      <c r="B1998">
        <v>0</v>
      </c>
      <c r="D1998">
        <v>1.0214285714285714</v>
      </c>
      <c r="E1998">
        <v>0</v>
      </c>
    </row>
    <row r="1999" spans="1:5" x14ac:dyDescent="0.25">
      <c r="A1999">
        <v>1.0203873598369011</v>
      </c>
      <c r="B1999">
        <v>0</v>
      </c>
      <c r="D1999">
        <v>1.0203873598369011</v>
      </c>
      <c r="E1999">
        <v>0</v>
      </c>
    </row>
    <row r="2000" spans="1:5" x14ac:dyDescent="0.25">
      <c r="A2000">
        <v>1.0193482688391038</v>
      </c>
      <c r="B2000">
        <v>0</v>
      </c>
      <c r="D2000">
        <v>1.0193482688391038</v>
      </c>
      <c r="E2000">
        <v>0</v>
      </c>
    </row>
    <row r="2001" spans="1:5" x14ac:dyDescent="0.25">
      <c r="A2001">
        <v>1.0183112919633774</v>
      </c>
      <c r="B2001">
        <v>0</v>
      </c>
      <c r="D2001">
        <v>1.0183112919633774</v>
      </c>
      <c r="E2001">
        <v>0</v>
      </c>
    </row>
    <row r="2002" spans="1:5" x14ac:dyDescent="0.25">
      <c r="A2002">
        <v>1.0172764227642277</v>
      </c>
      <c r="B2002">
        <v>0</v>
      </c>
      <c r="D2002">
        <v>1.0172764227642277</v>
      </c>
      <c r="E2002">
        <v>0</v>
      </c>
    </row>
    <row r="2003" spans="1:5" x14ac:dyDescent="0.25">
      <c r="A2003">
        <v>1.016243654822335</v>
      </c>
      <c r="B2003">
        <v>0</v>
      </c>
      <c r="D2003">
        <v>1.016243654822335</v>
      </c>
      <c r="E2003">
        <v>0</v>
      </c>
    </row>
    <row r="2004" spans="1:5" x14ac:dyDescent="0.25">
      <c r="A2004">
        <v>1.015212981744422</v>
      </c>
      <c r="B2004">
        <v>0</v>
      </c>
      <c r="D2004">
        <v>1.015212981744422</v>
      </c>
      <c r="E2004">
        <v>0</v>
      </c>
    </row>
    <row r="2005" spans="1:5" x14ac:dyDescent="0.25">
      <c r="A2005">
        <v>1.0141843971631206</v>
      </c>
      <c r="B2005">
        <v>0</v>
      </c>
      <c r="D2005">
        <v>1.0141843971631206</v>
      </c>
      <c r="E2005">
        <v>0</v>
      </c>
    </row>
    <row r="2006" spans="1:5" x14ac:dyDescent="0.25">
      <c r="A2006">
        <v>1.013157894736842</v>
      </c>
      <c r="B2006">
        <v>0</v>
      </c>
      <c r="D2006">
        <v>1.013157894736842</v>
      </c>
      <c r="E2006">
        <v>0</v>
      </c>
    </row>
    <row r="2007" spans="1:5" x14ac:dyDescent="0.25">
      <c r="A2007">
        <v>1.0121334681496461</v>
      </c>
      <c r="B2007">
        <v>0</v>
      </c>
      <c r="D2007">
        <v>1.0121334681496461</v>
      </c>
      <c r="E2007">
        <v>0</v>
      </c>
    </row>
    <row r="2008" spans="1:5" x14ac:dyDescent="0.25">
      <c r="A2008">
        <v>1.0111111111111111</v>
      </c>
      <c r="B2008">
        <v>0</v>
      </c>
      <c r="D2008">
        <v>1.0111111111111111</v>
      </c>
      <c r="E2008">
        <v>0</v>
      </c>
    </row>
    <row r="2009" spans="1:5" x14ac:dyDescent="0.25">
      <c r="A2009">
        <v>1.0100908173562058</v>
      </c>
      <c r="B2009">
        <v>0</v>
      </c>
      <c r="D2009">
        <v>1.0100908173562058</v>
      </c>
      <c r="E2009">
        <v>0</v>
      </c>
    </row>
    <row r="2010" spans="1:5" x14ac:dyDescent="0.25">
      <c r="A2010">
        <v>1.0090725806451613</v>
      </c>
      <c r="B2010">
        <v>0</v>
      </c>
      <c r="D2010">
        <v>1.0090725806451613</v>
      </c>
      <c r="E2010">
        <v>0</v>
      </c>
    </row>
    <row r="2011" spans="1:5" x14ac:dyDescent="0.25">
      <c r="A2011">
        <v>1.0080563947633434</v>
      </c>
      <c r="B2011">
        <v>0</v>
      </c>
      <c r="D2011">
        <v>1.0080563947633434</v>
      </c>
      <c r="E2011">
        <v>0</v>
      </c>
    </row>
    <row r="2012" spans="1:5" x14ac:dyDescent="0.25">
      <c r="A2012">
        <v>1.0070422535211268</v>
      </c>
      <c r="B2012">
        <v>0</v>
      </c>
      <c r="D2012">
        <v>1.0070422535211268</v>
      </c>
      <c r="E2012">
        <v>0</v>
      </c>
    </row>
    <row r="2013" spans="1:5" x14ac:dyDescent="0.25">
      <c r="A2013">
        <v>1.0060301507537688</v>
      </c>
      <c r="B2013">
        <v>0</v>
      </c>
      <c r="D2013">
        <v>1.0060301507537688</v>
      </c>
      <c r="E2013">
        <v>0</v>
      </c>
    </row>
    <row r="2014" spans="1:5" x14ac:dyDescent="0.25">
      <c r="A2014">
        <v>1.0050200803212852</v>
      </c>
      <c r="B2014">
        <v>0</v>
      </c>
      <c r="D2014">
        <v>1.0050200803212852</v>
      </c>
      <c r="E2014">
        <v>0</v>
      </c>
    </row>
    <row r="2015" spans="1:5" x14ac:dyDescent="0.25">
      <c r="A2015">
        <v>1.0040120361083249</v>
      </c>
      <c r="B2015">
        <v>0</v>
      </c>
      <c r="D2015">
        <v>1.0040120361083249</v>
      </c>
      <c r="E2015">
        <v>0</v>
      </c>
    </row>
    <row r="2016" spans="1:5" x14ac:dyDescent="0.25">
      <c r="A2016">
        <v>1.003006012024048</v>
      </c>
      <c r="B2016">
        <v>0</v>
      </c>
      <c r="D2016">
        <v>1.003006012024048</v>
      </c>
      <c r="E2016">
        <v>0</v>
      </c>
    </row>
    <row r="2017" spans="1:5" x14ac:dyDescent="0.25">
      <c r="A2017">
        <v>1.002002002002002</v>
      </c>
      <c r="B2017">
        <v>0</v>
      </c>
      <c r="D2017">
        <v>1.002002002002002</v>
      </c>
      <c r="E2017">
        <v>0</v>
      </c>
    </row>
    <row r="2018" spans="1:5" x14ac:dyDescent="0.25">
      <c r="A2018">
        <v>1.0009999999999999</v>
      </c>
      <c r="B2018">
        <v>0</v>
      </c>
      <c r="D2018">
        <v>1.0009999999999999</v>
      </c>
      <c r="E201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workbookViewId="0"/>
  </sheetViews>
  <sheetFormatPr defaultRowHeight="15" x14ac:dyDescent="0.25"/>
  <cols>
    <col min="1" max="2" width="15" customWidth="1"/>
    <col min="3" max="4" width="20" customWidth="1"/>
    <col min="5" max="5" width="30" customWidth="1"/>
    <col min="6" max="6" width="5" customWidth="1"/>
  </cols>
  <sheetData>
    <row r="1" spans="1:4" ht="18.75" x14ac:dyDescent="0.3">
      <c r="A1" s="1" t="s">
        <v>486</v>
      </c>
    </row>
    <row r="3" spans="1:4" x14ac:dyDescent="0.25">
      <c r="A3" s="5" t="s">
        <v>487</v>
      </c>
    </row>
    <row r="5" spans="1:4" x14ac:dyDescent="0.25">
      <c r="A5" s="5" t="s">
        <v>488</v>
      </c>
    </row>
    <row r="6" spans="1:4" x14ac:dyDescent="0.25">
      <c r="A6" s="6" t="s">
        <v>489</v>
      </c>
      <c r="B6" s="6" t="s">
        <v>490</v>
      </c>
    </row>
    <row r="7" spans="1:4" x14ac:dyDescent="0.25">
      <c r="A7" s="7">
        <v>1</v>
      </c>
      <c r="B7" s="7">
        <v>10</v>
      </c>
    </row>
    <row r="8" spans="1:4" x14ac:dyDescent="0.25">
      <c r="A8" s="7">
        <v>2</v>
      </c>
      <c r="B8" s="7">
        <v>20</v>
      </c>
    </row>
    <row r="9" spans="1:4" x14ac:dyDescent="0.25">
      <c r="A9" s="7">
        <v>3</v>
      </c>
      <c r="B9" s="7">
        <v>35</v>
      </c>
    </row>
    <row r="10" spans="1:4" x14ac:dyDescent="0.25">
      <c r="A10" s="7">
        <v>4</v>
      </c>
      <c r="B10" s="7">
        <v>55</v>
      </c>
    </row>
    <row r="11" spans="1:4" x14ac:dyDescent="0.25">
      <c r="A11" s="7">
        <v>5</v>
      </c>
      <c r="B11" s="7">
        <v>80</v>
      </c>
    </row>
    <row r="13" spans="1:4" x14ac:dyDescent="0.25">
      <c r="A13" s="5" t="s">
        <v>491</v>
      </c>
    </row>
    <row r="14" spans="1:4" x14ac:dyDescent="0.25">
      <c r="A14" s="6" t="s">
        <v>489</v>
      </c>
      <c r="B14" s="6" t="s">
        <v>492</v>
      </c>
      <c r="C14" s="6" t="s">
        <v>493</v>
      </c>
      <c r="D14" s="6" t="s">
        <v>382</v>
      </c>
    </row>
    <row r="15" spans="1:4" x14ac:dyDescent="0.25">
      <c r="A15" s="3">
        <v>0.5</v>
      </c>
      <c r="B15" s="3">
        <f>_xll.ACT_INTERP($A$7:$A$11, $B$7:$B$11, A15, "FLAT")</f>
        <v>10</v>
      </c>
      <c r="C15" s="3">
        <f>_xll.ACT_INTERP($A$7:$A$11, $B$7:$B$11, A15, "GRADIENT")</f>
        <v>5</v>
      </c>
      <c r="D15" s="3" t="s">
        <v>494</v>
      </c>
    </row>
    <row r="16" spans="1:4" x14ac:dyDescent="0.25">
      <c r="A16" s="3">
        <v>1.5</v>
      </c>
      <c r="B16" s="3">
        <f>_xll.ACT_INTERP($A$7:$A$11, $B$7:$B$11, A16, "FLAT")</f>
        <v>15</v>
      </c>
      <c r="C16" s="3">
        <f>_xll.ACT_INTERP($A$7:$A$11, $B$7:$B$11, A16, "GRADIENT")</f>
        <v>15</v>
      </c>
      <c r="D16" s="3" t="s">
        <v>495</v>
      </c>
    </row>
    <row r="17" spans="1:4" x14ac:dyDescent="0.25">
      <c r="A17" s="3">
        <v>2.5</v>
      </c>
      <c r="B17" s="3">
        <f>_xll.ACT_INTERP($A$7:$A$11, $B$7:$B$11, A17, "FLAT")</f>
        <v>27.5</v>
      </c>
      <c r="C17" s="3">
        <f>_xll.ACT_INTERP($A$7:$A$11, $B$7:$B$11, A17, "GRADIENT")</f>
        <v>27.5</v>
      </c>
      <c r="D17" s="3" t="s">
        <v>495</v>
      </c>
    </row>
    <row r="18" spans="1:4" x14ac:dyDescent="0.25">
      <c r="A18" s="3">
        <v>3.5</v>
      </c>
      <c r="B18" s="3">
        <f>_xll.ACT_INTERP($A$7:$A$11, $B$7:$B$11, A18, "FLAT")</f>
        <v>45</v>
      </c>
      <c r="C18" s="3">
        <f>_xll.ACT_INTERP($A$7:$A$11, $B$7:$B$11, A18, "GRADIENT")</f>
        <v>45</v>
      </c>
      <c r="D18" s="3" t="s">
        <v>495</v>
      </c>
    </row>
    <row r="19" spans="1:4" x14ac:dyDescent="0.25">
      <c r="A19" s="3">
        <v>4.5</v>
      </c>
      <c r="B19" s="3">
        <f>_xll.ACT_INTERP($A$7:$A$11, $B$7:$B$11, A19, "FLAT")</f>
        <v>67.5</v>
      </c>
      <c r="C19" s="3">
        <f>_xll.ACT_INTERP($A$7:$A$11, $B$7:$B$11, A19, "GRADIENT")</f>
        <v>67.5</v>
      </c>
      <c r="D19" s="3" t="s">
        <v>495</v>
      </c>
    </row>
    <row r="20" spans="1:4" x14ac:dyDescent="0.25">
      <c r="A20" s="3">
        <v>5.5</v>
      </c>
      <c r="B20" s="3">
        <f>_xll.ACT_INTERP($A$7:$A$11, $B$7:$B$11, A20, "FLAT")</f>
        <v>80</v>
      </c>
      <c r="C20" s="3">
        <f>_xll.ACT_INTERP($A$7:$A$11, $B$7:$B$11, A20, "GRADIENT")</f>
        <v>92.5</v>
      </c>
      <c r="D20" s="3" t="s">
        <v>496</v>
      </c>
    </row>
    <row r="21" spans="1:4" x14ac:dyDescent="0.25">
      <c r="A21" s="3">
        <v>6</v>
      </c>
      <c r="B21" s="3">
        <f>_xll.ACT_INTERP($A$7:$A$11, $B$7:$B$11, A21, "FLAT")</f>
        <v>80</v>
      </c>
      <c r="C21" s="3">
        <f>_xll.ACT_INTERP($A$7:$A$11, $B$7:$B$11, A21, "GRADIENT")</f>
        <v>105</v>
      </c>
      <c r="D21" s="3" t="s">
        <v>496</v>
      </c>
    </row>
    <row r="23" spans="1:4" x14ac:dyDescent="0.25">
      <c r="A23" s="5" t="s">
        <v>497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1"/>
  <sheetViews>
    <sheetView workbookViewId="0"/>
  </sheetViews>
  <sheetFormatPr defaultRowHeight="15" x14ac:dyDescent="0.25"/>
  <cols>
    <col min="1" max="1" width="10" customWidth="1"/>
    <col min="2" max="11" width="12" customWidth="1"/>
    <col min="12" max="12" width="5" customWidth="1"/>
    <col min="13" max="13" width="15" customWidth="1"/>
  </cols>
  <sheetData>
    <row r="1" spans="1:11" ht="18.75" x14ac:dyDescent="0.3">
      <c r="A1" s="1" t="s">
        <v>498</v>
      </c>
    </row>
    <row r="3" spans="1:11" x14ac:dyDescent="0.25">
      <c r="A3" s="5" t="s">
        <v>499</v>
      </c>
    </row>
    <row r="5" spans="1:11" x14ac:dyDescent="0.25">
      <c r="A5" s="5" t="s">
        <v>500</v>
      </c>
    </row>
    <row r="6" spans="1:11" x14ac:dyDescent="0.25">
      <c r="A6" s="6" t="s">
        <v>501</v>
      </c>
      <c r="B6" s="6" t="s">
        <v>502</v>
      </c>
      <c r="C6" s="6" t="s">
        <v>503</v>
      </c>
      <c r="D6" s="6" t="s">
        <v>504</v>
      </c>
      <c r="E6" s="6" t="s">
        <v>505</v>
      </c>
      <c r="F6" s="6" t="s">
        <v>506</v>
      </c>
      <c r="G6" s="6" t="s">
        <v>507</v>
      </c>
      <c r="H6" s="6" t="s">
        <v>508</v>
      </c>
      <c r="I6" s="6" t="s">
        <v>509</v>
      </c>
      <c r="J6" s="6" t="s">
        <v>510</v>
      </c>
      <c r="K6" s="6" t="s">
        <v>511</v>
      </c>
    </row>
    <row r="7" spans="1:11" x14ac:dyDescent="0.25">
      <c r="A7" s="3">
        <v>1</v>
      </c>
      <c r="B7" s="8">
        <v>357848</v>
      </c>
      <c r="C7" s="8">
        <v>1124788</v>
      </c>
      <c r="D7" s="8">
        <v>1735330</v>
      </c>
      <c r="E7" s="8">
        <v>2218270</v>
      </c>
      <c r="F7" s="8">
        <v>2745596</v>
      </c>
      <c r="G7" s="8">
        <v>3319994</v>
      </c>
      <c r="H7" s="8">
        <v>3466336</v>
      </c>
      <c r="I7" s="8">
        <v>3606286</v>
      </c>
      <c r="J7" s="8">
        <v>3833515</v>
      </c>
      <c r="K7" s="8">
        <v>3901463</v>
      </c>
    </row>
    <row r="8" spans="1:11" x14ac:dyDescent="0.25">
      <c r="A8" s="3">
        <v>2</v>
      </c>
      <c r="B8" s="8">
        <v>352118</v>
      </c>
      <c r="C8" s="8">
        <v>1236139</v>
      </c>
      <c r="D8" s="8">
        <v>2170033</v>
      </c>
      <c r="E8" s="8">
        <v>3353322</v>
      </c>
      <c r="F8" s="8">
        <v>3799067</v>
      </c>
      <c r="G8" s="8">
        <v>4120063</v>
      </c>
      <c r="H8" s="8">
        <v>4647867</v>
      </c>
      <c r="I8" s="8">
        <v>4914039</v>
      </c>
      <c r="J8" s="8">
        <v>5339085</v>
      </c>
      <c r="K8" s="3"/>
    </row>
    <row r="9" spans="1:11" x14ac:dyDescent="0.25">
      <c r="A9" s="3">
        <v>3</v>
      </c>
      <c r="B9" s="8">
        <v>290507</v>
      </c>
      <c r="C9" s="8">
        <v>1292306</v>
      </c>
      <c r="D9" s="8">
        <v>2218525</v>
      </c>
      <c r="E9" s="8">
        <v>3235179</v>
      </c>
      <c r="F9" s="8">
        <v>3985995</v>
      </c>
      <c r="G9" s="8">
        <v>4132918</v>
      </c>
      <c r="H9" s="8">
        <v>4628910</v>
      </c>
      <c r="I9" s="8">
        <v>4909315</v>
      </c>
      <c r="J9" s="3"/>
      <c r="K9" s="3"/>
    </row>
    <row r="10" spans="1:11" x14ac:dyDescent="0.25">
      <c r="A10" s="3">
        <v>4</v>
      </c>
      <c r="B10" s="8">
        <v>310608</v>
      </c>
      <c r="C10" s="8">
        <v>1418858</v>
      </c>
      <c r="D10" s="8">
        <v>2195047</v>
      </c>
      <c r="E10" s="8">
        <v>3757447</v>
      </c>
      <c r="F10" s="8">
        <v>4029929</v>
      </c>
      <c r="G10" s="8">
        <v>4381982</v>
      </c>
      <c r="H10" s="8">
        <v>4588268</v>
      </c>
      <c r="I10" s="3"/>
      <c r="J10" s="3"/>
      <c r="K10" s="3"/>
    </row>
    <row r="11" spans="1:11" x14ac:dyDescent="0.25">
      <c r="A11" s="3">
        <v>5</v>
      </c>
      <c r="B11" s="8">
        <v>443160</v>
      </c>
      <c r="C11" s="8">
        <v>1136350</v>
      </c>
      <c r="D11" s="8">
        <v>2128333</v>
      </c>
      <c r="E11" s="8">
        <v>2897821</v>
      </c>
      <c r="F11" s="8">
        <v>3402672</v>
      </c>
      <c r="G11" s="8">
        <v>3873311</v>
      </c>
      <c r="H11" s="3"/>
      <c r="I11" s="3"/>
      <c r="J11" s="3"/>
      <c r="K11" s="3"/>
    </row>
    <row r="12" spans="1:11" x14ac:dyDescent="0.25">
      <c r="A12" s="3">
        <v>6</v>
      </c>
      <c r="B12" s="8">
        <v>396132</v>
      </c>
      <c r="C12" s="8">
        <v>1333217</v>
      </c>
      <c r="D12" s="8">
        <v>2180715</v>
      </c>
      <c r="E12" s="8">
        <v>2985752</v>
      </c>
      <c r="F12" s="8">
        <v>3691712</v>
      </c>
      <c r="G12" s="3"/>
      <c r="H12" s="3"/>
      <c r="I12" s="3"/>
      <c r="J12" s="3"/>
      <c r="K12" s="3"/>
    </row>
    <row r="13" spans="1:11" x14ac:dyDescent="0.25">
      <c r="A13" s="3">
        <v>7</v>
      </c>
      <c r="B13" s="8">
        <v>440832</v>
      </c>
      <c r="C13" s="8">
        <v>1288463</v>
      </c>
      <c r="D13" s="8">
        <v>2419861</v>
      </c>
      <c r="E13" s="8">
        <v>3483130</v>
      </c>
      <c r="F13" s="3"/>
      <c r="G13" s="3"/>
      <c r="H13" s="3"/>
      <c r="I13" s="3"/>
      <c r="J13" s="3"/>
      <c r="K13" s="3"/>
    </row>
    <row r="14" spans="1:11" x14ac:dyDescent="0.25">
      <c r="A14" s="3">
        <v>8</v>
      </c>
      <c r="B14" s="8">
        <v>359480</v>
      </c>
      <c r="C14" s="8">
        <v>1421128</v>
      </c>
      <c r="D14" s="8">
        <v>2864498</v>
      </c>
      <c r="E14" s="3"/>
      <c r="F14" s="3"/>
      <c r="G14" s="3"/>
      <c r="H14" s="3"/>
      <c r="I14" s="3"/>
      <c r="J14" s="3"/>
      <c r="K14" s="3"/>
    </row>
    <row r="15" spans="1:11" x14ac:dyDescent="0.25">
      <c r="A15" s="3">
        <v>9</v>
      </c>
      <c r="B15" s="8">
        <v>376686</v>
      </c>
      <c r="C15" s="8">
        <v>1363294</v>
      </c>
      <c r="D15" s="3"/>
      <c r="E15" s="3"/>
      <c r="F15" s="3"/>
      <c r="G15" s="3"/>
      <c r="H15" s="3"/>
      <c r="I15" s="3"/>
      <c r="J15" s="3"/>
      <c r="K15" s="3"/>
    </row>
    <row r="16" spans="1:11" x14ac:dyDescent="0.25">
      <c r="A16" s="3">
        <v>10</v>
      </c>
      <c r="B16" s="8">
        <v>344014</v>
      </c>
      <c r="C16" s="3"/>
      <c r="D16" s="3"/>
      <c r="E16" s="3"/>
      <c r="F16" s="3"/>
      <c r="G16" s="3"/>
      <c r="H16" s="3"/>
      <c r="I16" s="3"/>
      <c r="J16" s="3"/>
      <c r="K16" s="3"/>
    </row>
    <row r="18" spans="1:10" x14ac:dyDescent="0.25">
      <c r="A18" s="5" t="s">
        <v>512</v>
      </c>
    </row>
    <row r="19" spans="1:10" x14ac:dyDescent="0.25">
      <c r="A19" s="5" t="s">
        <v>513</v>
      </c>
    </row>
    <row r="20" spans="1:10" x14ac:dyDescent="0.25">
      <c r="A20" s="6" t="s">
        <v>514</v>
      </c>
      <c r="B20" s="6" t="s">
        <v>515</v>
      </c>
      <c r="C20" s="6" t="s">
        <v>516</v>
      </c>
      <c r="D20" s="6" t="s">
        <v>517</v>
      </c>
      <c r="E20" s="6" t="s">
        <v>518</v>
      </c>
      <c r="F20" s="6" t="s">
        <v>519</v>
      </c>
      <c r="G20" s="6" t="s">
        <v>520</v>
      </c>
      <c r="H20" s="6" t="s">
        <v>521</v>
      </c>
      <c r="I20" s="6" t="s">
        <v>522</v>
      </c>
      <c r="J20" s="6" t="s">
        <v>523</v>
      </c>
    </row>
    <row r="21" spans="1:10" x14ac:dyDescent="0.25">
      <c r="A21" s="3" t="s">
        <v>524</v>
      </c>
      <c r="B21" s="3" cm="1">
        <f t="array" ref="B21">INDEX(_xll.ACT_CL_FACTORS(B7:K16), 1)</f>
        <v>3.4906065479322863</v>
      </c>
      <c r="C21" s="3" cm="1">
        <f t="array" ref="C21">INDEX(_xll.ACT_CL_FACTORS(B7:K16), 2)</f>
        <v>1.7473326421004893</v>
      </c>
      <c r="D21" s="3" cm="1">
        <f t="array" ref="D21">INDEX(_xll.ACT_CL_FACTORS(B7:K16), 3)</f>
        <v>1.4574128360182361</v>
      </c>
      <c r="E21" s="3" cm="1">
        <f t="array" ref="E21">INDEX(_xll.ACT_CL_FACTORS(B7:K16), 4)</f>
        <v>1.1738517093997867</v>
      </c>
      <c r="F21" s="3" cm="1">
        <f t="array" ref="F21">INDEX(_xll.ACT_CL_FACTORS(B7:K16), 5)</f>
        <v>1.1038235322443439</v>
      </c>
      <c r="G21" s="3" cm="1">
        <f t="array" ref="G21">INDEX(_xll.ACT_CL_FACTORS(B7:K16), 6)</f>
        <v>1.0862693644363943</v>
      </c>
      <c r="H21" s="3" cm="1">
        <f t="array" ref="H21">INDEX(_xll.ACT_CL_FACTORS(B7:K16), 7)</f>
        <v>1.0538743555048127</v>
      </c>
      <c r="I21" s="3" cm="1">
        <f t="array" ref="I21">INDEX(_xll.ACT_CL_FACTORS(B7:K16), 8)</f>
        <v>1.0765551783529383</v>
      </c>
      <c r="J21" s="3" cm="1">
        <f t="array" ref="J21">INDEX(_xll.ACT_CL_FACTORS(B7:K16), 9)</f>
        <v>1.017724725219544</v>
      </c>
    </row>
    <row r="23" spans="1:10" x14ac:dyDescent="0.25">
      <c r="A23" s="5" t="s">
        <v>525</v>
      </c>
    </row>
    <row r="24" spans="1:10" x14ac:dyDescent="0.25">
      <c r="A24" s="5" t="s">
        <v>526</v>
      </c>
    </row>
    <row r="25" spans="1:10" x14ac:dyDescent="0.25">
      <c r="A25" s="6" t="s">
        <v>501</v>
      </c>
      <c r="B25" s="6" t="s">
        <v>527</v>
      </c>
      <c r="C25" s="6" t="s">
        <v>528</v>
      </c>
      <c r="D25" s="6" t="s">
        <v>529</v>
      </c>
    </row>
    <row r="26" spans="1:10" x14ac:dyDescent="0.25">
      <c r="A26" s="3">
        <v>1</v>
      </c>
      <c r="B26" s="8" cm="1">
        <f t="array" ref="B26">INDEX(_xll.ACT_CL_LATEST(B7:K16), 1)</f>
        <v>3901463</v>
      </c>
      <c r="C26" s="8" cm="1">
        <f t="array" ref="C26">INDEX(_xll.ACT_CL_ULTIMATE(B7:K16), 1)</f>
        <v>3901463</v>
      </c>
      <c r="D26" s="8" cm="1">
        <f t="array" ref="D26">INDEX(_xll.ACT_CL_IBNR(B7:K16), 1)</f>
        <v>0</v>
      </c>
    </row>
    <row r="27" spans="1:10" x14ac:dyDescent="0.25">
      <c r="A27" s="3">
        <v>2</v>
      </c>
      <c r="B27" s="8" cm="1">
        <f t="array" ref="B27">INDEX(_xll.ACT_CL_LATEST(B7:K16), 2)</f>
        <v>5339085</v>
      </c>
      <c r="C27" s="8" cm="1">
        <f t="array" ref="C27">INDEX(_xll.ACT_CL_ULTIMATE(B7:K16), 2)</f>
        <v>5433718.8145487895</v>
      </c>
      <c r="D27" s="8" cm="1">
        <f t="array" ref="D27">INDEX(_xll.ACT_CL_IBNR(B7:K16), 2)</f>
        <v>94633.814548789524</v>
      </c>
    </row>
    <row r="28" spans="1:10" x14ac:dyDescent="0.25">
      <c r="A28" s="3">
        <v>3</v>
      </c>
      <c r="B28" s="8" cm="1">
        <f t="array" ref="B28">INDEX(_xll.ACT_CL_LATEST(B7:K16), 3)</f>
        <v>4909315</v>
      </c>
      <c r="C28" s="8" cm="1">
        <f t="array" ref="C28">INDEX(_xll.ACT_CL_ULTIMATE(B7:K16), 3)</f>
        <v>5378826.2900642389</v>
      </c>
      <c r="D28" s="8" cm="1">
        <f t="array" ref="D28">INDEX(_xll.ACT_CL_IBNR(B7:K16), 3)</f>
        <v>469511.29006423894</v>
      </c>
    </row>
    <row r="29" spans="1:10" x14ac:dyDescent="0.25">
      <c r="A29" s="3">
        <v>4</v>
      </c>
      <c r="B29" s="8" cm="1">
        <f t="array" ref="B29">INDEX(_xll.ACT_CL_LATEST(B7:K16), 4)</f>
        <v>4588268</v>
      </c>
      <c r="C29" s="8" cm="1">
        <f t="array" ref="C29">INDEX(_xll.ACT_CL_ULTIMATE(B7:K16), 4)</f>
        <v>5297905.8208254622</v>
      </c>
      <c r="D29" s="8" cm="1">
        <f t="array" ref="D29">INDEX(_xll.ACT_CL_IBNR(B7:K16), 4)</f>
        <v>709637.82082546223</v>
      </c>
    </row>
    <row r="30" spans="1:10" x14ac:dyDescent="0.25">
      <c r="A30" s="3">
        <v>5</v>
      </c>
      <c r="B30" s="8" cm="1">
        <f t="array" ref="B30">INDEX(_xll.ACT_CL_LATEST(B7:K16), 5)</f>
        <v>3873311</v>
      </c>
      <c r="C30" s="8" cm="1">
        <f t="array" ref="C30">INDEX(_xll.ACT_CL_ULTIMATE(B7:K16), 5)</f>
        <v>4858199.6390497386</v>
      </c>
      <c r="D30" s="8" cm="1">
        <f t="array" ref="D30">INDEX(_xll.ACT_CL_IBNR(B7:K16), 5)</f>
        <v>984888.63904973865</v>
      </c>
    </row>
    <row r="31" spans="1:10" x14ac:dyDescent="0.25">
      <c r="A31" s="3">
        <v>6</v>
      </c>
      <c r="B31" s="8" cm="1">
        <f t="array" ref="B31">INDEX(_xll.ACT_CL_LATEST(B7:K16), 6)</f>
        <v>3691712</v>
      </c>
      <c r="C31" s="8" cm="1">
        <f t="array" ref="C31">INDEX(_xll.ACT_CL_ULTIMATE(B7:K16), 6)</f>
        <v>5111171.4576616632</v>
      </c>
      <c r="D31" s="8" cm="1">
        <f t="array" ref="D31">INDEX(_xll.ACT_CL_IBNR(B7:K16), 6)</f>
        <v>1419459.4576616632</v>
      </c>
    </row>
    <row r="32" spans="1:10" x14ac:dyDescent="0.25">
      <c r="A32" s="3">
        <v>7</v>
      </c>
      <c r="B32" s="8" cm="1">
        <f t="array" ref="B32">INDEX(_xll.ACT_CL_LATEST(B7:K16), 7)</f>
        <v>3483130</v>
      </c>
      <c r="C32" s="8" cm="1">
        <f t="array" ref="C32">INDEX(_xll.ACT_CL_ULTIMATE(B7:K16), 7)</f>
        <v>5660770.6201355476</v>
      </c>
      <c r="D32" s="8" cm="1">
        <f t="array" ref="D32">INDEX(_xll.ACT_CL_IBNR(B7:K16), 7)</f>
        <v>2177640.6201355476</v>
      </c>
    </row>
    <row r="33" spans="1:4" x14ac:dyDescent="0.25">
      <c r="A33" s="3">
        <v>8</v>
      </c>
      <c r="B33" s="8" cm="1">
        <f t="array" ref="B33">INDEX(_xll.ACT_CL_LATEST(B7:K16), 8)</f>
        <v>2864498</v>
      </c>
      <c r="C33" s="8" cm="1">
        <f t="array" ref="C33">INDEX(_xll.ACT_CL_ULTIMATE(B7:K16), 8)</f>
        <v>6784799.0119524999</v>
      </c>
      <c r="D33" s="8" cm="1">
        <f t="array" ref="D33">INDEX(_xll.ACT_CL_IBNR(B7:K16), 8)</f>
        <v>3920301.0119524999</v>
      </c>
    </row>
    <row r="34" spans="1:4" x14ac:dyDescent="0.25">
      <c r="A34" s="3">
        <v>9</v>
      </c>
      <c r="B34" s="8" cm="1">
        <f t="array" ref="B34">INDEX(_xll.ACT_CL_LATEST(B7:K16), 9)</f>
        <v>1363294</v>
      </c>
      <c r="C34" s="8" cm="1">
        <f t="array" ref="C34">INDEX(_xll.ACT_CL_ULTIMATE(B7:K16), 9)</f>
        <v>5642266.2632616432</v>
      </c>
      <c r="D34" s="8" cm="1">
        <f t="array" ref="D34">INDEX(_xll.ACT_CL_IBNR(B7:K16), 9)</f>
        <v>4278972.2632616432</v>
      </c>
    </row>
    <row r="35" spans="1:4" x14ac:dyDescent="0.25">
      <c r="A35" s="3">
        <v>10</v>
      </c>
      <c r="B35" s="8" cm="1">
        <f t="array" ref="B35">INDEX(_xll.ACT_CL_LATEST(B7:K16), 10)</f>
        <v>344014</v>
      </c>
      <c r="C35" s="8" cm="1">
        <f t="array" ref="C35">INDEX(_xll.ACT_CL_ULTIMATE(B7:K16), 10)</f>
        <v>4969824.6944247279</v>
      </c>
      <c r="D35" s="8" cm="1">
        <f t="array" ref="D35">INDEX(_xll.ACT_CL_IBNR(B7:K16), 10)</f>
        <v>4625810.6944247279</v>
      </c>
    </row>
    <row r="36" spans="1:4" x14ac:dyDescent="0.25">
      <c r="A36" s="10" t="s">
        <v>530</v>
      </c>
      <c r="B36" s="11">
        <f>SUM(B26:B35)</f>
        <v>34358090</v>
      </c>
      <c r="C36" s="11">
        <f>SUM(C26:C35)</f>
        <v>53038945.611924306</v>
      </c>
      <c r="D36" s="11">
        <f>SUM(D26:D35)</f>
        <v>18680855.611924313</v>
      </c>
    </row>
    <row r="38" spans="1:4" x14ac:dyDescent="0.25">
      <c r="A38" s="5" t="s">
        <v>531</v>
      </c>
    </row>
    <row r="39" spans="1:4" x14ac:dyDescent="0.25">
      <c r="A39" s="6" t="s">
        <v>501</v>
      </c>
      <c r="B39" s="6" t="s">
        <v>532</v>
      </c>
      <c r="C39" s="6" t="s">
        <v>533</v>
      </c>
    </row>
    <row r="40" spans="1:4" x14ac:dyDescent="0.25">
      <c r="A40" s="3">
        <v>1</v>
      </c>
      <c r="B40" s="8" cm="1">
        <f t="array" ref="B40">INDEX(_xll.ACT_MACK_RESERVE_SE(B7:K16), 1)</f>
        <v>0</v>
      </c>
      <c r="C40" s="8">
        <v>0</v>
      </c>
    </row>
    <row r="41" spans="1:4" x14ac:dyDescent="0.25">
      <c r="A41" s="3">
        <v>2</v>
      </c>
      <c r="B41" s="8" cm="1">
        <f t="array" ref="B41">INDEX(_xll.ACT_MACK_RESERVE_SE(B7:K16), 2)</f>
        <v>75535.040757488387</v>
      </c>
      <c r="C41" s="8">
        <v>75535</v>
      </c>
    </row>
    <row r="42" spans="1:4" x14ac:dyDescent="0.25">
      <c r="A42" s="3">
        <v>3</v>
      </c>
      <c r="B42" s="8" cm="1">
        <f t="array" ref="B42">INDEX(_xll.ACT_MACK_RESERVE_SE(B7:K16), 3)</f>
        <v>121698.5616454234</v>
      </c>
      <c r="C42" s="8">
        <v>121699</v>
      </c>
    </row>
    <row r="43" spans="1:4" x14ac:dyDescent="0.25">
      <c r="A43" s="3">
        <v>4</v>
      </c>
      <c r="B43" s="8" cm="1">
        <f t="array" ref="B43">INDEX(_xll.ACT_MACK_RESERVE_SE(B7:K16), 4)</f>
        <v>133548.85301207835</v>
      </c>
      <c r="C43" s="8">
        <v>133549</v>
      </c>
    </row>
    <row r="44" spans="1:4" x14ac:dyDescent="0.25">
      <c r="A44" s="3">
        <v>5</v>
      </c>
      <c r="B44" s="8" cm="1">
        <f t="array" ref="B44">INDEX(_xll.ACT_MACK_RESERVE_SE(B7:K16), 5)</f>
        <v>261406.44934268514</v>
      </c>
      <c r="C44" s="8">
        <v>261406</v>
      </c>
    </row>
    <row r="45" spans="1:4" x14ac:dyDescent="0.25">
      <c r="A45" s="3">
        <v>6</v>
      </c>
      <c r="B45" s="8" cm="1">
        <f t="array" ref="B45">INDEX(_xll.ACT_MACK_RESERVE_SE(B7:K16), 6)</f>
        <v>411009.70388105343</v>
      </c>
      <c r="C45" s="8">
        <v>411010</v>
      </c>
    </row>
    <row r="46" spans="1:4" x14ac:dyDescent="0.25">
      <c r="A46" s="3">
        <v>7</v>
      </c>
      <c r="B46" s="8" cm="1">
        <f t="array" ref="B46">INDEX(_xll.ACT_MACK_RESERVE_SE(B7:K16), 7)</f>
        <v>558316.85807119031</v>
      </c>
      <c r="C46" s="8">
        <v>558317</v>
      </c>
    </row>
    <row r="47" spans="1:4" x14ac:dyDescent="0.25">
      <c r="A47" s="3">
        <v>8</v>
      </c>
      <c r="B47" s="8" cm="1">
        <f t="array" ref="B47">INDEX(_xll.ACT_MACK_RESERVE_SE(B7:K16), 8)</f>
        <v>875327.51191135927</v>
      </c>
      <c r="C47" s="8">
        <v>875328</v>
      </c>
    </row>
    <row r="48" spans="1:4" x14ac:dyDescent="0.25">
      <c r="A48" s="3">
        <v>9</v>
      </c>
      <c r="B48" s="8" cm="1">
        <f t="array" ref="B48">INDEX(_xll.ACT_MACK_RESERVE_SE(B7:K16), 9)</f>
        <v>971257.80646994279</v>
      </c>
      <c r="C48" s="8">
        <v>971258</v>
      </c>
    </row>
    <row r="49" spans="1:3" x14ac:dyDescent="0.25">
      <c r="A49" s="3">
        <v>10</v>
      </c>
      <c r="B49" s="8" cm="1">
        <f t="array" ref="B49">INDEX(_xll.ACT_MACK_RESERVE_SE(B7:K16), 10)</f>
        <v>1363154.9117323074</v>
      </c>
      <c r="C49" s="8">
        <v>1363155</v>
      </c>
    </row>
    <row r="50" spans="1:3" x14ac:dyDescent="0.25">
      <c r="A50" s="10" t="s">
        <v>530</v>
      </c>
      <c r="C50" s="8">
        <v>2447095</v>
      </c>
    </row>
    <row r="52" spans="1:3" x14ac:dyDescent="0.25">
      <c r="A52" s="5" t="s">
        <v>534</v>
      </c>
    </row>
    <row r="53" spans="1:3" x14ac:dyDescent="0.25">
      <c r="A53" s="3" t="s">
        <v>535</v>
      </c>
      <c r="B53" s="3">
        <v>1000</v>
      </c>
    </row>
    <row r="54" spans="1:3" x14ac:dyDescent="0.25">
      <c r="A54" s="3" t="s">
        <v>536</v>
      </c>
      <c r="B54" s="3">
        <v>42</v>
      </c>
    </row>
    <row r="55" spans="1:3" x14ac:dyDescent="0.25">
      <c r="A55" s="5" t="s">
        <v>537</v>
      </c>
    </row>
    <row r="56" spans="1:3" x14ac:dyDescent="0.25">
      <c r="A56" s="6" t="s">
        <v>538</v>
      </c>
      <c r="B56" s="6" t="s">
        <v>539</v>
      </c>
      <c r="C56" s="6" t="s">
        <v>540</v>
      </c>
    </row>
    <row r="57" spans="1:3" x14ac:dyDescent="0.25">
      <c r="A57" s="3" t="s">
        <v>163</v>
      </c>
      <c r="B57" s="8">
        <f>INDEX(_xll.ACT_CL_BOOTSTRAP(B7:K16, B53, B54), 1, 2)</f>
        <v>18798776.692044504</v>
      </c>
      <c r="C57" s="8">
        <v>18680856</v>
      </c>
    </row>
    <row r="58" spans="1:3" x14ac:dyDescent="0.25">
      <c r="A58" s="3" t="s">
        <v>541</v>
      </c>
      <c r="B58" s="8">
        <f>INDEX(_xll.ACT_CL_BOOTSTRAP(B7:K16, B53, B54), 2, 2)</f>
        <v>2204802.8850870635</v>
      </c>
      <c r="C58" s="8">
        <v>2228677</v>
      </c>
    </row>
    <row r="59" spans="1:3" x14ac:dyDescent="0.25">
      <c r="A59" s="3" t="s">
        <v>542</v>
      </c>
      <c r="B59" s="8">
        <f>INDEX(_xll.ACT_CL_BOOTSTRAP(B7:K16, B53, B54), 3, 2)</f>
        <v>14500831.3225706</v>
      </c>
    </row>
    <row r="60" spans="1:3" x14ac:dyDescent="0.25">
      <c r="A60" s="3" t="s">
        <v>543</v>
      </c>
      <c r="B60" s="8">
        <f>INDEX(_xll.ACT_CL_BOOTSTRAP(B7:K16, B53, B54), 4, 2)</f>
        <v>15326912.129334964</v>
      </c>
    </row>
    <row r="61" spans="1:3" x14ac:dyDescent="0.25">
      <c r="A61" s="3" t="s">
        <v>544</v>
      </c>
      <c r="B61" s="8">
        <f>INDEX(_xll.ACT_CL_BOOTSTRAP(B7:K16, B53, B54), 5, 2)</f>
        <v>16072208.944334887</v>
      </c>
    </row>
    <row r="62" spans="1:3" x14ac:dyDescent="0.25">
      <c r="A62" s="3" t="s">
        <v>545</v>
      </c>
      <c r="B62" s="8">
        <f>INDEX(_xll.ACT_CL_BOOTSTRAP(B7:K16, B53, B54), 6, 2)</f>
        <v>17264300.703341998</v>
      </c>
    </row>
    <row r="63" spans="1:3" x14ac:dyDescent="0.25">
      <c r="A63" s="3" t="s">
        <v>546</v>
      </c>
      <c r="B63" s="8">
        <f>INDEX(_xll.ACT_CL_BOOTSTRAP(B7:K16, B53, B54), 7, 2)</f>
        <v>18694922.680490129</v>
      </c>
    </row>
    <row r="64" spans="1:3" x14ac:dyDescent="0.25">
      <c r="A64" s="3" t="s">
        <v>547</v>
      </c>
      <c r="B64" s="8">
        <f>INDEX(_xll.ACT_CL_BOOTSTRAP(B7:K16, B53, B54), 8, 2)</f>
        <v>20298606.557950798</v>
      </c>
    </row>
    <row r="65" spans="1:8" x14ac:dyDescent="0.25">
      <c r="A65" s="3" t="s">
        <v>548</v>
      </c>
      <c r="B65" s="8">
        <f>INDEX(_xll.ACT_CL_BOOTSTRAP(B7:K16, B53, B54), 9, 2)</f>
        <v>21701674.650356371</v>
      </c>
    </row>
    <row r="66" spans="1:8" x14ac:dyDescent="0.25">
      <c r="A66" s="3" t="s">
        <v>549</v>
      </c>
      <c r="B66" s="8">
        <f>INDEX(_xll.ACT_CL_BOOTSTRAP(B7:K16, B53, B54), 10, 2)</f>
        <v>22667502.005790651</v>
      </c>
    </row>
    <row r="67" spans="1:8" x14ac:dyDescent="0.25">
      <c r="A67" s="3" t="s">
        <v>550</v>
      </c>
      <c r="B67" s="8">
        <f>INDEX(_xll.ACT_CL_BOOTSTRAP(B7:K16, B53, B54), 11, 2)</f>
        <v>24348255.219116721</v>
      </c>
    </row>
    <row r="69" spans="1:8" x14ac:dyDescent="0.25">
      <c r="A69" s="5" t="s">
        <v>551</v>
      </c>
    </row>
    <row r="70" spans="1:8" x14ac:dyDescent="0.25">
      <c r="A70" s="6" t="s">
        <v>501</v>
      </c>
      <c r="B70" s="6" t="s">
        <v>163</v>
      </c>
      <c r="C70" s="6" t="s">
        <v>541</v>
      </c>
      <c r="D70" s="6" t="s">
        <v>552</v>
      </c>
      <c r="E70" s="6" t="s">
        <v>553</v>
      </c>
      <c r="F70" s="6" t="s">
        <v>546</v>
      </c>
      <c r="G70" s="6" t="s">
        <v>547</v>
      </c>
      <c r="H70" s="6" t="s">
        <v>548</v>
      </c>
    </row>
    <row r="71" spans="1:8" x14ac:dyDescent="0.25">
      <c r="A71" s="3">
        <v>1</v>
      </c>
      <c r="B71" s="8">
        <f>INDEX(_xll.ACT_CL_BOOTSTRAP_ORIGIN(B7:K16, B53, B54), 2, 2)</f>
        <v>0</v>
      </c>
      <c r="C71" s="8">
        <f>INDEX(_xll.ACT_CL_BOOTSTRAP_ORIGIN(B7:K16, B53, B54), 2, 3)</f>
        <v>0</v>
      </c>
      <c r="D71" s="8">
        <v>0</v>
      </c>
      <c r="E71" s="3" t="s">
        <v>554</v>
      </c>
      <c r="F71" s="8">
        <f>INDEX(_xll.ACT_CL_BOOTSTRAP_ORIGIN(B7:K16, B53, B54), 2, 4)</f>
        <v>0</v>
      </c>
      <c r="G71" s="8">
        <f>INDEX(_xll.ACT_CL_BOOTSTRAP_ORIGIN(B7:K16, B53, B54), 2, 5)</f>
        <v>0</v>
      </c>
      <c r="H71" s="8">
        <f>INDEX(_xll.ACT_CL_BOOTSTRAP_ORIGIN(B7:K16, B53, B54), 2, 6)</f>
        <v>0</v>
      </c>
    </row>
    <row r="72" spans="1:8" x14ac:dyDescent="0.25">
      <c r="A72" s="3">
        <v>2</v>
      </c>
      <c r="B72" s="8">
        <f>INDEX(_xll.ACT_CL_BOOTSTRAP_ORIGIN(B7:K16, B53, B54), 3, 2)</f>
        <v>96689.57884393548</v>
      </c>
      <c r="C72" s="8">
        <f>INDEX(_xll.ACT_CL_BOOTSTRAP_ORIGIN(B7:K16, B53, B54), 3, 3)</f>
        <v>43838.676128112784</v>
      </c>
      <c r="D72" s="8">
        <v>43882</v>
      </c>
      <c r="E72" s="12">
        <f t="shared" ref="E72:E80" si="0">C72/D72</f>
        <v>0.99901271883945086</v>
      </c>
      <c r="F72" s="8">
        <f>INDEX(_xll.ACT_CL_BOOTSTRAP_ORIGIN(B7:K16, B53, B54), 3, 4)</f>
        <v>90421.684386485256</v>
      </c>
      <c r="G72" s="8">
        <f>INDEX(_xll.ACT_CL_BOOTSTRAP_ORIGIN(B7:K16, B53, B54), 3, 5)</f>
        <v>123772.86750806216</v>
      </c>
      <c r="H72" s="8">
        <f>INDEX(_xll.ACT_CL_BOOTSTRAP_ORIGIN(B7:K16, B53, B54), 3, 6)</f>
        <v>156968.65574246366</v>
      </c>
    </row>
    <row r="73" spans="1:8" x14ac:dyDescent="0.25">
      <c r="A73" s="3">
        <v>3</v>
      </c>
      <c r="B73" s="8">
        <f>INDEX(_xll.ACT_CL_BOOTSTRAP_ORIGIN(B7:K16, B53, B54), 4, 2)</f>
        <v>478661.75236854167</v>
      </c>
      <c r="C73" s="8">
        <f>INDEX(_xll.ACT_CL_BOOTSTRAP_ORIGIN(B7:K16, B53, B54), 4, 3)</f>
        <v>111630.20540737057</v>
      </c>
      <c r="D73" s="8">
        <v>109449</v>
      </c>
      <c r="E73" s="12">
        <f t="shared" si="0"/>
        <v>1.0199289660697728</v>
      </c>
      <c r="F73" s="8">
        <f>INDEX(_xll.ACT_CL_BOOTSTRAP_ORIGIN(B7:K16, B53, B54), 4, 4)</f>
        <v>468279.11290983297</v>
      </c>
      <c r="G73" s="8">
        <f>INDEX(_xll.ACT_CL_BOOTSTRAP_ORIGIN(B7:K16, B53, B54), 4, 5)</f>
        <v>547268.78868648596</v>
      </c>
      <c r="H73" s="8">
        <f>INDEX(_xll.ACT_CL_BOOTSTRAP_ORIGIN(B7:K16, B53, B54), 4, 6)</f>
        <v>629940.24622077961</v>
      </c>
    </row>
    <row r="74" spans="1:8" x14ac:dyDescent="0.25">
      <c r="A74" s="3">
        <v>4</v>
      </c>
      <c r="B74" s="8">
        <f>INDEX(_xll.ACT_CL_BOOTSTRAP_ORIGIN(B7:K16, B53, B54), 5, 2)</f>
        <v>717534.19977938116</v>
      </c>
      <c r="C74" s="8">
        <f>INDEX(_xll.ACT_CL_BOOTSTRAP_ORIGIN(B7:K16, B53, B54), 5, 3)</f>
        <v>139317.61543909326</v>
      </c>
      <c r="D74" s="8">
        <v>141509</v>
      </c>
      <c r="E74" s="12">
        <f t="shared" si="0"/>
        <v>0.9845141682797085</v>
      </c>
      <c r="F74" s="8">
        <f>INDEX(_xll.ACT_CL_BOOTSTRAP_ORIGIN(B7:K16, B53, B54), 5, 4)</f>
        <v>713835.09129768237</v>
      </c>
      <c r="G74" s="8">
        <f>INDEX(_xll.ACT_CL_BOOTSTRAP_ORIGIN(B7:K16, B53, B54), 5, 5)</f>
        <v>809287.13843595795</v>
      </c>
      <c r="H74" s="8">
        <f>INDEX(_xll.ACT_CL_BOOTSTRAP_ORIGIN(B7:K16, B53, B54), 5, 6)</f>
        <v>894659.10178380739</v>
      </c>
    </row>
    <row r="75" spans="1:8" x14ac:dyDescent="0.25">
      <c r="A75" s="3">
        <v>5</v>
      </c>
      <c r="B75" s="8">
        <f>INDEX(_xll.ACT_CL_BOOTSTRAP_ORIGIN(B7:K16, B53, B54), 6, 2)</f>
        <v>997137.24285061727</v>
      </c>
      <c r="C75" s="8">
        <f>INDEX(_xll.ACT_CL_BOOTSTRAP_ORIGIN(B7:K16, B53, B54), 6, 3)</f>
        <v>259867.64582382049</v>
      </c>
      <c r="D75" s="8">
        <v>256031</v>
      </c>
      <c r="E75" s="12">
        <f t="shared" si="0"/>
        <v>1.0149850831493863</v>
      </c>
      <c r="F75" s="8">
        <f>INDEX(_xll.ACT_CL_BOOTSTRAP_ORIGIN(B7:K16, B53, B54), 6, 4)</f>
        <v>963623.40217041038</v>
      </c>
      <c r="G75" s="8">
        <f>INDEX(_xll.ACT_CL_BOOTSTRAP_ORIGIN(B7:K16, B53, B54), 6, 5)</f>
        <v>1156111.2954789149</v>
      </c>
      <c r="H75" s="8">
        <f>INDEX(_xll.ACT_CL_BOOTSTRAP_ORIGIN(B7:K16, B53, B54), 6, 6)</f>
        <v>1366904.0078474702</v>
      </c>
    </row>
    <row r="76" spans="1:8" x14ac:dyDescent="0.25">
      <c r="A76" s="3">
        <v>6</v>
      </c>
      <c r="B76" s="8">
        <f>INDEX(_xll.ACT_CL_BOOTSTRAP_ORIGIN(B7:K16, B53, B54), 7, 2)</f>
        <v>1421736.1026702735</v>
      </c>
      <c r="C76" s="8">
        <f>INDEX(_xll.ACT_CL_BOOTSTRAP_ORIGIN(B7:K16, B53, B54), 7, 3)</f>
        <v>381447.22255298472</v>
      </c>
      <c r="D76" s="8">
        <v>398377</v>
      </c>
      <c r="E76" s="12">
        <f t="shared" si="0"/>
        <v>0.95750312531342097</v>
      </c>
      <c r="F76" s="8">
        <f>INDEX(_xll.ACT_CL_BOOTSTRAP_ORIGIN(B7:K16, B53, B54), 7, 4)</f>
        <v>1381531.9200491621</v>
      </c>
      <c r="G76" s="8">
        <f>INDEX(_xll.ACT_CL_BOOTSTRAP_ORIGIN(B7:K16, B53, B54), 7, 5)</f>
        <v>1659583.6385982237</v>
      </c>
      <c r="H76" s="8">
        <f>INDEX(_xll.ACT_CL_BOOTSTRAP_ORIGIN(B7:K16, B53, B54), 7, 6)</f>
        <v>1950058.2119663232</v>
      </c>
    </row>
    <row r="77" spans="1:8" x14ac:dyDescent="0.25">
      <c r="A77" s="3">
        <v>7</v>
      </c>
      <c r="B77" s="8">
        <f>INDEX(_xll.ACT_CL_BOOTSTRAP_ORIGIN(B7:K16, B53, B54), 8, 2)</f>
        <v>2198152.3893766883</v>
      </c>
      <c r="C77" s="8">
        <f>INDEX(_xll.ACT_CL_BOOTSTRAP_ORIGIN(B7:K16, B53, B54), 8, 3)</f>
        <v>521027.4544343414</v>
      </c>
      <c r="D77" s="8">
        <v>529898</v>
      </c>
      <c r="E77" s="12">
        <f t="shared" si="0"/>
        <v>0.98325989989458618</v>
      </c>
      <c r="F77" s="8">
        <f>INDEX(_xll.ACT_CL_BOOTSTRAP_ORIGIN(B7:K16, B53, B54), 8, 4)</f>
        <v>2160470.411645113</v>
      </c>
      <c r="G77" s="8">
        <f>INDEX(_xll.ACT_CL_BOOTSTRAP_ORIGIN(B7:K16, B53, B54), 8, 5)</f>
        <v>2498001.9499412216</v>
      </c>
      <c r="H77" s="8">
        <f>INDEX(_xll.ACT_CL_BOOTSTRAP_ORIGIN(B7:K16, B53, B54), 8, 6)</f>
        <v>2888810.9828496925</v>
      </c>
    </row>
    <row r="78" spans="1:8" x14ac:dyDescent="0.25">
      <c r="A78" s="3">
        <v>8</v>
      </c>
      <c r="B78" s="8">
        <f>INDEX(_xll.ACT_CL_BOOTSTRAP_ORIGIN(B7:K16, B53, B54), 9, 2)</f>
        <v>3952143.630082346</v>
      </c>
      <c r="C78" s="8">
        <f>INDEX(_xll.ACT_CL_BOOTSTRAP_ORIGIN(B7:K16, B53, B54), 9, 3)</f>
        <v>723366.14070964442</v>
      </c>
      <c r="D78" s="8">
        <v>735245</v>
      </c>
      <c r="E78" s="12">
        <f t="shared" si="0"/>
        <v>0.98384367212241419</v>
      </c>
      <c r="F78" s="8">
        <f>INDEX(_xll.ACT_CL_BOOTSTRAP_ORIGIN(B7:K16, B53, B54), 9, 4)</f>
        <v>3908887.2879836895</v>
      </c>
      <c r="G78" s="8">
        <f>INDEX(_xll.ACT_CL_BOOTSTRAP_ORIGIN(B7:K16, B53, B54), 9, 5)</f>
        <v>4391569.4694389878</v>
      </c>
      <c r="H78" s="8">
        <f>INDEX(_xll.ACT_CL_BOOTSTRAP_ORIGIN(B7:K16, B53, B54), 9, 6)</f>
        <v>4906764.0104379486</v>
      </c>
    </row>
    <row r="79" spans="1:8" x14ac:dyDescent="0.25">
      <c r="A79" s="3">
        <v>9</v>
      </c>
      <c r="B79" s="8">
        <f>INDEX(_xll.ACT_CL_BOOTSTRAP_ORIGIN(B7:K16, B53, B54), 10, 2)</f>
        <v>4292267.3035301808</v>
      </c>
      <c r="C79" s="8">
        <f>INDEX(_xll.ACT_CL_BOOTSTRAP_ORIGIN(B7:K16, B53, B54), 10, 3)</f>
        <v>810711.31473489944</v>
      </c>
      <c r="D79" s="8">
        <v>809457</v>
      </c>
      <c r="E79" s="12">
        <f t="shared" si="0"/>
        <v>1.0015495754992538</v>
      </c>
      <c r="F79" s="8">
        <f>INDEX(_xll.ACT_CL_BOOTSTRAP_ORIGIN(B7:K16, B53, B54), 10, 4)</f>
        <v>4222254.9282390224</v>
      </c>
      <c r="G79" s="8">
        <f>INDEX(_xll.ACT_CL_BOOTSTRAP_ORIGIN(B7:K16, B53, B54), 10, 5)</f>
        <v>4763781.027283527</v>
      </c>
      <c r="H79" s="8">
        <f>INDEX(_xll.ACT_CL_BOOTSTRAP_ORIGIN(B7:K16, B53, B54), 10, 6)</f>
        <v>5375322.7711308058</v>
      </c>
    </row>
    <row r="80" spans="1:8" x14ac:dyDescent="0.25">
      <c r="A80" s="3">
        <v>10</v>
      </c>
      <c r="B80" s="8">
        <f>INDEX(_xll.ACT_CL_BOOTSTRAP_ORIGIN(B7:K16, B53, B54), 11, 2)</f>
        <v>4644454.4925425369</v>
      </c>
      <c r="C80" s="8">
        <f>INDEX(_xll.ACT_CL_BOOTSTRAP_ORIGIN(B7:K16, B53, B54), 11, 3)</f>
        <v>1311886.5697135208</v>
      </c>
      <c r="D80" s="8">
        <v>1285560</v>
      </c>
      <c r="E80" s="12">
        <f t="shared" si="0"/>
        <v>1.0204786783296935</v>
      </c>
      <c r="F80" s="8">
        <f>INDEX(_xll.ACT_CL_BOOTSTRAP_ORIGIN(B7:K16, B53, B54), 11, 4)</f>
        <v>4565487.932428156</v>
      </c>
      <c r="G80" s="8">
        <f>INDEX(_xll.ACT_CL_BOOTSTRAP_ORIGIN(B7:K16, B53, B54), 11, 5)</f>
        <v>5641773.9690507818</v>
      </c>
      <c r="H80" s="8">
        <f>INDEX(_xll.ACT_CL_BOOTSTRAP_ORIGIN(B7:K16, B53, B54), 11, 6)</f>
        <v>6371858.0388103062</v>
      </c>
    </row>
    <row r="81" spans="1:4" x14ac:dyDescent="0.25">
      <c r="A81" s="10" t="s">
        <v>530</v>
      </c>
      <c r="D81" s="8">
        <v>2228677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58"/>
  <sheetViews>
    <sheetView workbookViewId="0"/>
  </sheetViews>
  <sheetFormatPr defaultRowHeight="15" x14ac:dyDescent="0.25"/>
  <cols>
    <col min="1" max="1" width="18" customWidth="1"/>
    <col min="2" max="4" width="12" customWidth="1"/>
    <col min="5" max="5" width="25" customWidth="1"/>
    <col min="6" max="6" width="15" customWidth="1"/>
  </cols>
  <sheetData>
    <row r="1" spans="1:4" ht="18.75" x14ac:dyDescent="0.3">
      <c r="A1" s="1" t="s">
        <v>555</v>
      </c>
    </row>
    <row r="3" spans="1:4" x14ac:dyDescent="0.25">
      <c r="A3" s="5" t="s">
        <v>556</v>
      </c>
    </row>
    <row r="5" spans="1:4" x14ac:dyDescent="0.25">
      <c r="A5" s="5" t="s">
        <v>557</v>
      </c>
    </row>
    <row r="6" spans="1:4" x14ac:dyDescent="0.25">
      <c r="A6" s="6"/>
      <c r="B6" s="6" t="s">
        <v>558</v>
      </c>
      <c r="C6" s="6" t="s">
        <v>559</v>
      </c>
      <c r="D6" s="6" t="s">
        <v>560</v>
      </c>
    </row>
    <row r="7" spans="1:4" x14ac:dyDescent="0.25">
      <c r="A7" s="10" t="s">
        <v>558</v>
      </c>
      <c r="B7" s="3">
        <v>1</v>
      </c>
      <c r="C7" s="3">
        <f>B8</f>
        <v>0.9</v>
      </c>
      <c r="D7" s="3">
        <f>B9</f>
        <v>0.3</v>
      </c>
    </row>
    <row r="8" spans="1:4" x14ac:dyDescent="0.25">
      <c r="A8" s="10" t="s">
        <v>559</v>
      </c>
      <c r="B8" s="3">
        <v>0.9</v>
      </c>
      <c r="C8" s="3">
        <v>1</v>
      </c>
      <c r="D8" s="3">
        <f>C9</f>
        <v>0.4</v>
      </c>
    </row>
    <row r="9" spans="1:4" x14ac:dyDescent="0.25">
      <c r="A9" s="10" t="s">
        <v>560</v>
      </c>
      <c r="B9" s="3">
        <v>0.3</v>
      </c>
      <c r="C9" s="3">
        <v>0.4</v>
      </c>
      <c r="D9" s="3">
        <v>1</v>
      </c>
    </row>
    <row r="11" spans="1:4" x14ac:dyDescent="0.25">
      <c r="A11" s="5" t="s">
        <v>561</v>
      </c>
    </row>
    <row r="12" spans="1:4" x14ac:dyDescent="0.25">
      <c r="A12" s="3" t="s">
        <v>562</v>
      </c>
      <c r="B12" s="3">
        <v>5</v>
      </c>
    </row>
    <row r="13" spans="1:4" x14ac:dyDescent="0.25">
      <c r="A13" s="3" t="s">
        <v>563</v>
      </c>
      <c r="B13" s="3">
        <v>100</v>
      </c>
    </row>
    <row r="14" spans="1:4" x14ac:dyDescent="0.25">
      <c r="A14" s="3" t="s">
        <v>564</v>
      </c>
      <c r="B14" s="3">
        <v>42</v>
      </c>
    </row>
    <row r="16" spans="1:4" x14ac:dyDescent="0.25">
      <c r="A16" s="5" t="s">
        <v>565</v>
      </c>
    </row>
    <row r="17" spans="1:4" x14ac:dyDescent="0.25">
      <c r="A17" s="5" t="s">
        <v>566</v>
      </c>
    </row>
    <row r="18" spans="1:4" x14ac:dyDescent="0.25">
      <c r="A18" s="6" t="s">
        <v>567</v>
      </c>
      <c r="B18" s="6" t="s">
        <v>568</v>
      </c>
      <c r="C18" s="6" t="s">
        <v>569</v>
      </c>
      <c r="D18" s="6" t="s">
        <v>570</v>
      </c>
    </row>
    <row r="19" spans="1:4" x14ac:dyDescent="0.25">
      <c r="A19" s="3">
        <v>1</v>
      </c>
      <c r="B19" s="3">
        <f>INDEX(_xll.ACT_COPULA_STUDENT_T(B7:D9, B12, B13, B14), 1, 1)</f>
        <v>0.65235579726025084</v>
      </c>
      <c r="C19" s="3">
        <f>INDEX(_xll.ACT_COPULA_STUDENT_T(B7:D9, B12, B13, B14), 1, 2)</f>
        <v>0.46195522407776868</v>
      </c>
      <c r="D19" s="3">
        <f>INDEX(_xll.ACT_COPULA_STUDENT_T(B7:D9, B12, B13, B14), 1, 3)</f>
        <v>0.21056816096358899</v>
      </c>
    </row>
    <row r="20" spans="1:4" x14ac:dyDescent="0.25">
      <c r="A20" s="3">
        <v>2</v>
      </c>
      <c r="B20" s="3">
        <f>INDEX(_xll.ACT_COPULA_STUDENT_T(B7:D9, B12, B13, B14), 2, 1)</f>
        <v>0.50578855143863277</v>
      </c>
      <c r="C20" s="3">
        <f>INDEX(_xll.ACT_COPULA_STUDENT_T(B7:D9, B12, B13, B14), 2, 2)</f>
        <v>0.65919143607616648</v>
      </c>
      <c r="D20" s="3">
        <f>INDEX(_xll.ACT_COPULA_STUDENT_T(B7:D9, B12, B13, B14), 2, 3)</f>
        <v>0.52798691494895766</v>
      </c>
    </row>
    <row r="21" spans="1:4" x14ac:dyDescent="0.25">
      <c r="A21" s="3">
        <v>3</v>
      </c>
      <c r="B21" s="3">
        <f>INDEX(_xll.ACT_COPULA_STUDENT_T(B7:D9, B12, B13, B14), 3, 1)</f>
        <v>0.80775884894099415</v>
      </c>
      <c r="C21" s="3">
        <f>INDEX(_xll.ACT_COPULA_STUDENT_T(B7:D9, B12, B13, B14), 3, 2)</f>
        <v>0.80527876615578586</v>
      </c>
      <c r="D21" s="3">
        <f>INDEX(_xll.ACT_COPULA_STUDENT_T(B7:D9, B12, B13, B14), 3, 3)</f>
        <v>0.45757302190671711</v>
      </c>
    </row>
    <row r="22" spans="1:4" x14ac:dyDescent="0.25">
      <c r="A22" s="3">
        <v>4</v>
      </c>
      <c r="B22" s="3">
        <f>INDEX(_xll.ACT_COPULA_STUDENT_T(B7:D9, B12, B13, B14), 4, 1)</f>
        <v>0.19711881759498889</v>
      </c>
      <c r="C22" s="3">
        <f>INDEX(_xll.ACT_COPULA_STUDENT_T(B7:D9, B12, B13, B14), 4, 2)</f>
        <v>6.6528524996629521E-2</v>
      </c>
      <c r="D22" s="3">
        <f>INDEX(_xll.ACT_COPULA_STUDENT_T(B7:D9, B12, B13, B14), 4, 3)</f>
        <v>2.2182867754633908E-4</v>
      </c>
    </row>
    <row r="23" spans="1:4" x14ac:dyDescent="0.25">
      <c r="A23" s="3">
        <v>5</v>
      </c>
      <c r="B23" s="3">
        <f>INDEX(_xll.ACT_COPULA_STUDENT_T(B7:D9, B12, B13, B14), 5, 1)</f>
        <v>0.32751033742588964</v>
      </c>
      <c r="C23" s="3">
        <f>INDEX(_xll.ACT_COPULA_STUDENT_T(B7:D9, B12, B13, B14), 5, 2)</f>
        <v>0.53919808155597193</v>
      </c>
      <c r="D23" s="3">
        <f>INDEX(_xll.ACT_COPULA_STUDENT_T(B7:D9, B12, B13, B14), 5, 3)</f>
        <v>0.43620995658169787</v>
      </c>
    </row>
    <row r="24" spans="1:4" x14ac:dyDescent="0.25">
      <c r="A24" s="3">
        <v>6</v>
      </c>
      <c r="B24" s="3">
        <f>INDEX(_xll.ACT_COPULA_STUDENT_T(B7:D9, B12, B13, B14), 6, 1)</f>
        <v>6.7635251892792861E-2</v>
      </c>
      <c r="C24" s="3">
        <f>INDEX(_xll.ACT_COPULA_STUDENT_T(B7:D9, B12, B13, B14), 6, 2)</f>
        <v>8.5601087185294245E-2</v>
      </c>
      <c r="D24" s="3">
        <f>INDEX(_xll.ACT_COPULA_STUDENT_T(B7:D9, B12, B13, B14), 6, 3)</f>
        <v>0.77211851437161716</v>
      </c>
    </row>
    <row r="25" spans="1:4" x14ac:dyDescent="0.25">
      <c r="A25" s="3">
        <v>7</v>
      </c>
      <c r="B25" s="3">
        <f>INDEX(_xll.ACT_COPULA_STUDENT_T(B7:D9, B12, B13, B14), 7, 1)</f>
        <v>0.4476912139972502</v>
      </c>
      <c r="C25" s="3">
        <f>INDEX(_xll.ACT_COPULA_STUDENT_T(B7:D9, B12, B13, B14), 7, 2)</f>
        <v>0.35985214317431996</v>
      </c>
      <c r="D25" s="3">
        <f>INDEX(_xll.ACT_COPULA_STUDENT_T(B7:D9, B12, B13, B14), 7, 3)</f>
        <v>0.22203761338538192</v>
      </c>
    </row>
    <row r="26" spans="1:4" x14ac:dyDescent="0.25">
      <c r="A26" s="3">
        <v>8</v>
      </c>
      <c r="B26" s="3">
        <f>INDEX(_xll.ACT_COPULA_STUDENT_T(B7:D9, B12, B13, B14), 8, 1)</f>
        <v>0.91448292107445983</v>
      </c>
      <c r="C26" s="3">
        <f>INDEX(_xll.ACT_COPULA_STUDENT_T(B7:D9, B12, B13, B14), 8, 2)</f>
        <v>0.91128593829118065</v>
      </c>
      <c r="D26" s="3">
        <f>INDEX(_xll.ACT_COPULA_STUDENT_T(B7:D9, B12, B13, B14), 8, 3)</f>
        <v>0.92177957977073954</v>
      </c>
    </row>
    <row r="27" spans="1:4" x14ac:dyDescent="0.25">
      <c r="A27" s="3">
        <v>9</v>
      </c>
      <c r="B27" s="3">
        <f>INDEX(_xll.ACT_COPULA_STUDENT_T(B7:D9, B12, B13, B14), 9, 1)</f>
        <v>0.36515271130415888</v>
      </c>
      <c r="C27" s="3">
        <f>INDEX(_xll.ACT_COPULA_STUDENT_T(B7:D9, B12, B13, B14), 9, 2)</f>
        <v>8.9990996556025021E-2</v>
      </c>
      <c r="D27" s="3">
        <f>INDEX(_xll.ACT_COPULA_STUDENT_T(B7:D9, B12, B13, B14), 9, 3)</f>
        <v>0.24133352500597716</v>
      </c>
    </row>
    <row r="28" spans="1:4" x14ac:dyDescent="0.25">
      <c r="A28" s="3">
        <v>10</v>
      </c>
      <c r="B28" s="3">
        <f>INDEX(_xll.ACT_COPULA_STUDENT_T(B7:D9, B12, B13, B14), 10, 1)</f>
        <v>0.19734714991825986</v>
      </c>
      <c r="C28" s="3">
        <f>INDEX(_xll.ACT_COPULA_STUDENT_T(B7:D9, B12, B13, B14), 10, 2)</f>
        <v>0.39774815550146897</v>
      </c>
      <c r="D28" s="3">
        <f>INDEX(_xll.ACT_COPULA_STUDENT_T(B7:D9, B12, B13, B14), 10, 3)</f>
        <v>0.23672928520229991</v>
      </c>
    </row>
    <row r="29" spans="1:4" x14ac:dyDescent="0.25">
      <c r="A29" s="3">
        <v>11</v>
      </c>
      <c r="B29" s="3">
        <f>INDEX(_xll.ACT_COPULA_STUDENT_T(B7:D9, B12, B13, B14), 11, 1)</f>
        <v>0.41283936208061472</v>
      </c>
      <c r="C29" s="3">
        <f>INDEX(_xll.ACT_COPULA_STUDENT_T(B7:D9, B12, B13, B14), 11, 2)</f>
        <v>8.7739956392008739E-2</v>
      </c>
      <c r="D29" s="3">
        <f>INDEX(_xll.ACT_COPULA_STUDENT_T(B7:D9, B12, B13, B14), 11, 3)</f>
        <v>0.44198755492489722</v>
      </c>
    </row>
    <row r="30" spans="1:4" x14ac:dyDescent="0.25">
      <c r="A30" s="3">
        <v>12</v>
      </c>
      <c r="B30" s="3">
        <f>INDEX(_xll.ACT_COPULA_STUDENT_T(B7:D9, B12, B13, B14), 12, 1)</f>
        <v>5.5780916831000435E-2</v>
      </c>
      <c r="C30" s="3">
        <f>INDEX(_xll.ACT_COPULA_STUDENT_T(B7:D9, B12, B13, B14), 12, 2)</f>
        <v>0.12984347522109552</v>
      </c>
      <c r="D30" s="3">
        <f>INDEX(_xll.ACT_COPULA_STUDENT_T(B7:D9, B12, B13, B14), 12, 3)</f>
        <v>0.65146380209037491</v>
      </c>
    </row>
    <row r="31" spans="1:4" x14ac:dyDescent="0.25">
      <c r="A31" s="3">
        <v>13</v>
      </c>
      <c r="B31" s="3">
        <f>INDEX(_xll.ACT_COPULA_STUDENT_T(B7:D9, B12, B13, B14), 13, 1)</f>
        <v>0.15455696167726757</v>
      </c>
      <c r="C31" s="3">
        <f>INDEX(_xll.ACT_COPULA_STUDENT_T(B7:D9, B12, B13, B14), 13, 2)</f>
        <v>0.1606373365308062</v>
      </c>
      <c r="D31" s="3">
        <f>INDEX(_xll.ACT_COPULA_STUDENT_T(B7:D9, B12, B13, B14), 13, 3)</f>
        <v>5.7854654370122993E-2</v>
      </c>
    </row>
    <row r="32" spans="1:4" x14ac:dyDescent="0.25">
      <c r="A32" s="3">
        <v>14</v>
      </c>
      <c r="B32" s="3">
        <f>INDEX(_xll.ACT_COPULA_STUDENT_T(B7:D9, B12, B13, B14), 14, 1)</f>
        <v>0.6365622135478467</v>
      </c>
      <c r="C32" s="3">
        <f>INDEX(_xll.ACT_COPULA_STUDENT_T(B7:D9, B12, B13, B14), 14, 2)</f>
        <v>0.61938200844577795</v>
      </c>
      <c r="D32" s="3">
        <f>INDEX(_xll.ACT_COPULA_STUDENT_T(B7:D9, B12, B13, B14), 14, 3)</f>
        <v>0.86469621134692431</v>
      </c>
    </row>
    <row r="33" spans="1:4" x14ac:dyDescent="0.25">
      <c r="A33" s="3">
        <v>15</v>
      </c>
      <c r="B33" s="3">
        <f>INDEX(_xll.ACT_COPULA_STUDENT_T(B7:D9, B12, B13, B14), 15, 1)</f>
        <v>0.95922240189936137</v>
      </c>
      <c r="C33" s="3">
        <f>INDEX(_xll.ACT_COPULA_STUDENT_T(B7:D9, B12, B13, B14), 15, 2)</f>
        <v>0.93405075846931329</v>
      </c>
      <c r="D33" s="3">
        <f>INDEX(_xll.ACT_COPULA_STUDENT_T(B7:D9, B12, B13, B14), 15, 3)</f>
        <v>0.95218133872953314</v>
      </c>
    </row>
    <row r="34" spans="1:4" x14ac:dyDescent="0.25">
      <c r="A34" s="3">
        <v>16</v>
      </c>
      <c r="B34" s="3">
        <f>INDEX(_xll.ACT_COPULA_STUDENT_T(B7:D9, B12, B13, B14), 16, 1)</f>
        <v>0.76254504217989449</v>
      </c>
      <c r="C34" s="3">
        <f>INDEX(_xll.ACT_COPULA_STUDENT_T(B7:D9, B12, B13, B14), 16, 2)</f>
        <v>0.73643185346968809</v>
      </c>
      <c r="D34" s="3">
        <f>INDEX(_xll.ACT_COPULA_STUDENT_T(B7:D9, B12, B13, B14), 16, 3)</f>
        <v>0.58586137818743889</v>
      </c>
    </row>
    <row r="35" spans="1:4" x14ac:dyDescent="0.25">
      <c r="A35" s="3">
        <v>17</v>
      </c>
      <c r="B35" s="3">
        <f>INDEX(_xll.ACT_COPULA_STUDENT_T(B7:D9, B12, B13, B14), 17, 1)</f>
        <v>0.3940056696437626</v>
      </c>
      <c r="C35" s="3">
        <f>INDEX(_xll.ACT_COPULA_STUDENT_T(B7:D9, B12, B13, B14), 17, 2)</f>
        <v>0.27584254767168803</v>
      </c>
      <c r="D35" s="3">
        <f>INDEX(_xll.ACT_COPULA_STUDENT_T(B7:D9, B12, B13, B14), 17, 3)</f>
        <v>0.33188272402313751</v>
      </c>
    </row>
    <row r="36" spans="1:4" x14ac:dyDescent="0.25">
      <c r="A36" s="3">
        <v>18</v>
      </c>
      <c r="B36" s="3">
        <f>INDEX(_xll.ACT_COPULA_STUDENT_T(B7:D9, B12, B13, B14), 18, 1)</f>
        <v>0.74746772578331466</v>
      </c>
      <c r="C36" s="3">
        <f>INDEX(_xll.ACT_COPULA_STUDENT_T(B7:D9, B12, B13, B14), 18, 2)</f>
        <v>0.58774301216616442</v>
      </c>
      <c r="D36" s="3">
        <f>INDEX(_xll.ACT_COPULA_STUDENT_T(B7:D9, B12, B13, B14), 18, 3)</f>
        <v>0.21700615029803333</v>
      </c>
    </row>
    <row r="37" spans="1:4" x14ac:dyDescent="0.25">
      <c r="A37" s="3">
        <v>19</v>
      </c>
      <c r="B37" s="3">
        <f>INDEX(_xll.ACT_COPULA_STUDENT_T(B7:D9, B12, B13, B14), 19, 1)</f>
        <v>0.68169880299567454</v>
      </c>
      <c r="C37" s="3">
        <f>INDEX(_xll.ACT_COPULA_STUDENT_T(B7:D9, B12, B13, B14), 19, 2)</f>
        <v>0.70706902724885867</v>
      </c>
      <c r="D37" s="3">
        <f>INDEX(_xll.ACT_COPULA_STUDENT_T(B7:D9, B12, B13, B14), 19, 3)</f>
        <v>0.70475660833856879</v>
      </c>
    </row>
    <row r="38" spans="1:4" x14ac:dyDescent="0.25">
      <c r="A38" s="3">
        <v>20</v>
      </c>
      <c r="B38" s="3">
        <f>INDEX(_xll.ACT_COPULA_STUDENT_T(B7:D9, B12, B13, B14), 20, 1)</f>
        <v>0.65666487998865175</v>
      </c>
      <c r="C38" s="3">
        <f>INDEX(_xll.ACT_COPULA_STUDENT_T(B7:D9, B12, B13, B14), 20, 2)</f>
        <v>0.72240976551077185</v>
      </c>
      <c r="D38" s="3">
        <f>INDEX(_xll.ACT_COPULA_STUDENT_T(B7:D9, B12, B13, B14), 20, 3)</f>
        <v>0.56564958044404512</v>
      </c>
    </row>
    <row r="39" spans="1:4" x14ac:dyDescent="0.25">
      <c r="A39" s="3">
        <v>21</v>
      </c>
      <c r="B39" s="3">
        <f>INDEX(_xll.ACT_COPULA_STUDENT_T(B7:D9, B12, B13, B14), 21, 1)</f>
        <v>0.50472670547065035</v>
      </c>
      <c r="C39" s="3">
        <f>INDEX(_xll.ACT_COPULA_STUDENT_T(B7:D9, B12, B13, B14), 21, 2)</f>
        <v>0.43230838885043366</v>
      </c>
      <c r="D39" s="3">
        <f>INDEX(_xll.ACT_COPULA_STUDENT_T(B7:D9, B12, B13, B14), 21, 3)</f>
        <v>0.77215531853816177</v>
      </c>
    </row>
    <row r="40" spans="1:4" x14ac:dyDescent="0.25">
      <c r="A40" s="3">
        <v>22</v>
      </c>
      <c r="B40" s="3">
        <f>INDEX(_xll.ACT_COPULA_STUDENT_T(B7:D9, B12, B13, B14), 22, 1)</f>
        <v>0.52307370352115545</v>
      </c>
      <c r="C40" s="3">
        <f>INDEX(_xll.ACT_COPULA_STUDENT_T(B7:D9, B12, B13, B14), 22, 2)</f>
        <v>0.43041773965292951</v>
      </c>
      <c r="D40" s="3">
        <f>INDEX(_xll.ACT_COPULA_STUDENT_T(B7:D9, B12, B13, B14), 22, 3)</f>
        <v>0.46165919862313598</v>
      </c>
    </row>
    <row r="41" spans="1:4" x14ac:dyDescent="0.25">
      <c r="A41" s="3">
        <v>23</v>
      </c>
      <c r="B41" s="3">
        <f>INDEX(_xll.ACT_COPULA_STUDENT_T(B7:D9, B12, B13, B14), 23, 1)</f>
        <v>0.23569184866766407</v>
      </c>
      <c r="C41" s="3">
        <f>INDEX(_xll.ACT_COPULA_STUDENT_T(B7:D9, B12, B13, B14), 23, 2)</f>
        <v>0.52400964343159939</v>
      </c>
      <c r="D41" s="3">
        <f>INDEX(_xll.ACT_COPULA_STUDENT_T(B7:D9, B12, B13, B14), 23, 3)</f>
        <v>0.88761956905122308</v>
      </c>
    </row>
    <row r="42" spans="1:4" x14ac:dyDescent="0.25">
      <c r="A42" s="3">
        <v>24</v>
      </c>
      <c r="B42" s="3">
        <f>INDEX(_xll.ACT_COPULA_STUDENT_T(B7:D9, B12, B13, B14), 24, 1)</f>
        <v>0.6690136809917141</v>
      </c>
      <c r="C42" s="3">
        <f>INDEX(_xll.ACT_COPULA_STUDENT_T(B7:D9, B12, B13, B14), 24, 2)</f>
        <v>0.59143003523854143</v>
      </c>
      <c r="D42" s="3">
        <f>INDEX(_xll.ACT_COPULA_STUDENT_T(B7:D9, B12, B13, B14), 24, 3)</f>
        <v>0.58712718830672017</v>
      </c>
    </row>
    <row r="43" spans="1:4" x14ac:dyDescent="0.25">
      <c r="A43" s="3">
        <v>25</v>
      </c>
      <c r="B43" s="3">
        <f>INDEX(_xll.ACT_COPULA_STUDENT_T(B7:D9, B12, B13, B14), 25, 1)</f>
        <v>0.42695259494263799</v>
      </c>
      <c r="C43" s="3">
        <f>INDEX(_xll.ACT_COPULA_STUDENT_T(B7:D9, B12, B13, B14), 25, 2)</f>
        <v>0.32390687683627778</v>
      </c>
      <c r="D43" s="3">
        <f>INDEX(_xll.ACT_COPULA_STUDENT_T(B7:D9, B12, B13, B14), 25, 3)</f>
        <v>0.19555853228619968</v>
      </c>
    </row>
    <row r="44" spans="1:4" x14ac:dyDescent="0.25">
      <c r="A44" s="3">
        <v>26</v>
      </c>
      <c r="B44" s="3">
        <f>INDEX(_xll.ACT_COPULA_STUDENT_T(B7:D9, B12, B13, B14), 26, 1)</f>
        <v>0.66575308085524199</v>
      </c>
      <c r="C44" s="3">
        <f>INDEX(_xll.ACT_COPULA_STUDENT_T(B7:D9, B12, B13, B14), 26, 2)</f>
        <v>0.8227263519634882</v>
      </c>
      <c r="D44" s="3">
        <f>INDEX(_xll.ACT_COPULA_STUDENT_T(B7:D9, B12, B13, B14), 26, 3)</f>
        <v>0.12561946809406005</v>
      </c>
    </row>
    <row r="45" spans="1:4" x14ac:dyDescent="0.25">
      <c r="A45" s="3">
        <v>27</v>
      </c>
      <c r="B45" s="3">
        <f>INDEX(_xll.ACT_COPULA_STUDENT_T(B7:D9, B12, B13, B14), 27, 1)</f>
        <v>0.33701008868041887</v>
      </c>
      <c r="C45" s="3">
        <f>INDEX(_xll.ACT_COPULA_STUDENT_T(B7:D9, B12, B13, B14), 27, 2)</f>
        <v>0.284866846728624</v>
      </c>
      <c r="D45" s="3">
        <f>INDEX(_xll.ACT_COPULA_STUDENT_T(B7:D9, B12, B13, B14), 27, 3)</f>
        <v>0.28470704406468877</v>
      </c>
    </row>
    <row r="46" spans="1:4" x14ac:dyDescent="0.25">
      <c r="A46" s="3">
        <v>28</v>
      </c>
      <c r="B46" s="3">
        <f>INDEX(_xll.ACT_COPULA_STUDENT_T(B7:D9, B12, B13, B14), 28, 1)</f>
        <v>0.50460221952132822</v>
      </c>
      <c r="C46" s="3">
        <f>INDEX(_xll.ACT_COPULA_STUDENT_T(B7:D9, B12, B13, B14), 28, 2)</f>
        <v>0.55851973459715509</v>
      </c>
      <c r="D46" s="3">
        <f>INDEX(_xll.ACT_COPULA_STUDENT_T(B7:D9, B12, B13, B14), 28, 3)</f>
        <v>0.64403466096366246</v>
      </c>
    </row>
    <row r="47" spans="1:4" x14ac:dyDescent="0.25">
      <c r="A47" s="3">
        <v>29</v>
      </c>
      <c r="B47" s="3">
        <f>INDEX(_xll.ACT_COPULA_STUDENT_T(B7:D9, B12, B13, B14), 29, 1)</f>
        <v>0.54580618571672379</v>
      </c>
      <c r="C47" s="3">
        <f>INDEX(_xll.ACT_COPULA_STUDENT_T(B7:D9, B12, B13, B14), 29, 2)</f>
        <v>0.51506002792986205</v>
      </c>
      <c r="D47" s="3">
        <f>INDEX(_xll.ACT_COPULA_STUDENT_T(B7:D9, B12, B13, B14), 29, 3)</f>
        <v>0.13749227890622273</v>
      </c>
    </row>
    <row r="48" spans="1:4" x14ac:dyDescent="0.25">
      <c r="A48" s="3">
        <v>30</v>
      </c>
      <c r="B48" s="3">
        <f>INDEX(_xll.ACT_COPULA_STUDENT_T(B7:D9, B12, B13, B14), 30, 1)</f>
        <v>0.24159012666430019</v>
      </c>
      <c r="C48" s="3">
        <f>INDEX(_xll.ACT_COPULA_STUDENT_T(B7:D9, B12, B13, B14), 30, 2)</f>
        <v>0.20287663860483746</v>
      </c>
      <c r="D48" s="3">
        <f>INDEX(_xll.ACT_COPULA_STUDENT_T(B7:D9, B12, B13, B14), 30, 3)</f>
        <v>0.82649092407346236</v>
      </c>
    </row>
    <row r="49" spans="1:4" x14ac:dyDescent="0.25">
      <c r="A49" s="3">
        <v>31</v>
      </c>
      <c r="B49" s="3">
        <f>INDEX(_xll.ACT_COPULA_STUDENT_T(B7:D9, B12, B13, B14), 31, 1)</f>
        <v>0.67597256983795051</v>
      </c>
      <c r="C49" s="3">
        <f>INDEX(_xll.ACT_COPULA_STUDENT_T(B7:D9, B12, B13, B14), 31, 2)</f>
        <v>0.62429172309777792</v>
      </c>
      <c r="D49" s="3">
        <f>INDEX(_xll.ACT_COPULA_STUDENT_T(B7:D9, B12, B13, B14), 31, 3)</f>
        <v>0.76056757931531505</v>
      </c>
    </row>
    <row r="50" spans="1:4" x14ac:dyDescent="0.25">
      <c r="A50" s="3">
        <v>32</v>
      </c>
      <c r="B50" s="3">
        <f>INDEX(_xll.ACT_COPULA_STUDENT_T(B7:D9, B12, B13, B14), 32, 1)</f>
        <v>0.50685188928050762</v>
      </c>
      <c r="C50" s="3">
        <f>INDEX(_xll.ACT_COPULA_STUDENT_T(B7:D9, B12, B13, B14), 32, 2)</f>
        <v>0.63964003241386991</v>
      </c>
      <c r="D50" s="3">
        <f>INDEX(_xll.ACT_COPULA_STUDENT_T(B7:D9, B12, B13, B14), 32, 3)</f>
        <v>0.54034541001075609</v>
      </c>
    </row>
    <row r="51" spans="1:4" x14ac:dyDescent="0.25">
      <c r="A51" s="3">
        <v>33</v>
      </c>
      <c r="B51" s="3">
        <f>INDEX(_xll.ACT_COPULA_STUDENT_T(B7:D9, B12, B13, B14), 33, 1)</f>
        <v>0.47159647039310609</v>
      </c>
      <c r="C51" s="3">
        <f>INDEX(_xll.ACT_COPULA_STUDENT_T(B7:D9, B12, B13, B14), 33, 2)</f>
        <v>0.49917505730289963</v>
      </c>
      <c r="D51" s="3">
        <f>INDEX(_xll.ACT_COPULA_STUDENT_T(B7:D9, B12, B13, B14), 33, 3)</f>
        <v>0.9169606906558595</v>
      </c>
    </row>
    <row r="52" spans="1:4" x14ac:dyDescent="0.25">
      <c r="A52" s="3">
        <v>34</v>
      </c>
      <c r="B52" s="3">
        <f>INDEX(_xll.ACT_COPULA_STUDENT_T(B7:D9, B12, B13, B14), 34, 1)</f>
        <v>0.67567108326778824</v>
      </c>
      <c r="C52" s="3">
        <f>INDEX(_xll.ACT_COPULA_STUDENT_T(B7:D9, B12, B13, B14), 34, 2)</f>
        <v>0.71576361649787135</v>
      </c>
      <c r="D52" s="3">
        <f>INDEX(_xll.ACT_COPULA_STUDENT_T(B7:D9, B12, B13, B14), 34, 3)</f>
        <v>0.52623769477628501</v>
      </c>
    </row>
    <row r="53" spans="1:4" x14ac:dyDescent="0.25">
      <c r="A53" s="3">
        <v>35</v>
      </c>
      <c r="B53" s="3">
        <f>INDEX(_xll.ACT_COPULA_STUDENT_T(B7:D9, B12, B13, B14), 35, 1)</f>
        <v>0.30606403225556211</v>
      </c>
      <c r="C53" s="3">
        <f>INDEX(_xll.ACT_COPULA_STUDENT_T(B7:D9, B12, B13, B14), 35, 2)</f>
        <v>0.60609688919311755</v>
      </c>
      <c r="D53" s="3">
        <f>INDEX(_xll.ACT_COPULA_STUDENT_T(B7:D9, B12, B13, B14), 35, 3)</f>
        <v>0.69991188892197076</v>
      </c>
    </row>
    <row r="54" spans="1:4" x14ac:dyDescent="0.25">
      <c r="A54" s="3">
        <v>36</v>
      </c>
      <c r="B54" s="3">
        <f>INDEX(_xll.ACT_COPULA_STUDENT_T(B7:D9, B12, B13, B14), 36, 1)</f>
        <v>0.17512435185287023</v>
      </c>
      <c r="C54" s="3">
        <f>INDEX(_xll.ACT_COPULA_STUDENT_T(B7:D9, B12, B13, B14), 36, 2)</f>
        <v>0.33328062045512363</v>
      </c>
      <c r="D54" s="3">
        <f>INDEX(_xll.ACT_COPULA_STUDENT_T(B7:D9, B12, B13, B14), 36, 3)</f>
        <v>0.55934087191306214</v>
      </c>
    </row>
    <row r="55" spans="1:4" x14ac:dyDescent="0.25">
      <c r="A55" s="3">
        <v>37</v>
      </c>
      <c r="B55" s="3">
        <f>INDEX(_xll.ACT_COPULA_STUDENT_T(B7:D9, B12, B13, B14), 37, 1)</f>
        <v>0.4590388819923632</v>
      </c>
      <c r="C55" s="3">
        <f>INDEX(_xll.ACT_COPULA_STUDENT_T(B7:D9, B12, B13, B14), 37, 2)</f>
        <v>0.34941757225754327</v>
      </c>
      <c r="D55" s="3">
        <f>INDEX(_xll.ACT_COPULA_STUDENT_T(B7:D9, B12, B13, B14), 37, 3)</f>
        <v>0.53249192934856571</v>
      </c>
    </row>
    <row r="56" spans="1:4" x14ac:dyDescent="0.25">
      <c r="A56" s="3">
        <v>38</v>
      </c>
      <c r="B56" s="3">
        <f>INDEX(_xll.ACT_COPULA_STUDENT_T(B7:D9, B12, B13, B14), 38, 1)</f>
        <v>0.72643115862681196</v>
      </c>
      <c r="C56" s="3">
        <f>INDEX(_xll.ACT_COPULA_STUDENT_T(B7:D9, B12, B13, B14), 38, 2)</f>
        <v>0.64205944556265515</v>
      </c>
      <c r="D56" s="3">
        <f>INDEX(_xll.ACT_COPULA_STUDENT_T(B7:D9, B12, B13, B14), 38, 3)</f>
        <v>0.30725747576033519</v>
      </c>
    </row>
    <row r="57" spans="1:4" x14ac:dyDescent="0.25">
      <c r="A57" s="3">
        <v>39</v>
      </c>
      <c r="B57" s="3">
        <f>INDEX(_xll.ACT_COPULA_STUDENT_T(B7:D9, B12, B13, B14), 39, 1)</f>
        <v>8.1439137987078705E-2</v>
      </c>
      <c r="C57" s="3">
        <f>INDEX(_xll.ACT_COPULA_STUDENT_T(B7:D9, B12, B13, B14), 39, 2)</f>
        <v>3.9552918602916244E-2</v>
      </c>
      <c r="D57" s="3">
        <f>INDEX(_xll.ACT_COPULA_STUDENT_T(B7:D9, B12, B13, B14), 39, 3)</f>
        <v>3.4972423640121209E-2</v>
      </c>
    </row>
    <row r="58" spans="1:4" x14ac:dyDescent="0.25">
      <c r="A58" s="3">
        <v>40</v>
      </c>
      <c r="B58" s="3">
        <f>INDEX(_xll.ACT_COPULA_STUDENT_T(B7:D9, B12, B13, B14), 40, 1)</f>
        <v>0.31744839144563036</v>
      </c>
      <c r="C58" s="3">
        <f>INDEX(_xll.ACT_COPULA_STUDENT_T(B7:D9, B12, B13, B14), 40, 2)</f>
        <v>0.27941008326891309</v>
      </c>
      <c r="D58" s="3">
        <f>INDEX(_xll.ACT_COPULA_STUDENT_T(B7:D9, B12, B13, B14), 40, 3)</f>
        <v>0.45298378389803945</v>
      </c>
    </row>
    <row r="59" spans="1:4" x14ac:dyDescent="0.25">
      <c r="A59" s="3">
        <v>41</v>
      </c>
      <c r="B59" s="3">
        <f>INDEX(_xll.ACT_COPULA_STUDENT_T(B7:D9, B12, B13, B14), 41, 1)</f>
        <v>0.38973887995140305</v>
      </c>
      <c r="C59" s="3">
        <f>INDEX(_xll.ACT_COPULA_STUDENT_T(B7:D9, B12, B13, B14), 41, 2)</f>
        <v>0.67103027191657971</v>
      </c>
      <c r="D59" s="3">
        <f>INDEX(_xll.ACT_COPULA_STUDENT_T(B7:D9, B12, B13, B14), 41, 3)</f>
        <v>0.85440070496901432</v>
      </c>
    </row>
    <row r="60" spans="1:4" x14ac:dyDescent="0.25">
      <c r="A60" s="3">
        <v>42</v>
      </c>
      <c r="B60" s="3">
        <f>INDEX(_xll.ACT_COPULA_STUDENT_T(B7:D9, B12, B13, B14), 42, 1)</f>
        <v>0.55570840050406323</v>
      </c>
      <c r="C60" s="3">
        <f>INDEX(_xll.ACT_COPULA_STUDENT_T(B7:D9, B12, B13, B14), 42, 2)</f>
        <v>0.72631240812049747</v>
      </c>
      <c r="D60" s="3">
        <f>INDEX(_xll.ACT_COPULA_STUDENT_T(B7:D9, B12, B13, B14), 42, 3)</f>
        <v>0.42527777668983691</v>
      </c>
    </row>
    <row r="61" spans="1:4" x14ac:dyDescent="0.25">
      <c r="A61" s="3">
        <v>43</v>
      </c>
      <c r="B61" s="3">
        <f>INDEX(_xll.ACT_COPULA_STUDENT_T(B7:D9, B12, B13, B14), 43, 1)</f>
        <v>0.75729152476348904</v>
      </c>
      <c r="C61" s="3">
        <f>INDEX(_xll.ACT_COPULA_STUDENT_T(B7:D9, B12, B13, B14), 43, 2)</f>
        <v>0.71936826246677543</v>
      </c>
      <c r="D61" s="3">
        <f>INDEX(_xll.ACT_COPULA_STUDENT_T(B7:D9, B12, B13, B14), 43, 3)</f>
        <v>0.61361876358695477</v>
      </c>
    </row>
    <row r="62" spans="1:4" x14ac:dyDescent="0.25">
      <c r="A62" s="3">
        <v>44</v>
      </c>
      <c r="B62" s="3">
        <f>INDEX(_xll.ACT_COPULA_STUDENT_T(B7:D9, B12, B13, B14), 44, 1)</f>
        <v>6.2029841316841292E-2</v>
      </c>
      <c r="C62" s="3">
        <f>INDEX(_xll.ACT_COPULA_STUDENT_T(B7:D9, B12, B13, B14), 44, 2)</f>
        <v>7.002099861039264E-2</v>
      </c>
      <c r="D62" s="3">
        <f>INDEX(_xll.ACT_COPULA_STUDENT_T(B7:D9, B12, B13, B14), 44, 3)</f>
        <v>0.29007664025953089</v>
      </c>
    </row>
    <row r="63" spans="1:4" x14ac:dyDescent="0.25">
      <c r="A63" s="3">
        <v>45</v>
      </c>
      <c r="B63" s="3">
        <f>INDEX(_xll.ACT_COPULA_STUDENT_T(B7:D9, B12, B13, B14), 45, 1)</f>
        <v>0.32818004597098582</v>
      </c>
      <c r="C63" s="3">
        <f>INDEX(_xll.ACT_COPULA_STUDENT_T(B7:D9, B12, B13, B14), 45, 2)</f>
        <v>0.39791060501190229</v>
      </c>
      <c r="D63" s="3">
        <f>INDEX(_xll.ACT_COPULA_STUDENT_T(B7:D9, B12, B13, B14), 45, 3)</f>
        <v>0.45618296513072448</v>
      </c>
    </row>
    <row r="64" spans="1:4" x14ac:dyDescent="0.25">
      <c r="A64" s="3">
        <v>46</v>
      </c>
      <c r="B64" s="3">
        <f>INDEX(_xll.ACT_COPULA_STUDENT_T(B7:D9, B12, B13, B14), 46, 1)</f>
        <v>0.9357454613375813</v>
      </c>
      <c r="C64" s="3">
        <f>INDEX(_xll.ACT_COPULA_STUDENT_T(B7:D9, B12, B13, B14), 46, 2)</f>
        <v>0.89667058883328687</v>
      </c>
      <c r="D64" s="3">
        <f>INDEX(_xll.ACT_COPULA_STUDENT_T(B7:D9, B12, B13, B14), 46, 3)</f>
        <v>0.95933487328694844</v>
      </c>
    </row>
    <row r="65" spans="1:4" x14ac:dyDescent="0.25">
      <c r="A65" s="3">
        <v>47</v>
      </c>
      <c r="B65" s="3">
        <f>INDEX(_xll.ACT_COPULA_STUDENT_T(B7:D9, B12, B13, B14), 47, 1)</f>
        <v>0.9404710224789099</v>
      </c>
      <c r="C65" s="3">
        <f>INDEX(_xll.ACT_COPULA_STUDENT_T(B7:D9, B12, B13, B14), 47, 2)</f>
        <v>0.93425340036763249</v>
      </c>
      <c r="D65" s="3">
        <f>INDEX(_xll.ACT_COPULA_STUDENT_T(B7:D9, B12, B13, B14), 47, 3)</f>
        <v>0.8770111290145467</v>
      </c>
    </row>
    <row r="66" spans="1:4" x14ac:dyDescent="0.25">
      <c r="A66" s="3">
        <v>48</v>
      </c>
      <c r="B66" s="3">
        <f>INDEX(_xll.ACT_COPULA_STUDENT_T(B7:D9, B12, B13, B14), 48, 1)</f>
        <v>3.0251689685865463E-2</v>
      </c>
      <c r="C66" s="3">
        <f>INDEX(_xll.ACT_COPULA_STUDENT_T(B7:D9, B12, B13, B14), 48, 2)</f>
        <v>4.1956719116226976E-2</v>
      </c>
      <c r="D66" s="3">
        <f>INDEX(_xll.ACT_COPULA_STUDENT_T(B7:D9, B12, B13, B14), 48, 3)</f>
        <v>0.61055575212665214</v>
      </c>
    </row>
    <row r="67" spans="1:4" x14ac:dyDescent="0.25">
      <c r="A67" s="3">
        <v>49</v>
      </c>
      <c r="B67" s="3">
        <f>INDEX(_xll.ACT_COPULA_STUDENT_T(B7:D9, B12, B13, B14), 49, 1)</f>
        <v>0.47573613255793396</v>
      </c>
      <c r="C67" s="3">
        <f>INDEX(_xll.ACT_COPULA_STUDENT_T(B7:D9, B12, B13, B14), 49, 2)</f>
        <v>0.38810128268668254</v>
      </c>
      <c r="D67" s="3">
        <f>INDEX(_xll.ACT_COPULA_STUDENT_T(B7:D9, B12, B13, B14), 49, 3)</f>
        <v>0.23209506398196789</v>
      </c>
    </row>
    <row r="68" spans="1:4" x14ac:dyDescent="0.25">
      <c r="A68" s="3">
        <v>50</v>
      </c>
      <c r="B68" s="3">
        <f>INDEX(_xll.ACT_COPULA_STUDENT_T(B7:D9, B12, B13, B14), 50, 1)</f>
        <v>1.4159554186958389E-2</v>
      </c>
      <c r="C68" s="3">
        <f>INDEX(_xll.ACT_COPULA_STUDENT_T(B7:D9, B12, B13, B14), 50, 2)</f>
        <v>5.6281069639571357E-2</v>
      </c>
      <c r="D68" s="3">
        <f>INDEX(_xll.ACT_COPULA_STUDENT_T(B7:D9, B12, B13, B14), 50, 3)</f>
        <v>1.3599673823039856E-2</v>
      </c>
    </row>
    <row r="69" spans="1:4" x14ac:dyDescent="0.25">
      <c r="A69" s="3">
        <v>51</v>
      </c>
      <c r="B69" s="3">
        <f>INDEX(_xll.ACT_COPULA_STUDENT_T(B7:D9, B12, B13, B14), 51, 1)</f>
        <v>0.17865278332009316</v>
      </c>
      <c r="C69" s="3">
        <f>INDEX(_xll.ACT_COPULA_STUDENT_T(B7:D9, B12, B13, B14), 51, 2)</f>
        <v>0.26265719926445608</v>
      </c>
      <c r="D69" s="3">
        <f>INDEX(_xll.ACT_COPULA_STUDENT_T(B7:D9, B12, B13, B14), 51, 3)</f>
        <v>0.58813787840137222</v>
      </c>
    </row>
    <row r="70" spans="1:4" x14ac:dyDescent="0.25">
      <c r="A70" s="3">
        <v>52</v>
      </c>
      <c r="B70" s="3">
        <f>INDEX(_xll.ACT_COPULA_STUDENT_T(B7:D9, B12, B13, B14), 52, 1)</f>
        <v>0.1938597902876521</v>
      </c>
      <c r="C70" s="3">
        <f>INDEX(_xll.ACT_COPULA_STUDENT_T(B7:D9, B12, B13, B14), 52, 2)</f>
        <v>0.2976066408504135</v>
      </c>
      <c r="D70" s="3">
        <f>INDEX(_xll.ACT_COPULA_STUDENT_T(B7:D9, B12, B13, B14), 52, 3)</f>
        <v>0.24918506442247779</v>
      </c>
    </row>
    <row r="71" spans="1:4" x14ac:dyDescent="0.25">
      <c r="A71" s="3">
        <v>53</v>
      </c>
      <c r="B71" s="3">
        <f>INDEX(_xll.ACT_COPULA_STUDENT_T(B7:D9, B12, B13, B14), 53, 1)</f>
        <v>0.17308484259584345</v>
      </c>
      <c r="C71" s="3">
        <f>INDEX(_xll.ACT_COPULA_STUDENT_T(B7:D9, B12, B13, B14), 53, 2)</f>
        <v>0.18989133187032653</v>
      </c>
      <c r="D71" s="3">
        <f>INDEX(_xll.ACT_COPULA_STUDENT_T(B7:D9, B12, B13, B14), 53, 3)</f>
        <v>0.27219416046446687</v>
      </c>
    </row>
    <row r="72" spans="1:4" x14ac:dyDescent="0.25">
      <c r="A72" s="3">
        <v>54</v>
      </c>
      <c r="B72" s="3">
        <f>INDEX(_xll.ACT_COPULA_STUDENT_T(B7:D9, B12, B13, B14), 54, 1)</f>
        <v>0.2133548267939484</v>
      </c>
      <c r="C72" s="3">
        <f>INDEX(_xll.ACT_COPULA_STUDENT_T(B7:D9, B12, B13, B14), 54, 2)</f>
        <v>0.15966429488555667</v>
      </c>
      <c r="D72" s="3">
        <f>INDEX(_xll.ACT_COPULA_STUDENT_T(B7:D9, B12, B13, B14), 54, 3)</f>
        <v>0.51127686377299986</v>
      </c>
    </row>
    <row r="73" spans="1:4" x14ac:dyDescent="0.25">
      <c r="A73" s="3">
        <v>55</v>
      </c>
      <c r="B73" s="3">
        <f>INDEX(_xll.ACT_COPULA_STUDENT_T(B7:D9, B12, B13, B14), 55, 1)</f>
        <v>0.33535125071749894</v>
      </c>
      <c r="C73" s="3">
        <f>INDEX(_xll.ACT_COPULA_STUDENT_T(B7:D9, B12, B13, B14), 55, 2)</f>
        <v>0.32647604059569935</v>
      </c>
      <c r="D73" s="3">
        <f>INDEX(_xll.ACT_COPULA_STUDENT_T(B7:D9, B12, B13, B14), 55, 3)</f>
        <v>0.18443444657610836</v>
      </c>
    </row>
    <row r="74" spans="1:4" x14ac:dyDescent="0.25">
      <c r="A74" s="3">
        <v>56</v>
      </c>
      <c r="B74" s="3">
        <f>INDEX(_xll.ACT_COPULA_STUDENT_T(B7:D9, B12, B13, B14), 56, 1)</f>
        <v>3.7432074461345E-2</v>
      </c>
      <c r="C74" s="3">
        <f>INDEX(_xll.ACT_COPULA_STUDENT_T(B7:D9, B12, B13, B14), 56, 2)</f>
        <v>1.1987220590385461E-2</v>
      </c>
      <c r="D74" s="3">
        <f>INDEX(_xll.ACT_COPULA_STUDENT_T(B7:D9, B12, B13, B14), 56, 3)</f>
        <v>2.0226740204577858E-2</v>
      </c>
    </row>
    <row r="75" spans="1:4" x14ac:dyDescent="0.25">
      <c r="A75" s="3">
        <v>57</v>
      </c>
      <c r="B75" s="3">
        <f>INDEX(_xll.ACT_COPULA_STUDENT_T(B7:D9, B12, B13, B14), 57, 1)</f>
        <v>0.49114652365617872</v>
      </c>
      <c r="C75" s="3">
        <f>INDEX(_xll.ACT_COPULA_STUDENT_T(B7:D9, B12, B13, B14), 57, 2)</f>
        <v>0.41878878322631263</v>
      </c>
      <c r="D75" s="3">
        <f>INDEX(_xll.ACT_COPULA_STUDENT_T(B7:D9, B12, B13, B14), 57, 3)</f>
        <v>0.12381118386120471</v>
      </c>
    </row>
    <row r="76" spans="1:4" x14ac:dyDescent="0.25">
      <c r="A76" s="3">
        <v>58</v>
      </c>
      <c r="B76" s="3">
        <f>INDEX(_xll.ACT_COPULA_STUDENT_T(B7:D9, B12, B13, B14), 58, 1)</f>
        <v>0.2244666257009118</v>
      </c>
      <c r="C76" s="3">
        <f>INDEX(_xll.ACT_COPULA_STUDENT_T(B7:D9, B12, B13, B14), 58, 2)</f>
        <v>0.18350798916501743</v>
      </c>
      <c r="D76" s="3">
        <f>INDEX(_xll.ACT_COPULA_STUDENT_T(B7:D9, B12, B13, B14), 58, 3)</f>
        <v>0.26475581482689781</v>
      </c>
    </row>
    <row r="77" spans="1:4" x14ac:dyDescent="0.25">
      <c r="A77" s="3">
        <v>59</v>
      </c>
      <c r="B77" s="3">
        <f>INDEX(_xll.ACT_COPULA_STUDENT_T(B7:D9, B12, B13, B14), 59, 1)</f>
        <v>0.95915288711453006</v>
      </c>
      <c r="C77" s="3">
        <f>INDEX(_xll.ACT_COPULA_STUDENT_T(B7:D9, B12, B13, B14), 59, 2)</f>
        <v>0.92976759667623532</v>
      </c>
      <c r="D77" s="3">
        <f>INDEX(_xll.ACT_COPULA_STUDENT_T(B7:D9, B12, B13, B14), 59, 3)</f>
        <v>0.15286700115762852</v>
      </c>
    </row>
    <row r="78" spans="1:4" x14ac:dyDescent="0.25">
      <c r="A78" s="3">
        <v>60</v>
      </c>
      <c r="B78" s="3">
        <f>INDEX(_xll.ACT_COPULA_STUDENT_T(B7:D9, B12, B13, B14), 60, 1)</f>
        <v>0.20408571917116675</v>
      </c>
      <c r="C78" s="3">
        <f>INDEX(_xll.ACT_COPULA_STUDENT_T(B7:D9, B12, B13, B14), 60, 2)</f>
        <v>0.19386047639224785</v>
      </c>
      <c r="D78" s="3">
        <f>INDEX(_xll.ACT_COPULA_STUDENT_T(B7:D9, B12, B13, B14), 60, 3)</f>
        <v>0.45589455208793139</v>
      </c>
    </row>
    <row r="79" spans="1:4" x14ac:dyDescent="0.25">
      <c r="A79" s="3">
        <v>61</v>
      </c>
      <c r="B79" s="3">
        <f>INDEX(_xll.ACT_COPULA_STUDENT_T(B7:D9, B12, B13, B14), 61, 1)</f>
        <v>8.8268919713061667E-2</v>
      </c>
      <c r="C79" s="3">
        <f>INDEX(_xll.ACT_COPULA_STUDENT_T(B7:D9, B12, B13, B14), 61, 2)</f>
        <v>7.6731086063858284E-2</v>
      </c>
      <c r="D79" s="3">
        <f>INDEX(_xll.ACT_COPULA_STUDENT_T(B7:D9, B12, B13, B14), 61, 3)</f>
        <v>3.8415491505284907E-2</v>
      </c>
    </row>
    <row r="80" spans="1:4" x14ac:dyDescent="0.25">
      <c r="A80" s="3">
        <v>62</v>
      </c>
      <c r="B80" s="3">
        <f>INDEX(_xll.ACT_COPULA_STUDENT_T(B7:D9, B12, B13, B14), 62, 1)</f>
        <v>0.53726394884841</v>
      </c>
      <c r="C80" s="3">
        <f>INDEX(_xll.ACT_COPULA_STUDENT_T(B7:D9, B12, B13, B14), 62, 2)</f>
        <v>0.40855591253839341</v>
      </c>
      <c r="D80" s="3">
        <f>INDEX(_xll.ACT_COPULA_STUDENT_T(B7:D9, B12, B13, B14), 62, 3)</f>
        <v>0.49899810259216004</v>
      </c>
    </row>
    <row r="81" spans="1:4" x14ac:dyDescent="0.25">
      <c r="A81" s="3">
        <v>63</v>
      </c>
      <c r="B81" s="3">
        <f>INDEX(_xll.ACT_COPULA_STUDENT_T(B7:D9, B12, B13, B14), 63, 1)</f>
        <v>0.26290309904465603</v>
      </c>
      <c r="C81" s="3">
        <f>INDEX(_xll.ACT_COPULA_STUDENT_T(B7:D9, B12, B13, B14), 63, 2)</f>
        <v>0.26938423272552003</v>
      </c>
      <c r="D81" s="3">
        <f>INDEX(_xll.ACT_COPULA_STUDENT_T(B7:D9, B12, B13, B14), 63, 3)</f>
        <v>0.98348018944493976</v>
      </c>
    </row>
    <row r="82" spans="1:4" x14ac:dyDescent="0.25">
      <c r="A82" s="3">
        <v>64</v>
      </c>
      <c r="B82" s="3">
        <f>INDEX(_xll.ACT_COPULA_STUDENT_T(B7:D9, B12, B13, B14), 64, 1)</f>
        <v>0.6064127857936541</v>
      </c>
      <c r="C82" s="3">
        <f>INDEX(_xll.ACT_COPULA_STUDENT_T(B7:D9, B12, B13, B14), 64, 2)</f>
        <v>0.851686991236142</v>
      </c>
      <c r="D82" s="3">
        <f>INDEX(_xll.ACT_COPULA_STUDENT_T(B7:D9, B12, B13, B14), 64, 3)</f>
        <v>0.88725641029052182</v>
      </c>
    </row>
    <row r="83" spans="1:4" x14ac:dyDescent="0.25">
      <c r="A83" s="3">
        <v>65</v>
      </c>
      <c r="B83" s="3">
        <f>INDEX(_xll.ACT_COPULA_STUDENT_T(B7:D9, B12, B13, B14), 65, 1)</f>
        <v>0.84083141648095039</v>
      </c>
      <c r="C83" s="3">
        <f>INDEX(_xll.ACT_COPULA_STUDENT_T(B7:D9, B12, B13, B14), 65, 2)</f>
        <v>0.83979261273060102</v>
      </c>
      <c r="D83" s="3">
        <f>INDEX(_xll.ACT_COPULA_STUDENT_T(B7:D9, B12, B13, B14), 65, 3)</f>
        <v>0.72665275357421288</v>
      </c>
    </row>
    <row r="84" spans="1:4" x14ac:dyDescent="0.25">
      <c r="A84" s="3">
        <v>66</v>
      </c>
      <c r="B84" s="3">
        <f>INDEX(_xll.ACT_COPULA_STUDENT_T(B7:D9, B12, B13, B14), 66, 1)</f>
        <v>0.93424574197398735</v>
      </c>
      <c r="C84" s="3">
        <f>INDEX(_xll.ACT_COPULA_STUDENT_T(B7:D9, B12, B13, B14), 66, 2)</f>
        <v>0.96332415172773833</v>
      </c>
      <c r="D84" s="3">
        <f>INDEX(_xll.ACT_COPULA_STUDENT_T(B7:D9, B12, B13, B14), 66, 3)</f>
        <v>0.91550628321881145</v>
      </c>
    </row>
    <row r="85" spans="1:4" x14ac:dyDescent="0.25">
      <c r="A85" s="3">
        <v>67</v>
      </c>
      <c r="B85" s="3">
        <f>INDEX(_xll.ACT_COPULA_STUDENT_T(B7:D9, B12, B13, B14), 67, 1)</f>
        <v>0.92727287840152828</v>
      </c>
      <c r="C85" s="3">
        <f>INDEX(_xll.ACT_COPULA_STUDENT_T(B7:D9, B12, B13, B14), 67, 2)</f>
        <v>0.917049285673738</v>
      </c>
      <c r="D85" s="3">
        <f>INDEX(_xll.ACT_COPULA_STUDENT_T(B7:D9, B12, B13, B14), 67, 3)</f>
        <v>0.53670016150697497</v>
      </c>
    </row>
    <row r="86" spans="1:4" x14ac:dyDescent="0.25">
      <c r="A86" s="3">
        <v>68</v>
      </c>
      <c r="B86" s="3">
        <f>INDEX(_xll.ACT_COPULA_STUDENT_T(B7:D9, B12, B13, B14), 68, 1)</f>
        <v>0.48163398422057491</v>
      </c>
      <c r="C86" s="3">
        <f>INDEX(_xll.ACT_COPULA_STUDENT_T(B7:D9, B12, B13, B14), 68, 2)</f>
        <v>0.39638086391032124</v>
      </c>
      <c r="D86" s="3">
        <f>INDEX(_xll.ACT_COPULA_STUDENT_T(B7:D9, B12, B13, B14), 68, 3)</f>
        <v>0.81285157356166615</v>
      </c>
    </row>
    <row r="87" spans="1:4" x14ac:dyDescent="0.25">
      <c r="A87" s="3">
        <v>69</v>
      </c>
      <c r="B87" s="3">
        <f>INDEX(_xll.ACT_COPULA_STUDENT_T(B7:D9, B12, B13, B14), 69, 1)</f>
        <v>0.43982644378523189</v>
      </c>
      <c r="C87" s="3">
        <f>INDEX(_xll.ACT_COPULA_STUDENT_T(B7:D9, B12, B13, B14), 69, 2)</f>
        <v>0.4504096460188165</v>
      </c>
      <c r="D87" s="3">
        <f>INDEX(_xll.ACT_COPULA_STUDENT_T(B7:D9, B12, B13, B14), 69, 3)</f>
        <v>0.13631661156468239</v>
      </c>
    </row>
    <row r="88" spans="1:4" x14ac:dyDescent="0.25">
      <c r="A88" s="3">
        <v>70</v>
      </c>
      <c r="B88" s="3">
        <f>INDEX(_xll.ACT_COPULA_STUDENT_T(B7:D9, B12, B13, B14), 70, 1)</f>
        <v>0.76705600211009006</v>
      </c>
      <c r="C88" s="3">
        <f>INDEX(_xll.ACT_COPULA_STUDENT_T(B7:D9, B12, B13, B14), 70, 2)</f>
        <v>0.64072537206356173</v>
      </c>
      <c r="D88" s="3">
        <f>INDEX(_xll.ACT_COPULA_STUDENT_T(B7:D9, B12, B13, B14), 70, 3)</f>
        <v>0.15941219523606764</v>
      </c>
    </row>
    <row r="89" spans="1:4" x14ac:dyDescent="0.25">
      <c r="A89" s="3">
        <v>71</v>
      </c>
      <c r="B89" s="3">
        <f>INDEX(_xll.ACT_COPULA_STUDENT_T(B7:D9, B12, B13, B14), 71, 1)</f>
        <v>0.95448179170222713</v>
      </c>
      <c r="C89" s="3">
        <f>INDEX(_xll.ACT_COPULA_STUDENT_T(B7:D9, B12, B13, B14), 71, 2)</f>
        <v>0.96734536290575535</v>
      </c>
      <c r="D89" s="3">
        <f>INDEX(_xll.ACT_COPULA_STUDENT_T(B7:D9, B12, B13, B14), 71, 3)</f>
        <v>0.99298576517550763</v>
      </c>
    </row>
    <row r="90" spans="1:4" x14ac:dyDescent="0.25">
      <c r="A90" s="3">
        <v>72</v>
      </c>
      <c r="B90" s="3">
        <f>INDEX(_xll.ACT_COPULA_STUDENT_T(B7:D9, B12, B13, B14), 72, 1)</f>
        <v>0.36239530921380453</v>
      </c>
      <c r="C90" s="3">
        <f>INDEX(_xll.ACT_COPULA_STUDENT_T(B7:D9, B12, B13, B14), 72, 2)</f>
        <v>0.70070261862248706</v>
      </c>
      <c r="D90" s="3">
        <f>INDEX(_xll.ACT_COPULA_STUDENT_T(B7:D9, B12, B13, B14), 72, 3)</f>
        <v>0.39094434689024704</v>
      </c>
    </row>
    <row r="91" spans="1:4" x14ac:dyDescent="0.25">
      <c r="A91" s="3">
        <v>73</v>
      </c>
      <c r="B91" s="3">
        <f>INDEX(_xll.ACT_COPULA_STUDENT_T(B7:D9, B12, B13, B14), 73, 1)</f>
        <v>0.65038434895851871</v>
      </c>
      <c r="C91" s="3">
        <f>INDEX(_xll.ACT_COPULA_STUDENT_T(B7:D9, B12, B13, B14), 73, 2)</f>
        <v>0.33184430171733492</v>
      </c>
      <c r="D91" s="3">
        <f>INDEX(_xll.ACT_COPULA_STUDENT_T(B7:D9, B12, B13, B14), 73, 3)</f>
        <v>1.4139386132244549E-2</v>
      </c>
    </row>
    <row r="92" spans="1:4" x14ac:dyDescent="0.25">
      <c r="A92" s="3">
        <v>74</v>
      </c>
      <c r="B92" s="3">
        <f>INDEX(_xll.ACT_COPULA_STUDENT_T(B7:D9, B12, B13, B14), 74, 1)</f>
        <v>0.41347870855073299</v>
      </c>
      <c r="C92" s="3">
        <f>INDEX(_xll.ACT_COPULA_STUDENT_T(B7:D9, B12, B13, B14), 74, 2)</f>
        <v>0.72274914144907221</v>
      </c>
      <c r="D92" s="3">
        <f>INDEX(_xll.ACT_COPULA_STUDENT_T(B7:D9, B12, B13, B14), 74, 3)</f>
        <v>0.55424268032295387</v>
      </c>
    </row>
    <row r="93" spans="1:4" x14ac:dyDescent="0.25">
      <c r="A93" s="3">
        <v>75</v>
      </c>
      <c r="B93" s="3">
        <f>INDEX(_xll.ACT_COPULA_STUDENT_T(B7:D9, B12, B13, B14), 75, 1)</f>
        <v>9.9879909762808999E-2</v>
      </c>
      <c r="C93" s="3">
        <f>INDEX(_xll.ACT_COPULA_STUDENT_T(B7:D9, B12, B13, B14), 75, 2)</f>
        <v>0.1589954390930941</v>
      </c>
      <c r="D93" s="3">
        <f>INDEX(_xll.ACT_COPULA_STUDENT_T(B7:D9, B12, B13, B14), 75, 3)</f>
        <v>8.5659239086174413E-2</v>
      </c>
    </row>
    <row r="94" spans="1:4" x14ac:dyDescent="0.25">
      <c r="A94" s="3">
        <v>76</v>
      </c>
      <c r="B94" s="3">
        <f>INDEX(_xll.ACT_COPULA_STUDENT_T(B7:D9, B12, B13, B14), 76, 1)</f>
        <v>8.7269959837753514E-2</v>
      </c>
      <c r="C94" s="3">
        <f>INDEX(_xll.ACT_COPULA_STUDENT_T(B7:D9, B12, B13, B14), 76, 2)</f>
        <v>5.9953801281156641E-2</v>
      </c>
      <c r="D94" s="3">
        <f>INDEX(_xll.ACT_COPULA_STUDENT_T(B7:D9, B12, B13, B14), 76, 3)</f>
        <v>0.56723489420702367</v>
      </c>
    </row>
    <row r="95" spans="1:4" x14ac:dyDescent="0.25">
      <c r="A95" s="3">
        <v>77</v>
      </c>
      <c r="B95" s="3">
        <f>INDEX(_xll.ACT_COPULA_STUDENT_T(B7:D9, B12, B13, B14), 77, 1)</f>
        <v>0.49675143160381113</v>
      </c>
      <c r="C95" s="3">
        <f>INDEX(_xll.ACT_COPULA_STUDENT_T(B7:D9, B12, B13, B14), 77, 2)</f>
        <v>0.55237551744852142</v>
      </c>
      <c r="D95" s="3">
        <f>INDEX(_xll.ACT_COPULA_STUDENT_T(B7:D9, B12, B13, B14), 77, 3)</f>
        <v>0.69949713267561819</v>
      </c>
    </row>
    <row r="96" spans="1:4" x14ac:dyDescent="0.25">
      <c r="A96" s="3">
        <v>78</v>
      </c>
      <c r="B96" s="3">
        <f>INDEX(_xll.ACT_COPULA_STUDENT_T(B7:D9, B12, B13, B14), 78, 1)</f>
        <v>4.1704755083396119E-2</v>
      </c>
      <c r="C96" s="3">
        <f>INDEX(_xll.ACT_COPULA_STUDENT_T(B7:D9, B12, B13, B14), 78, 2)</f>
        <v>7.7343823186975344E-2</v>
      </c>
      <c r="D96" s="3">
        <f>INDEX(_xll.ACT_COPULA_STUDENT_T(B7:D9, B12, B13, B14), 78, 3)</f>
        <v>0.15007547583281655</v>
      </c>
    </row>
    <row r="97" spans="1:4" x14ac:dyDescent="0.25">
      <c r="A97" s="3">
        <v>79</v>
      </c>
      <c r="B97" s="3">
        <f>INDEX(_xll.ACT_COPULA_STUDENT_T(B7:D9, B12, B13, B14), 79, 1)</f>
        <v>0.78071503844267676</v>
      </c>
      <c r="C97" s="3">
        <f>INDEX(_xll.ACT_COPULA_STUDENT_T(B7:D9, B12, B13, B14), 79, 2)</f>
        <v>0.79171148737331576</v>
      </c>
      <c r="D97" s="3">
        <f>INDEX(_xll.ACT_COPULA_STUDENT_T(B7:D9, B12, B13, B14), 79, 3)</f>
        <v>0.63037507654814295</v>
      </c>
    </row>
    <row r="98" spans="1:4" x14ac:dyDescent="0.25">
      <c r="A98" s="3">
        <v>80</v>
      </c>
      <c r="B98" s="3">
        <f>INDEX(_xll.ACT_COPULA_STUDENT_T(B7:D9, B12, B13, B14), 80, 1)</f>
        <v>0.84463081336695889</v>
      </c>
      <c r="C98" s="3">
        <f>INDEX(_xll.ACT_COPULA_STUDENT_T(B7:D9, B12, B13, B14), 80, 2)</f>
        <v>0.92791611535911755</v>
      </c>
      <c r="D98" s="3">
        <f>INDEX(_xll.ACT_COPULA_STUDENT_T(B7:D9, B12, B13, B14), 80, 3)</f>
        <v>0.87304109920657325</v>
      </c>
    </row>
    <row r="99" spans="1:4" x14ac:dyDescent="0.25">
      <c r="A99" s="3">
        <v>81</v>
      </c>
      <c r="B99" s="3">
        <f>INDEX(_xll.ACT_COPULA_STUDENT_T(B7:D9, B12, B13, B14), 81, 1)</f>
        <v>0.76344558465929513</v>
      </c>
      <c r="C99" s="3">
        <f>INDEX(_xll.ACT_COPULA_STUDENT_T(B7:D9, B12, B13, B14), 81, 2)</f>
        <v>0.75364400557014899</v>
      </c>
      <c r="D99" s="3">
        <f>INDEX(_xll.ACT_COPULA_STUDENT_T(B7:D9, B12, B13, B14), 81, 3)</f>
        <v>0.96929909115043744</v>
      </c>
    </row>
    <row r="100" spans="1:4" x14ac:dyDescent="0.25">
      <c r="A100" s="3">
        <v>82</v>
      </c>
      <c r="B100" s="3">
        <f>INDEX(_xll.ACT_COPULA_STUDENT_T(B7:D9, B12, B13, B14), 82, 1)</f>
        <v>0.44315126125815008</v>
      </c>
      <c r="C100" s="3">
        <f>INDEX(_xll.ACT_COPULA_STUDENT_T(B7:D9, B12, B13, B14), 82, 2)</f>
        <v>0.46009455354225387</v>
      </c>
      <c r="D100" s="3">
        <f>INDEX(_xll.ACT_COPULA_STUDENT_T(B7:D9, B12, B13, B14), 82, 3)</f>
        <v>0.57343738466833882</v>
      </c>
    </row>
    <row r="101" spans="1:4" x14ac:dyDescent="0.25">
      <c r="A101" s="3">
        <v>83</v>
      </c>
      <c r="B101" s="3">
        <f>INDEX(_xll.ACT_COPULA_STUDENT_T(B7:D9, B12, B13, B14), 83, 1)</f>
        <v>0.74115455211620507</v>
      </c>
      <c r="C101" s="3">
        <f>INDEX(_xll.ACT_COPULA_STUDENT_T(B7:D9, B12, B13, B14), 83, 2)</f>
        <v>0.45417069461559334</v>
      </c>
      <c r="D101" s="3">
        <f>INDEX(_xll.ACT_COPULA_STUDENT_T(B7:D9, B12, B13, B14), 83, 3)</f>
        <v>0.51514455385696833</v>
      </c>
    </row>
    <row r="102" spans="1:4" x14ac:dyDescent="0.25">
      <c r="A102" s="3">
        <v>84</v>
      </c>
      <c r="B102" s="3">
        <f>INDEX(_xll.ACT_COPULA_STUDENT_T(B7:D9, B12, B13, B14), 84, 1)</f>
        <v>0.70696275126514618</v>
      </c>
      <c r="C102" s="3">
        <f>INDEX(_xll.ACT_COPULA_STUDENT_T(B7:D9, B12, B13, B14), 84, 2)</f>
        <v>0.63097140211211322</v>
      </c>
      <c r="D102" s="3">
        <f>INDEX(_xll.ACT_COPULA_STUDENT_T(B7:D9, B12, B13, B14), 84, 3)</f>
        <v>0.42615660556725293</v>
      </c>
    </row>
    <row r="103" spans="1:4" x14ac:dyDescent="0.25">
      <c r="A103" s="3">
        <v>85</v>
      </c>
      <c r="B103" s="3">
        <f>INDEX(_xll.ACT_COPULA_STUDENT_T(B7:D9, B12, B13, B14), 85, 1)</f>
        <v>0.74924086956671343</v>
      </c>
      <c r="C103" s="3">
        <f>INDEX(_xll.ACT_COPULA_STUDENT_T(B7:D9, B12, B13, B14), 85, 2)</f>
        <v>0.82381329516599922</v>
      </c>
      <c r="D103" s="3">
        <f>INDEX(_xll.ACT_COPULA_STUDENT_T(B7:D9, B12, B13, B14), 85, 3)</f>
        <v>0.33162724693477513</v>
      </c>
    </row>
    <row r="104" spans="1:4" x14ac:dyDescent="0.25">
      <c r="A104" s="3">
        <v>86</v>
      </c>
      <c r="B104" s="3">
        <f>INDEX(_xll.ACT_COPULA_STUDENT_T(B7:D9, B12, B13, B14), 86, 1)</f>
        <v>0.45525702206133689</v>
      </c>
      <c r="C104" s="3">
        <f>INDEX(_xll.ACT_COPULA_STUDENT_T(B7:D9, B12, B13, B14), 86, 2)</f>
        <v>0.28305195980814213</v>
      </c>
      <c r="D104" s="3">
        <f>INDEX(_xll.ACT_COPULA_STUDENT_T(B7:D9, B12, B13, B14), 86, 3)</f>
        <v>0.13565765131809693</v>
      </c>
    </row>
    <row r="105" spans="1:4" x14ac:dyDescent="0.25">
      <c r="A105" s="3">
        <v>87</v>
      </c>
      <c r="B105" s="3">
        <f>INDEX(_xll.ACT_COPULA_STUDENT_T(B7:D9, B12, B13, B14), 87, 1)</f>
        <v>0.9469520877044737</v>
      </c>
      <c r="C105" s="3">
        <f>INDEX(_xll.ACT_COPULA_STUDENT_T(B7:D9, B12, B13, B14), 87, 2)</f>
        <v>0.95272493570011063</v>
      </c>
      <c r="D105" s="3">
        <f>INDEX(_xll.ACT_COPULA_STUDENT_T(B7:D9, B12, B13, B14), 87, 3)</f>
        <v>0.47020681071907749</v>
      </c>
    </row>
    <row r="106" spans="1:4" x14ac:dyDescent="0.25">
      <c r="A106" s="3">
        <v>88</v>
      </c>
      <c r="B106" s="3">
        <f>INDEX(_xll.ACT_COPULA_STUDENT_T(B7:D9, B12, B13, B14), 88, 1)</f>
        <v>0.40224709685271265</v>
      </c>
      <c r="C106" s="3">
        <f>INDEX(_xll.ACT_COPULA_STUDENT_T(B7:D9, B12, B13, B14), 88, 2)</f>
        <v>9.4715925026447288E-3</v>
      </c>
      <c r="D106" s="3">
        <f>INDEX(_xll.ACT_COPULA_STUDENT_T(B7:D9, B12, B13, B14), 88, 3)</f>
        <v>0.99135664808257407</v>
      </c>
    </row>
    <row r="107" spans="1:4" x14ac:dyDescent="0.25">
      <c r="A107" s="3">
        <v>89</v>
      </c>
      <c r="B107" s="3">
        <f>INDEX(_xll.ACT_COPULA_STUDENT_T(B7:D9, B12, B13, B14), 89, 1)</f>
        <v>0.49077117329227621</v>
      </c>
      <c r="C107" s="3">
        <f>INDEX(_xll.ACT_COPULA_STUDENT_T(B7:D9, B12, B13, B14), 89, 2)</f>
        <v>0.41015495608566543</v>
      </c>
      <c r="D107" s="3">
        <f>INDEX(_xll.ACT_COPULA_STUDENT_T(B7:D9, B12, B13, B14), 89, 3)</f>
        <v>0.74321350766622318</v>
      </c>
    </row>
    <row r="108" spans="1:4" x14ac:dyDescent="0.25">
      <c r="A108" s="3">
        <v>90</v>
      </c>
      <c r="B108" s="3">
        <f>INDEX(_xll.ACT_COPULA_STUDENT_T(B7:D9, B12, B13, B14), 90, 1)</f>
        <v>0.50867178422843851</v>
      </c>
      <c r="C108" s="3">
        <f>INDEX(_xll.ACT_COPULA_STUDENT_T(B7:D9, B12, B13, B14), 90, 2)</f>
        <v>0.43142792586197576</v>
      </c>
      <c r="D108" s="3">
        <f>INDEX(_xll.ACT_COPULA_STUDENT_T(B7:D9, B12, B13, B14), 90, 3)</f>
        <v>0.21980295186886106</v>
      </c>
    </row>
    <row r="109" spans="1:4" x14ac:dyDescent="0.25">
      <c r="A109" s="3">
        <v>91</v>
      </c>
      <c r="B109" s="3">
        <f>INDEX(_xll.ACT_COPULA_STUDENT_T(B7:D9, B12, B13, B14), 91, 1)</f>
        <v>0.97584026711710015</v>
      </c>
      <c r="C109" s="3">
        <f>INDEX(_xll.ACT_COPULA_STUDENT_T(B7:D9, B12, B13, B14), 91, 2)</f>
        <v>0.97610400306122669</v>
      </c>
      <c r="D109" s="3">
        <f>INDEX(_xll.ACT_COPULA_STUDENT_T(B7:D9, B12, B13, B14), 91, 3)</f>
        <v>0.90956884531099691</v>
      </c>
    </row>
    <row r="110" spans="1:4" x14ac:dyDescent="0.25">
      <c r="A110" s="3">
        <v>92</v>
      </c>
      <c r="B110" s="3">
        <f>INDEX(_xll.ACT_COPULA_STUDENT_T(B7:D9, B12, B13, B14), 92, 1)</f>
        <v>0.93032282266750654</v>
      </c>
      <c r="C110" s="3">
        <f>INDEX(_xll.ACT_COPULA_STUDENT_T(B7:D9, B12, B13, B14), 92, 2)</f>
        <v>0.90975415668889492</v>
      </c>
      <c r="D110" s="3">
        <f>INDEX(_xll.ACT_COPULA_STUDENT_T(B7:D9, B12, B13, B14), 92, 3)</f>
        <v>0.69538371086488782</v>
      </c>
    </row>
    <row r="111" spans="1:4" x14ac:dyDescent="0.25">
      <c r="A111" s="3">
        <v>93</v>
      </c>
      <c r="B111" s="3">
        <f>INDEX(_xll.ACT_COPULA_STUDENT_T(B7:D9, B12, B13, B14), 93, 1)</f>
        <v>0.40865867106674558</v>
      </c>
      <c r="C111" s="3">
        <f>INDEX(_xll.ACT_COPULA_STUDENT_T(B7:D9, B12, B13, B14), 93, 2)</f>
        <v>0.35462760003208882</v>
      </c>
      <c r="D111" s="3">
        <f>INDEX(_xll.ACT_COPULA_STUDENT_T(B7:D9, B12, B13, B14), 93, 3)</f>
        <v>0.1748789772474838</v>
      </c>
    </row>
    <row r="112" spans="1:4" x14ac:dyDescent="0.25">
      <c r="A112" s="3">
        <v>94</v>
      </c>
      <c r="B112" s="3">
        <f>INDEX(_xll.ACT_COPULA_STUDENT_T(B7:D9, B12, B13, B14), 94, 1)</f>
        <v>0.50935975486785101</v>
      </c>
      <c r="C112" s="3">
        <f>INDEX(_xll.ACT_COPULA_STUDENT_T(B7:D9, B12, B13, B14), 94, 2)</f>
        <v>0.52166379150090225</v>
      </c>
      <c r="D112" s="3">
        <f>INDEX(_xll.ACT_COPULA_STUDENT_T(B7:D9, B12, B13, B14), 94, 3)</f>
        <v>9.9139705056161986E-2</v>
      </c>
    </row>
    <row r="113" spans="1:4" x14ac:dyDescent="0.25">
      <c r="A113" s="3">
        <v>95</v>
      </c>
      <c r="B113" s="3">
        <f>INDEX(_xll.ACT_COPULA_STUDENT_T(B7:D9, B12, B13, B14), 95, 1)</f>
        <v>0.67207936637623478</v>
      </c>
      <c r="C113" s="3">
        <f>INDEX(_xll.ACT_COPULA_STUDENT_T(B7:D9, B12, B13, B14), 95, 2)</f>
        <v>0.68542106753333498</v>
      </c>
      <c r="D113" s="3">
        <f>INDEX(_xll.ACT_COPULA_STUDENT_T(B7:D9, B12, B13, B14), 95, 3)</f>
        <v>0.79954009411248506</v>
      </c>
    </row>
    <row r="114" spans="1:4" x14ac:dyDescent="0.25">
      <c r="A114" s="3">
        <v>96</v>
      </c>
      <c r="B114" s="3">
        <f>INDEX(_xll.ACT_COPULA_STUDENT_T(B7:D9, B12, B13, B14), 96, 1)</f>
        <v>0.49447890603534173</v>
      </c>
      <c r="C114" s="3">
        <f>INDEX(_xll.ACT_COPULA_STUDENT_T(B7:D9, B12, B13, B14), 96, 2)</f>
        <v>0.62554595092189458</v>
      </c>
      <c r="D114" s="3">
        <f>INDEX(_xll.ACT_COPULA_STUDENT_T(B7:D9, B12, B13, B14), 96, 3)</f>
        <v>0.91279853210271678</v>
      </c>
    </row>
    <row r="115" spans="1:4" x14ac:dyDescent="0.25">
      <c r="A115" s="3">
        <v>97</v>
      </c>
      <c r="B115" s="3">
        <f>INDEX(_xll.ACT_COPULA_STUDENT_T(B7:D9, B12, B13, B14), 97, 1)</f>
        <v>0.42599769655660613</v>
      </c>
      <c r="C115" s="3">
        <f>INDEX(_xll.ACT_COPULA_STUDENT_T(B7:D9, B12, B13, B14), 97, 2)</f>
        <v>0.57829838068970496</v>
      </c>
      <c r="D115" s="3">
        <f>INDEX(_xll.ACT_COPULA_STUDENT_T(B7:D9, B12, B13, B14), 97, 3)</f>
        <v>0.82097935040389092</v>
      </c>
    </row>
    <row r="116" spans="1:4" x14ac:dyDescent="0.25">
      <c r="A116" s="3">
        <v>98</v>
      </c>
      <c r="B116" s="3">
        <f>INDEX(_xll.ACT_COPULA_STUDENT_T(B7:D9, B12, B13, B14), 98, 1)</f>
        <v>0.85726618006923827</v>
      </c>
      <c r="C116" s="3">
        <f>INDEX(_xll.ACT_COPULA_STUDENT_T(B7:D9, B12, B13, B14), 98, 2)</f>
        <v>0.48488240099105329</v>
      </c>
      <c r="D116" s="3">
        <f>INDEX(_xll.ACT_COPULA_STUDENT_T(B7:D9, B12, B13, B14), 98, 3)</f>
        <v>0.44559917140869593</v>
      </c>
    </row>
    <row r="117" spans="1:4" x14ac:dyDescent="0.25">
      <c r="A117" s="3">
        <v>99</v>
      </c>
      <c r="B117" s="3">
        <f>INDEX(_xll.ACT_COPULA_STUDENT_T(B7:D9, B12, B13, B14), 99, 1)</f>
        <v>0.19576229868606537</v>
      </c>
      <c r="C117" s="3">
        <f>INDEX(_xll.ACT_COPULA_STUDENT_T(B7:D9, B12, B13, B14), 99, 2)</f>
        <v>0.31778286857392624</v>
      </c>
      <c r="D117" s="3">
        <f>INDEX(_xll.ACT_COPULA_STUDENT_T(B7:D9, B12, B13, B14), 99, 3)</f>
        <v>0.59780315868992806</v>
      </c>
    </row>
    <row r="118" spans="1:4" x14ac:dyDescent="0.25">
      <c r="A118" s="3">
        <v>100</v>
      </c>
      <c r="B118" s="3">
        <f>INDEX(_xll.ACT_COPULA_STUDENT_T(B7:D9, B12, B13, B14), 100, 1)</f>
        <v>0.85830707073811618</v>
      </c>
      <c r="C118" s="3">
        <f>INDEX(_xll.ACT_COPULA_STUDENT_T(B7:D9, B12, B13, B14), 100, 2)</f>
        <v>0.85417586196831818</v>
      </c>
      <c r="D118" s="3">
        <f>INDEX(_xll.ACT_COPULA_STUDENT_T(B7:D9, B12, B13, B14), 100, 3)</f>
        <v>0.18776792797331698</v>
      </c>
    </row>
    <row r="120" spans="1:4" x14ac:dyDescent="0.25">
      <c r="A120" s="5" t="s">
        <v>571</v>
      </c>
    </row>
    <row r="123" spans="1:4" ht="18.75" x14ac:dyDescent="0.3">
      <c r="A123" s="1" t="s">
        <v>572</v>
      </c>
    </row>
    <row r="125" spans="1:4" x14ac:dyDescent="0.25">
      <c r="A125" s="3" t="s">
        <v>573</v>
      </c>
    </row>
    <row r="126" spans="1:4" x14ac:dyDescent="0.25">
      <c r="B126" s="3">
        <v>1</v>
      </c>
      <c r="C126" s="3">
        <v>0.7</v>
      </c>
    </row>
    <row r="127" spans="1:4" x14ac:dyDescent="0.25">
      <c r="B127" s="3">
        <f>C126</f>
        <v>0.7</v>
      </c>
      <c r="C127" s="3">
        <v>1</v>
      </c>
    </row>
    <row r="128" spans="1:4" x14ac:dyDescent="0.25">
      <c r="A128" s="3" t="s">
        <v>563</v>
      </c>
      <c r="B128" s="3">
        <v>50</v>
      </c>
    </row>
    <row r="129" spans="1:3" x14ac:dyDescent="0.25">
      <c r="A129" s="3" t="s">
        <v>564</v>
      </c>
      <c r="B129" s="3">
        <v>42</v>
      </c>
    </row>
    <row r="131" spans="1:3" x14ac:dyDescent="0.25">
      <c r="A131" s="6" t="s">
        <v>567</v>
      </c>
      <c r="B131" s="6" t="s">
        <v>568</v>
      </c>
      <c r="C131" s="6" t="s">
        <v>569</v>
      </c>
    </row>
    <row r="132" spans="1:3" x14ac:dyDescent="0.25">
      <c r="A132" s="3">
        <v>1</v>
      </c>
      <c r="B132" s="3">
        <f>INDEX(_xll.ACT_COPULA_GAUSSIAN(B126:C127, B128, B129), 1, 1)</f>
        <v>0.65850557510982255</v>
      </c>
      <c r="C132" s="3">
        <f>INDEX(_xll.ACT_COPULA_GAUSSIAN(B126:C127, B128, B129), 1, 2)</f>
        <v>0.31626137322295622</v>
      </c>
    </row>
    <row r="133" spans="1:3" x14ac:dyDescent="0.25">
      <c r="A133" s="3">
        <v>2</v>
      </c>
      <c r="B133" s="3">
        <f>INDEX(_xll.ACT_COPULA_GAUSSIAN(B126:C127, B128, B129), 2, 1)</f>
        <v>0.23142073535325788</v>
      </c>
      <c r="C133" s="3">
        <f>INDEX(_xll.ACT_COPULA_GAUSSIAN(B126:C127, B128, B129), 2, 2)</f>
        <v>0.77668672115223369</v>
      </c>
    </row>
    <row r="134" spans="1:3" x14ac:dyDescent="0.25">
      <c r="A134" s="3">
        <v>3</v>
      </c>
      <c r="B134" s="3">
        <f>INDEX(_xll.ACT_COPULA_GAUSSIAN(B126:C127, B128, B129), 3, 1)</f>
        <v>0.25442014072571006</v>
      </c>
      <c r="C134" s="3">
        <f>INDEX(_xll.ACT_COPULA_GAUSSIAN(B126:C127, B128, B129), 3, 2)</f>
        <v>0.14286449210295765</v>
      </c>
    </row>
    <row r="135" spans="1:3" x14ac:dyDescent="0.25">
      <c r="A135" s="3">
        <v>4</v>
      </c>
      <c r="B135" s="3">
        <f>INDEX(_xll.ACT_COPULA_GAUSSIAN(B126:C127, B128, B129), 4, 1)</f>
        <v>0.52511995141536694</v>
      </c>
      <c r="C135" s="3">
        <f>INDEX(_xll.ACT_COPULA_GAUSSIAN(B126:C127, B128, B129), 4, 2)</f>
        <v>0.32349811160082714</v>
      </c>
    </row>
    <row r="136" spans="1:3" x14ac:dyDescent="0.25">
      <c r="A136" s="3">
        <v>5</v>
      </c>
      <c r="B136" s="3">
        <f>INDEX(_xll.ACT_COPULA_GAUSSIAN(B126:C127, B128, B129), 5, 1)</f>
        <v>0.50806485272851265</v>
      </c>
      <c r="C136" s="3">
        <f>INDEX(_xll.ACT_COPULA_GAUSSIAN(B126:C127, B128, B129), 5, 2)</f>
        <v>0.82366865525551758</v>
      </c>
    </row>
    <row r="137" spans="1:3" x14ac:dyDescent="0.25">
      <c r="A137" s="3">
        <v>6</v>
      </c>
      <c r="B137" s="3">
        <f>INDEX(_xll.ACT_COPULA_GAUSSIAN(B126:C127, B128, B129), 6, 1)</f>
        <v>0.37427505488439028</v>
      </c>
      <c r="C137" s="3">
        <f>INDEX(_xll.ACT_COPULA_GAUSSIAN(B126:C127, B128, B129), 6, 2)</f>
        <v>0.27391673633084435</v>
      </c>
    </row>
    <row r="138" spans="1:3" x14ac:dyDescent="0.25">
      <c r="A138" s="3">
        <v>7</v>
      </c>
      <c r="B138" s="3">
        <f>INDEX(_xll.ACT_COPULA_GAUSSIAN(B126:C127, B128, B129), 7, 1)</f>
        <v>0.90850149094091104</v>
      </c>
      <c r="C138" s="3">
        <f>INDEX(_xll.ACT_COPULA_GAUSSIAN(B126:C127, B128, B129), 7, 2)</f>
        <v>0.98981637450791582</v>
      </c>
    </row>
    <row r="139" spans="1:3" x14ac:dyDescent="0.25">
      <c r="A139" s="3">
        <v>8</v>
      </c>
      <c r="B139" s="3">
        <f>INDEX(_xll.ACT_COPULA_GAUSSIAN(B126:C127, B128, B129), 8, 1)</f>
        <v>4.3309082070903442E-2</v>
      </c>
      <c r="C139" s="3">
        <f>INDEX(_xll.ACT_COPULA_GAUSSIAN(B126:C127, B128, B129), 8, 2)</f>
        <v>0.13927213058372739</v>
      </c>
    </row>
    <row r="140" spans="1:3" x14ac:dyDescent="0.25">
      <c r="A140" s="3">
        <v>9</v>
      </c>
      <c r="B140" s="3">
        <f>INDEX(_xll.ACT_COPULA_GAUSSIAN(B126:C127, B128, B129), 9, 1)</f>
        <v>0.92031023414570468</v>
      </c>
      <c r="C140" s="3">
        <f>INDEX(_xll.ACT_COPULA_GAUSSIAN(B126:C127, B128, B129), 9, 2)</f>
        <v>0.88290087378290538</v>
      </c>
    </row>
    <row r="141" spans="1:3" x14ac:dyDescent="0.25">
      <c r="A141" s="3">
        <v>10</v>
      </c>
      <c r="B141" s="3">
        <f>INDEX(_xll.ACT_COPULA_GAUSSIAN(B126:C127, B128, B129), 10, 1)</f>
        <v>0.2287950334315991</v>
      </c>
      <c r="C141" s="3">
        <f>INDEX(_xll.ACT_COPULA_GAUSSIAN(B126:C127, B128, B129), 10, 2)</f>
        <v>7.0537384167467576E-2</v>
      </c>
    </row>
    <row r="142" spans="1:3" x14ac:dyDescent="0.25">
      <c r="A142" s="3">
        <v>11</v>
      </c>
      <c r="B142" s="3">
        <f>INDEX(_xll.ACT_COPULA_GAUSSIAN(B126:C127, B128, B129), 11, 1)</f>
        <v>0.99313661643266671</v>
      </c>
      <c r="C142" s="3">
        <f>INDEX(_xll.ACT_COPULA_GAUSSIAN(B126:C127, B128, B129), 11, 2)</f>
        <v>0.90307311120399447</v>
      </c>
    </row>
    <row r="143" spans="1:3" x14ac:dyDescent="0.25">
      <c r="A143" s="3">
        <v>12</v>
      </c>
      <c r="B143" s="3">
        <f>INDEX(_xll.ACT_COPULA_GAUSSIAN(B126:C127, B128, B129), 12, 1)</f>
        <v>0.92528984306834172</v>
      </c>
      <c r="C143" s="3">
        <f>INDEX(_xll.ACT_COPULA_GAUSSIAN(B126:C127, B128, B129), 12, 2)</f>
        <v>0.67175183621900914</v>
      </c>
    </row>
    <row r="144" spans="1:3" x14ac:dyDescent="0.25">
      <c r="A144" s="3">
        <v>13</v>
      </c>
      <c r="B144" s="3">
        <f>INDEX(_xll.ACT_COPULA_GAUSSIAN(B126:C127, B128, B129), 13, 1)</f>
        <v>0.37139471545479796</v>
      </c>
      <c r="C144" s="3">
        <f>INDEX(_xll.ACT_COPULA_GAUSSIAN(B126:C127, B128, B129), 13, 2)</f>
        <v>0.21766833387225257</v>
      </c>
    </row>
    <row r="145" spans="1:3" x14ac:dyDescent="0.25">
      <c r="A145" s="3">
        <v>14</v>
      </c>
      <c r="B145" s="3">
        <f>INDEX(_xll.ACT_COPULA_GAUSSIAN(B126:C127, B128, B129), 14, 1)</f>
        <v>2.418178481987822E-3</v>
      </c>
      <c r="C145" s="3">
        <f>INDEX(_xll.ACT_COPULA_GAUSSIAN(B126:C127, B128, B129), 14, 2)</f>
        <v>2.4272128135403623E-2</v>
      </c>
    </row>
    <row r="146" spans="1:3" x14ac:dyDescent="0.25">
      <c r="A146" s="3">
        <v>15</v>
      </c>
      <c r="B146" s="3">
        <f>INDEX(_xll.ACT_COPULA_GAUSSIAN(B126:C127, B128, B129), 15, 1)</f>
        <v>0.53502594471399378</v>
      </c>
      <c r="C146" s="3">
        <f>INDEX(_xll.ACT_COPULA_GAUSSIAN(B126:C127, B128, B129), 15, 2)</f>
        <v>0.33346651137069644</v>
      </c>
    </row>
    <row r="147" spans="1:3" x14ac:dyDescent="0.25">
      <c r="A147" s="3">
        <v>16</v>
      </c>
      <c r="B147" s="3">
        <f>INDEX(_xll.ACT_COPULA_GAUSSIAN(B126:C127, B128, B129), 16, 1)</f>
        <v>0.54888612941915149</v>
      </c>
      <c r="C147" s="3">
        <f>INDEX(_xll.ACT_COPULA_GAUSSIAN(B126:C127, B128, B129), 16, 2)</f>
        <v>0.43469282497464445</v>
      </c>
    </row>
    <row r="148" spans="1:3" x14ac:dyDescent="0.25">
      <c r="A148" s="3">
        <v>17</v>
      </c>
      <c r="B148" s="3">
        <f>INDEX(_xll.ACT_COPULA_GAUSSIAN(B126:C127, B128, B129), 17, 1)</f>
        <v>0.38117830319449691</v>
      </c>
      <c r="C148" s="3">
        <f>INDEX(_xll.ACT_COPULA_GAUSSIAN(B126:C127, B128, B129), 17, 2)</f>
        <v>0.63390214277677714</v>
      </c>
    </row>
    <row r="149" spans="1:3" x14ac:dyDescent="0.25">
      <c r="A149" s="3">
        <v>18</v>
      </c>
      <c r="B149" s="3">
        <f>INDEX(_xll.ACT_COPULA_GAUSSIAN(B126:C127, B128, B129), 18, 1)</f>
        <v>0.39205245161352131</v>
      </c>
      <c r="C149" s="3">
        <f>INDEX(_xll.ACT_COPULA_GAUSSIAN(B126:C127, B128, B129), 18, 2)</f>
        <v>0.58671596881853871</v>
      </c>
    </row>
    <row r="150" spans="1:3" x14ac:dyDescent="0.25">
      <c r="A150" s="3">
        <v>19</v>
      </c>
      <c r="B150" s="3">
        <f>INDEX(_xll.ACT_COPULA_GAUSSIAN(B126:C127, B128, B129), 19, 1)</f>
        <v>0.61863973203273182</v>
      </c>
      <c r="C150" s="3">
        <f>INDEX(_xll.ACT_COPULA_GAUSSIAN(B126:C127, B128, B129), 19, 2)</f>
        <v>0.71652412987612757</v>
      </c>
    </row>
    <row r="151" spans="1:3" x14ac:dyDescent="0.25">
      <c r="A151" s="3">
        <v>20</v>
      </c>
      <c r="B151" s="3">
        <f>INDEX(_xll.ACT_COPULA_GAUSSIAN(B126:C127, B128, B129), 20, 1)</f>
        <v>0.17376784132877465</v>
      </c>
      <c r="C151" s="3">
        <f>INDEX(_xll.ACT_COPULA_GAUSSIAN(B126:C127, B128, B129), 20, 2)</f>
        <v>0.12581106924051402</v>
      </c>
    </row>
    <row r="152" spans="1:3" x14ac:dyDescent="0.25">
      <c r="A152" s="3">
        <v>21</v>
      </c>
      <c r="B152" s="3">
        <f>INDEX(_xll.ACT_COPULA_GAUSSIAN(B126:C127, B128, B129), 21, 1)</f>
        <v>8.5961867274672726E-2</v>
      </c>
      <c r="C152" s="3">
        <f>INDEX(_xll.ACT_COPULA_GAUSSIAN(B126:C127, B128, B129), 21, 2)</f>
        <v>0.17101290730430166</v>
      </c>
    </row>
    <row r="153" spans="1:3" x14ac:dyDescent="0.25">
      <c r="A153" s="3">
        <v>22</v>
      </c>
      <c r="B153" s="3">
        <f>INDEX(_xll.ACT_COPULA_GAUSSIAN(B126:C127, B128, B129), 22, 1)</f>
        <v>0.87161128633561735</v>
      </c>
      <c r="C153" s="3">
        <f>INDEX(_xll.ACT_COPULA_GAUSSIAN(B126:C127, B128, B129), 22, 2)</f>
        <v>0.93587659606086604</v>
      </c>
    </row>
    <row r="154" spans="1:3" x14ac:dyDescent="0.25">
      <c r="A154" s="3">
        <v>23</v>
      </c>
      <c r="B154" s="3">
        <f>INDEX(_xll.ACT_COPULA_GAUSSIAN(B126:C127, B128, B129), 23, 1)</f>
        <v>0.51030468084884306</v>
      </c>
      <c r="C154" s="3">
        <f>INDEX(_xll.ACT_COPULA_GAUSSIAN(B126:C127, B128, B129), 23, 2)</f>
        <v>0.51444186948426185</v>
      </c>
    </row>
    <row r="155" spans="1:3" x14ac:dyDescent="0.25">
      <c r="A155" s="3">
        <v>24</v>
      </c>
      <c r="B155" s="3">
        <f>INDEX(_xll.ACT_COPULA_GAUSSIAN(B126:C127, B128, B129), 24, 1)</f>
        <v>0.41855014179853411</v>
      </c>
      <c r="C155" s="3">
        <f>INDEX(_xll.ACT_COPULA_GAUSSIAN(B126:C127, B128, B129), 24, 2)</f>
        <v>0.13148857744748751</v>
      </c>
    </row>
    <row r="156" spans="1:3" x14ac:dyDescent="0.25">
      <c r="A156" s="3">
        <v>25</v>
      </c>
      <c r="B156" s="3">
        <f>INDEX(_xll.ACT_COPULA_GAUSSIAN(B126:C127, B128, B129), 25, 1)</f>
        <v>0.43495885534454887</v>
      </c>
      <c r="C156" s="3">
        <f>INDEX(_xll.ACT_COPULA_GAUSSIAN(B126:C127, B128, B129), 25, 2)</f>
        <v>0.27099424950602918</v>
      </c>
    </row>
    <row r="157" spans="1:3" x14ac:dyDescent="0.25">
      <c r="A157" s="3">
        <v>26</v>
      </c>
      <c r="B157" s="3">
        <f>INDEX(_xll.ACT_COPULA_GAUSSIAN(B126:C127, B128, B129), 26, 1)</f>
        <v>0.21107332586545435</v>
      </c>
      <c r="C157" s="3">
        <f>INDEX(_xll.ACT_COPULA_GAUSSIAN(B126:C127, B128, B129), 26, 2)</f>
        <v>0.38573802211069652</v>
      </c>
    </row>
    <row r="158" spans="1:3" x14ac:dyDescent="0.25">
      <c r="A158" s="3">
        <v>27</v>
      </c>
      <c r="B158" s="3">
        <f>INDEX(_xll.ACT_COPULA_GAUSSIAN(B126:C127, B128, B129), 27, 1)</f>
        <v>4.0079652526064255E-2</v>
      </c>
      <c r="C158" s="3">
        <f>INDEX(_xll.ACT_COPULA_GAUSSIAN(B126:C127, B128, B129), 27, 2)</f>
        <v>0.42871562850643746</v>
      </c>
    </row>
    <row r="159" spans="1:3" x14ac:dyDescent="0.25">
      <c r="A159" s="3">
        <v>28</v>
      </c>
      <c r="B159" s="3">
        <f>INDEX(_xll.ACT_COPULA_GAUSSIAN(B126:C127, B128, B129), 28, 1)</f>
        <v>0.17808946784858165</v>
      </c>
      <c r="C159" s="3">
        <f>INDEX(_xll.ACT_COPULA_GAUSSIAN(B126:C127, B128, B129), 28, 2)</f>
        <v>9.8857923976316556E-2</v>
      </c>
    </row>
    <row r="160" spans="1:3" x14ac:dyDescent="0.25">
      <c r="A160" s="3">
        <v>29</v>
      </c>
      <c r="B160" s="3">
        <f>INDEX(_xll.ACT_COPULA_GAUSSIAN(B126:C127, B128, B129), 29, 1)</f>
        <v>0.97505501369864556</v>
      </c>
      <c r="C160" s="3">
        <f>INDEX(_xll.ACT_COPULA_GAUSSIAN(B126:C127, B128, B129), 29, 2)</f>
        <v>0.94914158341343835</v>
      </c>
    </row>
    <row r="161" spans="1:3" x14ac:dyDescent="0.25">
      <c r="A161" s="3">
        <v>30</v>
      </c>
      <c r="B161" s="3">
        <f>INDEX(_xll.ACT_COPULA_GAUSSIAN(B126:C127, B128, B129), 30, 1)</f>
        <v>0.9314842792459227</v>
      </c>
      <c r="C161" s="3">
        <f>INDEX(_xll.ACT_COPULA_GAUSSIAN(B126:C127, B128, B129), 30, 2)</f>
        <v>0.96112810696746864</v>
      </c>
    </row>
    <row r="162" spans="1:3" x14ac:dyDescent="0.25">
      <c r="A162" s="3">
        <v>31</v>
      </c>
      <c r="B162" s="3">
        <f>INDEX(_xll.ACT_COPULA_GAUSSIAN(B126:C127, B128, B129), 31, 1)</f>
        <v>0.46138924070512555</v>
      </c>
      <c r="C162" s="3">
        <f>INDEX(_xll.ACT_COPULA_GAUSSIAN(B126:C127, B128, B129), 31, 2)</f>
        <v>7.6339698458754324E-2</v>
      </c>
    </row>
    <row r="163" spans="1:3" x14ac:dyDescent="0.25">
      <c r="A163" s="3">
        <v>32</v>
      </c>
      <c r="B163" s="3">
        <f>INDEX(_xll.ACT_COPULA_GAUSSIAN(B126:C127, B128, B129), 32, 1)</f>
        <v>0.58847249568071192</v>
      </c>
      <c r="C163" s="3">
        <f>INDEX(_xll.ACT_COPULA_GAUSSIAN(B126:C127, B128, B129), 32, 2)</f>
        <v>0.14904667522598122</v>
      </c>
    </row>
    <row r="164" spans="1:3" x14ac:dyDescent="0.25">
      <c r="A164" s="3">
        <v>33</v>
      </c>
      <c r="B164" s="3">
        <f>INDEX(_xll.ACT_COPULA_GAUSSIAN(B126:C127, B128, B129), 33, 1)</f>
        <v>0.39773381118489071</v>
      </c>
      <c r="C164" s="3">
        <f>INDEX(_xll.ACT_COPULA_GAUSSIAN(B126:C127, B128, B129), 33, 2)</f>
        <v>5.3282913713020193E-2</v>
      </c>
    </row>
    <row r="165" spans="1:3" x14ac:dyDescent="0.25">
      <c r="A165" s="3">
        <v>34</v>
      </c>
      <c r="B165" s="3">
        <f>INDEX(_xll.ACT_COPULA_GAUSSIAN(B126:C127, B128, B129), 34, 1)</f>
        <v>0.56014517092751703</v>
      </c>
      <c r="C165" s="3">
        <f>INDEX(_xll.ACT_COPULA_GAUSSIAN(B126:C127, B128, B129), 34, 2)</f>
        <v>0.73309366262939601</v>
      </c>
    </row>
    <row r="166" spans="1:3" x14ac:dyDescent="0.25">
      <c r="A166" s="3">
        <v>35</v>
      </c>
      <c r="B166" s="3">
        <f>INDEX(_xll.ACT_COPULA_GAUSSIAN(B126:C127, B128, B129), 35, 1)</f>
        <v>0.10366925766946872</v>
      </c>
      <c r="C166" s="3">
        <f>INDEX(_xll.ACT_COPULA_GAUSSIAN(B126:C127, B128, B129), 35, 2)</f>
        <v>0.21226681439470277</v>
      </c>
    </row>
    <row r="167" spans="1:3" x14ac:dyDescent="0.25">
      <c r="A167" s="3">
        <v>36</v>
      </c>
      <c r="B167" s="3">
        <f>INDEX(_xll.ACT_COPULA_GAUSSIAN(B126:C127, B128, B129), 36, 1)</f>
        <v>0.38124591945927783</v>
      </c>
      <c r="C167" s="3">
        <f>INDEX(_xll.ACT_COPULA_GAUSSIAN(B126:C127, B128, B129), 36, 2)</f>
        <v>0.57363099725590661</v>
      </c>
    </row>
    <row r="168" spans="1:3" x14ac:dyDescent="0.25">
      <c r="A168" s="3">
        <v>37</v>
      </c>
      <c r="B168" s="3">
        <f>INDEX(_xll.ACT_COPULA_GAUSSIAN(B126:C127, B128, B129), 37, 1)</f>
        <v>0.22540080978454158</v>
      </c>
      <c r="C168" s="3">
        <f>INDEX(_xll.ACT_COPULA_GAUSSIAN(B126:C127, B128, B129), 37, 2)</f>
        <v>0.58752600359835572</v>
      </c>
    </row>
    <row r="169" spans="1:3" x14ac:dyDescent="0.25">
      <c r="A169" s="3">
        <v>38</v>
      </c>
      <c r="B169" s="3">
        <f>INDEX(_xll.ACT_COPULA_GAUSSIAN(B126:C127, B128, B129), 38, 1)</f>
        <v>0.21524232508647048</v>
      </c>
      <c r="C169" s="3">
        <f>INDEX(_xll.ACT_COPULA_GAUSSIAN(B126:C127, B128, B129), 38, 2)</f>
        <v>0.34122032538029512</v>
      </c>
    </row>
    <row r="170" spans="1:3" x14ac:dyDescent="0.25">
      <c r="A170" s="3">
        <v>39</v>
      </c>
      <c r="B170" s="3">
        <f>INDEX(_xll.ACT_COPULA_GAUSSIAN(B126:C127, B128, B129), 39, 1)</f>
        <v>0.75334571247962268</v>
      </c>
      <c r="C170" s="3">
        <f>INDEX(_xll.ACT_COPULA_GAUSSIAN(B126:C127, B128, B129), 39, 2)</f>
        <v>0.370243632295157</v>
      </c>
    </row>
    <row r="171" spans="1:3" x14ac:dyDescent="0.25">
      <c r="A171" s="3">
        <v>40</v>
      </c>
      <c r="B171" s="3">
        <f>INDEX(_xll.ACT_COPULA_GAUSSIAN(B126:C127, B128, B129), 40, 1)</f>
        <v>0.11159833738426965</v>
      </c>
      <c r="C171" s="3">
        <f>INDEX(_xll.ACT_COPULA_GAUSSIAN(B126:C127, B128, B129), 40, 2)</f>
        <v>0.19853408656809174</v>
      </c>
    </row>
    <row r="172" spans="1:3" x14ac:dyDescent="0.25">
      <c r="A172" s="3">
        <v>41</v>
      </c>
      <c r="B172" s="3">
        <f>INDEX(_xll.ACT_COPULA_GAUSSIAN(B126:C127, B128, B129), 41, 1)</f>
        <v>0.43681819990781762</v>
      </c>
      <c r="C172" s="3">
        <f>INDEX(_xll.ACT_COPULA_GAUSSIAN(B126:C127, B128, B129), 41, 2)</f>
        <v>4.9664073511543172E-2</v>
      </c>
    </row>
    <row r="173" spans="1:3" x14ac:dyDescent="0.25">
      <c r="A173" s="3">
        <v>42</v>
      </c>
      <c r="B173" s="3">
        <f>INDEX(_xll.ACT_COPULA_GAUSSIAN(B126:C127, B128, B129), 42, 1)</f>
        <v>0.74047833742859004</v>
      </c>
      <c r="C173" s="3">
        <f>INDEX(_xll.ACT_COPULA_GAUSSIAN(B126:C127, B128, B129), 42, 2)</f>
        <v>0.71214888489646466</v>
      </c>
    </row>
    <row r="174" spans="1:3" x14ac:dyDescent="0.25">
      <c r="A174" s="3">
        <v>43</v>
      </c>
      <c r="B174" s="3">
        <f>INDEX(_xll.ACT_COPULA_GAUSSIAN(B126:C127, B128, B129), 43, 1)</f>
        <v>0.64021624011972988</v>
      </c>
      <c r="C174" s="3">
        <f>INDEX(_xll.ACT_COPULA_GAUSSIAN(B126:C127, B128, B129), 43, 2)</f>
        <v>0.45145004819634371</v>
      </c>
    </row>
    <row r="175" spans="1:3" x14ac:dyDescent="0.25">
      <c r="A175" s="3">
        <v>44</v>
      </c>
      <c r="B175" s="3">
        <f>INDEX(_xll.ACT_COPULA_GAUSSIAN(B126:C127, B128, B129), 44, 1)</f>
        <v>0.17607976244877346</v>
      </c>
      <c r="C175" s="3">
        <f>INDEX(_xll.ACT_COPULA_GAUSSIAN(B126:C127, B128, B129), 44, 2)</f>
        <v>0.53309114466330043</v>
      </c>
    </row>
    <row r="176" spans="1:3" x14ac:dyDescent="0.25">
      <c r="A176" s="3">
        <v>45</v>
      </c>
      <c r="B176" s="3">
        <f>INDEX(_xll.ACT_COPULA_GAUSSIAN(B126:C127, B128, B129), 45, 1)</f>
        <v>1.6640628954934192E-2</v>
      </c>
      <c r="C176" s="3">
        <f>INDEX(_xll.ACT_COPULA_GAUSSIAN(B126:C127, B128, B129), 45, 2)</f>
        <v>0.25836582054883311</v>
      </c>
    </row>
    <row r="177" spans="1:3" x14ac:dyDescent="0.25">
      <c r="A177" s="3">
        <v>46</v>
      </c>
      <c r="B177" s="3">
        <f>INDEX(_xll.ACT_COPULA_GAUSSIAN(B126:C127, B128, B129), 46, 1)</f>
        <v>0.79362406103461947</v>
      </c>
      <c r="C177" s="3">
        <f>INDEX(_xll.ACT_COPULA_GAUSSIAN(B126:C127, B128, B129), 46, 2)</f>
        <v>0.94304617205478636</v>
      </c>
    </row>
    <row r="178" spans="1:3" x14ac:dyDescent="0.25">
      <c r="A178" s="3">
        <v>47</v>
      </c>
      <c r="B178" s="3">
        <f>INDEX(_xll.ACT_COPULA_GAUSSIAN(B126:C127, B128, B129), 47, 1)</f>
        <v>0.45233469459284581</v>
      </c>
      <c r="C178" s="3">
        <f>INDEX(_xll.ACT_COPULA_GAUSSIAN(B126:C127, B128, B129), 47, 2)</f>
        <v>0.2518156222133584</v>
      </c>
    </row>
    <row r="179" spans="1:3" x14ac:dyDescent="0.25">
      <c r="A179" s="3">
        <v>48</v>
      </c>
      <c r="B179" s="3">
        <f>INDEX(_xll.ACT_COPULA_GAUSSIAN(B126:C127, B128, B129), 48, 1)</f>
        <v>0.76624856946543707</v>
      </c>
      <c r="C179" s="3">
        <f>INDEX(_xll.ACT_COPULA_GAUSSIAN(B126:C127, B128, B129), 48, 2)</f>
        <v>0.24078655707003466</v>
      </c>
    </row>
    <row r="180" spans="1:3" x14ac:dyDescent="0.25">
      <c r="A180" s="3">
        <v>49</v>
      </c>
      <c r="B180" s="3">
        <f>INDEX(_xll.ACT_COPULA_GAUSSIAN(B126:C127, B128, B129), 49, 1)</f>
        <v>0.19240805706344236</v>
      </c>
      <c r="C180" s="3">
        <f>INDEX(_xll.ACT_COPULA_GAUSSIAN(B126:C127, B128, B129), 49, 2)</f>
        <v>0.23840408353171536</v>
      </c>
    </row>
    <row r="181" spans="1:3" x14ac:dyDescent="0.25">
      <c r="A181" s="3">
        <v>50</v>
      </c>
      <c r="B181" s="3">
        <f>INDEX(_xll.ACT_COPULA_GAUSSIAN(B126:C127, B128, B129), 50, 1)</f>
        <v>0.10099506153489017</v>
      </c>
      <c r="C181" s="3">
        <f>INDEX(_xll.ACT_COPULA_GAUSSIAN(B126:C127, B128, B129), 50, 2)</f>
        <v>0.14815135605783755</v>
      </c>
    </row>
    <row r="184" spans="1:3" ht="18.75" x14ac:dyDescent="0.3">
      <c r="A184" s="1" t="s">
        <v>574</v>
      </c>
    </row>
    <row r="186" spans="1:3" x14ac:dyDescent="0.25">
      <c r="A186" s="3" t="s">
        <v>575</v>
      </c>
      <c r="B186" s="3">
        <v>2</v>
      </c>
    </row>
    <row r="187" spans="1:3" x14ac:dyDescent="0.25">
      <c r="A187" s="3" t="s">
        <v>563</v>
      </c>
      <c r="B187" s="3">
        <v>50</v>
      </c>
    </row>
    <row r="188" spans="1:3" x14ac:dyDescent="0.25">
      <c r="A188" s="3" t="s">
        <v>564</v>
      </c>
      <c r="B188" s="3">
        <v>42</v>
      </c>
    </row>
    <row r="190" spans="1:3" x14ac:dyDescent="0.25">
      <c r="A190" s="6" t="s">
        <v>567</v>
      </c>
      <c r="B190" s="6" t="s">
        <v>568</v>
      </c>
      <c r="C190" s="6" t="s">
        <v>569</v>
      </c>
    </row>
    <row r="191" spans="1:3" x14ac:dyDescent="0.25">
      <c r="A191" s="3">
        <v>1</v>
      </c>
      <c r="B191" s="3">
        <f>INDEX(_xll.ACT_COPULA_CLAYTON(B186, B187, B188), 1, 1)</f>
        <v>0.66810646591154232</v>
      </c>
      <c r="C191" s="3">
        <f>INDEX(_xll.ACT_COPULA_CLAYTON(B186, B187, B188), 1, 2)</f>
        <v>0.37707317946576074</v>
      </c>
    </row>
    <row r="192" spans="1:3" x14ac:dyDescent="0.25">
      <c r="A192" s="3">
        <v>2</v>
      </c>
      <c r="B192" s="3">
        <f>INDEX(_xll.ACT_COPULA_CLAYTON(B186, B187, B188), 2, 1)</f>
        <v>0.12551828945312568</v>
      </c>
      <c r="C192" s="3">
        <f>INDEX(_xll.ACT_COPULA_CLAYTON(B186, B187, B188), 2, 2)</f>
        <v>0.1682225097277352</v>
      </c>
    </row>
    <row r="193" spans="1:3" x14ac:dyDescent="0.25">
      <c r="A193" s="3">
        <v>3</v>
      </c>
      <c r="B193" s="3">
        <f>INDEX(_xll.ACT_COPULA_CLAYTON(B186, B187, B188), 3, 1)</f>
        <v>0.16843422416990353</v>
      </c>
      <c r="C193" s="3">
        <f>INDEX(_xll.ACT_COPULA_CLAYTON(B186, B187, B188), 3, 2)</f>
        <v>0.13906443909650526</v>
      </c>
    </row>
    <row r="194" spans="1:3" x14ac:dyDescent="0.25">
      <c r="A194" s="3">
        <v>4</v>
      </c>
      <c r="B194" s="3">
        <f>INDEX(_xll.ACT_COPULA_CLAYTON(B186, B187, B188), 4, 1)</f>
        <v>0.72440836472642067</v>
      </c>
      <c r="C194" s="3">
        <f>INDEX(_xll.ACT_COPULA_CLAYTON(B186, B187, B188), 4, 2)</f>
        <v>0.69532840995069756</v>
      </c>
    </row>
    <row r="195" spans="1:3" x14ac:dyDescent="0.25">
      <c r="A195" s="3">
        <v>5</v>
      </c>
      <c r="B195" s="3">
        <f>INDEX(_xll.ACT_COPULA_CLAYTON(B186, B187, B188), 5, 1)</f>
        <v>0.17365117053205667</v>
      </c>
      <c r="C195" s="3">
        <f>INDEX(_xll.ACT_COPULA_CLAYTON(B186, B187, B188), 5, 2)</f>
        <v>0.36240049030815841</v>
      </c>
    </row>
    <row r="196" spans="1:3" x14ac:dyDescent="0.25">
      <c r="A196" s="3">
        <v>6</v>
      </c>
      <c r="B196" s="3">
        <f>INDEX(_xll.ACT_COPULA_CLAYTON(B186, B187, B188), 6, 1)</f>
        <v>0.23458845831201805</v>
      </c>
      <c r="C196" s="3">
        <f>INDEX(_xll.ACT_COPULA_CLAYTON(B186, B187, B188), 6, 2)</f>
        <v>0.18984922774115573</v>
      </c>
    </row>
    <row r="197" spans="1:3" x14ac:dyDescent="0.25">
      <c r="A197" s="3">
        <v>7</v>
      </c>
      <c r="B197" s="3">
        <f>INDEX(_xll.ACT_COPULA_CLAYTON(B186, B187, B188), 7, 1)</f>
        <v>0.50560354464948343</v>
      </c>
      <c r="C197" s="3">
        <f>INDEX(_xll.ACT_COPULA_CLAYTON(B186, B187, B188), 7, 2)</f>
        <v>0.42852880880980798</v>
      </c>
    </row>
    <row r="198" spans="1:3" x14ac:dyDescent="0.25">
      <c r="A198" s="3">
        <v>8</v>
      </c>
      <c r="B198" s="3">
        <f>INDEX(_xll.ACT_COPULA_CLAYTON(B186, B187, B188), 8, 1)</f>
        <v>0.38096961350225361</v>
      </c>
      <c r="C198" s="3">
        <f>INDEX(_xll.ACT_COPULA_CLAYTON(B186, B187, B188), 8, 2)</f>
        <v>0.30133282101571801</v>
      </c>
    </row>
    <row r="199" spans="1:3" x14ac:dyDescent="0.25">
      <c r="A199" s="3">
        <v>9</v>
      </c>
      <c r="B199" s="3">
        <f>INDEX(_xll.ACT_COPULA_CLAYTON(B186, B187, B188), 9, 1)</f>
        <v>0.51745109982669868</v>
      </c>
      <c r="C199" s="3">
        <f>INDEX(_xll.ACT_COPULA_CLAYTON(B186, B187, B188), 9, 2)</f>
        <v>0.17688871621577085</v>
      </c>
    </row>
    <row r="200" spans="1:3" x14ac:dyDescent="0.25">
      <c r="A200" s="3">
        <v>10</v>
      </c>
      <c r="B200" s="3">
        <f>INDEX(_xll.ACT_COPULA_CLAYTON(B186, B187, B188), 10, 1)</f>
        <v>0.8141373758270114</v>
      </c>
      <c r="C200" s="3">
        <f>INDEX(_xll.ACT_COPULA_CLAYTON(B186, B187, B188), 10, 2)</f>
        <v>0.77437752276095206</v>
      </c>
    </row>
    <row r="201" spans="1:3" x14ac:dyDescent="0.25">
      <c r="A201" s="3">
        <v>11</v>
      </c>
      <c r="B201" s="3">
        <f>INDEX(_xll.ACT_COPULA_CLAYTON(B186, B187, B188), 11, 1)</f>
        <v>0.3974705140094601</v>
      </c>
      <c r="C201" s="3">
        <f>INDEX(_xll.ACT_COPULA_CLAYTON(B186, B187, B188), 11, 2)</f>
        <v>0.24342733852355206</v>
      </c>
    </row>
    <row r="202" spans="1:3" x14ac:dyDescent="0.25">
      <c r="A202" s="3">
        <v>12</v>
      </c>
      <c r="B202" s="3">
        <f>INDEX(_xll.ACT_COPULA_CLAYTON(B186, B187, B188), 12, 1)</f>
        <v>9.0112610296398679E-2</v>
      </c>
      <c r="C202" s="3">
        <f>INDEX(_xll.ACT_COPULA_CLAYTON(B186, B187, B188), 12, 2)</f>
        <v>0.17330355818765295</v>
      </c>
    </row>
    <row r="203" spans="1:3" x14ac:dyDescent="0.25">
      <c r="A203" s="3">
        <v>13</v>
      </c>
      <c r="B203" s="3">
        <f>INDEX(_xll.ACT_COPULA_CLAYTON(B186, B187, B188), 13, 1)</f>
        <v>0.81618194971987135</v>
      </c>
      <c r="C203" s="3">
        <f>INDEX(_xll.ACT_COPULA_CLAYTON(B186, B187, B188), 13, 2)</f>
        <v>0.75320415220590053</v>
      </c>
    </row>
    <row r="204" spans="1:3" x14ac:dyDescent="0.25">
      <c r="A204" s="3">
        <v>14</v>
      </c>
      <c r="B204" s="3">
        <f>INDEX(_xll.ACT_COPULA_CLAYTON(B186, B187, B188), 14, 1)</f>
        <v>4.414713803871867E-2</v>
      </c>
      <c r="C204" s="3">
        <f>INDEX(_xll.ACT_COPULA_CLAYTON(B186, B187, B188), 14, 2)</f>
        <v>8.7069195391189333E-2</v>
      </c>
    </row>
    <row r="205" spans="1:3" x14ac:dyDescent="0.25">
      <c r="A205" s="3">
        <v>15</v>
      </c>
      <c r="B205" s="3">
        <f>INDEX(_xll.ACT_COPULA_CLAYTON(B186, B187, B188), 15, 1)</f>
        <v>0.14776126628171712</v>
      </c>
      <c r="C205" s="3">
        <f>INDEX(_xll.ACT_COPULA_CLAYTON(B186, B187, B188), 15, 2)</f>
        <v>0.49338612697115153</v>
      </c>
    </row>
    <row r="206" spans="1:3" x14ac:dyDescent="0.25">
      <c r="A206" s="3">
        <v>16</v>
      </c>
      <c r="B206" s="3">
        <f>INDEX(_xll.ACT_COPULA_CLAYTON(B186, B187, B188), 16, 1)</f>
        <v>0.69258972289626941</v>
      </c>
      <c r="C206" s="3">
        <f>INDEX(_xll.ACT_COPULA_CLAYTON(B186, B187, B188), 16, 2)</f>
        <v>0.68134993970336999</v>
      </c>
    </row>
    <row r="207" spans="1:3" x14ac:dyDescent="0.25">
      <c r="A207" s="3">
        <v>17</v>
      </c>
      <c r="B207" s="3">
        <f>INDEX(_xll.ACT_COPULA_CLAYTON(B186, B187, B188), 17, 1)</f>
        <v>0.18637845627329241</v>
      </c>
      <c r="C207" s="3">
        <f>INDEX(_xll.ACT_COPULA_CLAYTON(B186, B187, B188), 17, 2)</f>
        <v>6.8625464562499697E-2</v>
      </c>
    </row>
    <row r="208" spans="1:3" x14ac:dyDescent="0.25">
      <c r="A208" s="3">
        <v>18</v>
      </c>
      <c r="B208" s="3">
        <f>INDEX(_xll.ACT_COPULA_CLAYTON(B186, B187, B188), 18, 1)</f>
        <v>0.30819966285871325</v>
      </c>
      <c r="C208" s="3">
        <f>INDEX(_xll.ACT_COPULA_CLAYTON(B186, B187, B188), 18, 2)</f>
        <v>0.42429000617188112</v>
      </c>
    </row>
    <row r="209" spans="1:3" x14ac:dyDescent="0.25">
      <c r="A209" s="3">
        <v>19</v>
      </c>
      <c r="B209" s="3">
        <f>INDEX(_xll.ACT_COPULA_CLAYTON(B186, B187, B188), 19, 1)</f>
        <v>0.82106515198064278</v>
      </c>
      <c r="C209" s="3">
        <f>INDEX(_xll.ACT_COPULA_CLAYTON(B186, B187, B188), 19, 2)</f>
        <v>0.13037615016207391</v>
      </c>
    </row>
    <row r="210" spans="1:3" x14ac:dyDescent="0.25">
      <c r="A210" s="3">
        <v>20</v>
      </c>
      <c r="B210" s="3">
        <f>INDEX(_xll.ACT_COPULA_CLAYTON(B186, B187, B188), 20, 1)</f>
        <v>0.53572202079730202</v>
      </c>
      <c r="C210" s="3">
        <f>INDEX(_xll.ACT_COPULA_CLAYTON(B186, B187, B188), 20, 2)</f>
        <v>0.80542962222120629</v>
      </c>
    </row>
    <row r="211" spans="1:3" x14ac:dyDescent="0.25">
      <c r="A211" s="3">
        <v>21</v>
      </c>
      <c r="B211" s="3">
        <f>INDEX(_xll.ACT_COPULA_CLAYTON(B186, B187, B188), 21, 1)</f>
        <v>0.74835892708430019</v>
      </c>
      <c r="C211" s="3">
        <f>INDEX(_xll.ACT_COPULA_CLAYTON(B186, B187, B188), 21, 2)</f>
        <v>0.6212657547602326</v>
      </c>
    </row>
    <row r="212" spans="1:3" x14ac:dyDescent="0.25">
      <c r="A212" s="3">
        <v>22</v>
      </c>
      <c r="B212" s="3">
        <f>INDEX(_xll.ACT_COPULA_CLAYTON(B186, B187, B188), 22, 1)</f>
        <v>0.14911907173186498</v>
      </c>
      <c r="C212" s="3">
        <f>INDEX(_xll.ACT_COPULA_CLAYTON(B186, B187, B188), 22, 2)</f>
        <v>4.6422502679715288E-2</v>
      </c>
    </row>
    <row r="213" spans="1:3" x14ac:dyDescent="0.25">
      <c r="A213" s="3">
        <v>23</v>
      </c>
      <c r="B213" s="3">
        <f>INDEX(_xll.ACT_COPULA_CLAYTON(B186, B187, B188), 23, 1)</f>
        <v>5.1009009150326724E-2</v>
      </c>
      <c r="C213" s="3">
        <f>INDEX(_xll.ACT_COPULA_CLAYTON(B186, B187, B188), 23, 2)</f>
        <v>0.1198647226050169</v>
      </c>
    </row>
    <row r="214" spans="1:3" x14ac:dyDescent="0.25">
      <c r="A214" s="3">
        <v>24</v>
      </c>
      <c r="B214" s="3">
        <f>INDEX(_xll.ACT_COPULA_CLAYTON(B186, B187, B188), 24, 1)</f>
        <v>0.62645638437311002</v>
      </c>
      <c r="C214" s="3">
        <f>INDEX(_xll.ACT_COPULA_CLAYTON(B186, B187, B188), 24, 2)</f>
        <v>0.32940485439129391</v>
      </c>
    </row>
    <row r="215" spans="1:3" x14ac:dyDescent="0.25">
      <c r="A215" s="3">
        <v>25</v>
      </c>
      <c r="B215" s="3">
        <f>INDEX(_xll.ACT_COPULA_CLAYTON(B186, B187, B188), 25, 1)</f>
        <v>0.24996082822324747</v>
      </c>
      <c r="C215" s="3">
        <f>INDEX(_xll.ACT_COPULA_CLAYTON(B186, B187, B188), 25, 2)</f>
        <v>0.49959269988129068</v>
      </c>
    </row>
    <row r="216" spans="1:3" x14ac:dyDescent="0.25">
      <c r="A216" s="3">
        <v>26</v>
      </c>
      <c r="B216" s="3">
        <f>INDEX(_xll.ACT_COPULA_CLAYTON(B186, B187, B188), 26, 1)</f>
        <v>0.28960667890012576</v>
      </c>
      <c r="C216" s="3">
        <f>INDEX(_xll.ACT_COPULA_CLAYTON(B186, B187, B188), 26, 2)</f>
        <v>0.44735884180174529</v>
      </c>
    </row>
    <row r="217" spans="1:3" x14ac:dyDescent="0.25">
      <c r="A217" s="3">
        <v>27</v>
      </c>
      <c r="B217" s="3">
        <f>INDEX(_xll.ACT_COPULA_CLAYTON(B186, B187, B188), 27, 1)</f>
        <v>0.14364648477344144</v>
      </c>
      <c r="C217" s="3">
        <f>INDEX(_xll.ACT_COPULA_CLAYTON(B186, B187, B188), 27, 2)</f>
        <v>5.4354899027452212E-2</v>
      </c>
    </row>
    <row r="218" spans="1:3" x14ac:dyDescent="0.25">
      <c r="A218" s="3">
        <v>28</v>
      </c>
      <c r="B218" s="3">
        <f>INDEX(_xll.ACT_COPULA_CLAYTON(B186, B187, B188), 28, 1)</f>
        <v>0.6045592839850854</v>
      </c>
      <c r="C218" s="3">
        <f>INDEX(_xll.ACT_COPULA_CLAYTON(B186, B187, B188), 28, 2)</f>
        <v>0.63026905255579624</v>
      </c>
    </row>
    <row r="219" spans="1:3" x14ac:dyDescent="0.25">
      <c r="A219" s="3">
        <v>29</v>
      </c>
      <c r="B219" s="3">
        <f>INDEX(_xll.ACT_COPULA_CLAYTON(B186, B187, B188), 29, 1)</f>
        <v>5.0794688077082248E-2</v>
      </c>
      <c r="C219" s="3">
        <f>INDEX(_xll.ACT_COPULA_CLAYTON(B186, B187, B188), 29, 2)</f>
        <v>5.7344470880749732E-2</v>
      </c>
    </row>
    <row r="220" spans="1:3" x14ac:dyDescent="0.25">
      <c r="A220" s="3">
        <v>30</v>
      </c>
      <c r="B220" s="3">
        <f>INDEX(_xll.ACT_COPULA_CLAYTON(B186, B187, B188), 30, 1)</f>
        <v>0.70658232630536999</v>
      </c>
      <c r="C220" s="3">
        <f>INDEX(_xll.ACT_COPULA_CLAYTON(B186, B187, B188), 30, 2)</f>
        <v>0.76095087761301017</v>
      </c>
    </row>
    <row r="221" spans="1:3" x14ac:dyDescent="0.25">
      <c r="A221" s="3">
        <v>31</v>
      </c>
      <c r="B221" s="3">
        <f>INDEX(_xll.ACT_COPULA_CLAYTON(B186, B187, B188), 31, 1)</f>
        <v>0.2184455372479025</v>
      </c>
      <c r="C221" s="3">
        <f>INDEX(_xll.ACT_COPULA_CLAYTON(B186, B187, B188), 31, 2)</f>
        <v>5.3132180008972241E-2</v>
      </c>
    </row>
    <row r="222" spans="1:3" x14ac:dyDescent="0.25">
      <c r="A222" s="3">
        <v>32</v>
      </c>
      <c r="B222" s="3">
        <f>INDEX(_xll.ACT_COPULA_CLAYTON(B186, B187, B188), 32, 1)</f>
        <v>0.36516152525561002</v>
      </c>
      <c r="C222" s="3">
        <f>INDEX(_xll.ACT_COPULA_CLAYTON(B186, B187, B188), 32, 2)</f>
        <v>0.29402455102822878</v>
      </c>
    </row>
    <row r="223" spans="1:3" x14ac:dyDescent="0.25">
      <c r="A223" s="3">
        <v>33</v>
      </c>
      <c r="B223" s="3">
        <f>INDEX(_xll.ACT_COPULA_CLAYTON(B186, B187, B188), 33, 1)</f>
        <v>6.8660835767472547E-2</v>
      </c>
      <c r="C223" s="3">
        <f>INDEX(_xll.ACT_COPULA_CLAYTON(B186, B187, B188), 33, 2)</f>
        <v>0.13686876891893118</v>
      </c>
    </row>
    <row r="224" spans="1:3" x14ac:dyDescent="0.25">
      <c r="A224" s="3">
        <v>34</v>
      </c>
      <c r="B224" s="3">
        <f>INDEX(_xll.ACT_COPULA_CLAYTON(B186, B187, B188), 34, 1)</f>
        <v>7.0942941620453698E-2</v>
      </c>
      <c r="C224" s="3">
        <f>INDEX(_xll.ACT_COPULA_CLAYTON(B186, B187, B188), 34, 2)</f>
        <v>8.6458587539478549E-2</v>
      </c>
    </row>
    <row r="225" spans="1:3" x14ac:dyDescent="0.25">
      <c r="A225" s="3">
        <v>35</v>
      </c>
      <c r="B225" s="3">
        <f>INDEX(_xll.ACT_COPULA_CLAYTON(B186, B187, B188), 35, 1)</f>
        <v>1.2033524462968822E-2</v>
      </c>
      <c r="C225" s="3">
        <f>INDEX(_xll.ACT_COPULA_CLAYTON(B186, B187, B188), 35, 2)</f>
        <v>2.9836334796561618E-2</v>
      </c>
    </row>
    <row r="226" spans="1:3" x14ac:dyDescent="0.25">
      <c r="A226" s="3">
        <v>36</v>
      </c>
      <c r="B226" s="3">
        <f>INDEX(_xll.ACT_COPULA_CLAYTON(B186, B187, B188), 36, 1)</f>
        <v>0.43917948307431282</v>
      </c>
      <c r="C226" s="3">
        <f>INDEX(_xll.ACT_COPULA_CLAYTON(B186, B187, B188), 36, 2)</f>
        <v>0.50633088200152387</v>
      </c>
    </row>
    <row r="227" spans="1:3" x14ac:dyDescent="0.25">
      <c r="A227" s="3">
        <v>37</v>
      </c>
      <c r="B227" s="3">
        <f>INDEX(_xll.ACT_COPULA_CLAYTON(B186, B187, B188), 37, 1)</f>
        <v>0.49959679669681789</v>
      </c>
      <c r="C227" s="3">
        <f>INDEX(_xll.ACT_COPULA_CLAYTON(B186, B187, B188), 37, 2)</f>
        <v>0.10545882829825906</v>
      </c>
    </row>
    <row r="228" spans="1:3" x14ac:dyDescent="0.25">
      <c r="A228" s="3">
        <v>38</v>
      </c>
      <c r="B228" s="3">
        <f>INDEX(_xll.ACT_COPULA_CLAYTON(B186, B187, B188), 38, 1)</f>
        <v>0.82883792688550328</v>
      </c>
      <c r="C228" s="3">
        <f>INDEX(_xll.ACT_COPULA_CLAYTON(B186, B187, B188), 38, 2)</f>
        <v>0.19606552650905451</v>
      </c>
    </row>
    <row r="229" spans="1:3" x14ac:dyDescent="0.25">
      <c r="A229" s="3">
        <v>39</v>
      </c>
      <c r="B229" s="3">
        <f>INDEX(_xll.ACT_COPULA_CLAYTON(B186, B187, B188), 39, 1)</f>
        <v>3.0740085072228727E-3</v>
      </c>
      <c r="C229" s="3">
        <f>INDEX(_xll.ACT_COPULA_CLAYTON(B186, B187, B188), 39, 2)</f>
        <v>1.3397170035086758E-3</v>
      </c>
    </row>
    <row r="230" spans="1:3" x14ac:dyDescent="0.25">
      <c r="A230" s="3">
        <v>40</v>
      </c>
      <c r="B230" s="3">
        <f>INDEX(_xll.ACT_COPULA_CLAYTON(B186, B187, B188), 40, 1)</f>
        <v>0.65414312093245941</v>
      </c>
      <c r="C230" s="3">
        <f>INDEX(_xll.ACT_COPULA_CLAYTON(B186, B187, B188), 40, 2)</f>
        <v>0.21980364583432399</v>
      </c>
    </row>
    <row r="231" spans="1:3" x14ac:dyDescent="0.25">
      <c r="A231" s="3">
        <v>41</v>
      </c>
      <c r="B231" s="3">
        <f>INDEX(_xll.ACT_COPULA_CLAYTON(B186, B187, B188), 41, 1)</f>
        <v>0.91351419776376064</v>
      </c>
      <c r="C231" s="3">
        <f>INDEX(_xll.ACT_COPULA_CLAYTON(B186, B187, B188), 41, 2)</f>
        <v>0.97113519480681965</v>
      </c>
    </row>
    <row r="232" spans="1:3" x14ac:dyDescent="0.25">
      <c r="A232" s="3">
        <v>42</v>
      </c>
      <c r="B232" s="3">
        <f>INDEX(_xll.ACT_COPULA_CLAYTON(B186, B187, B188), 42, 1)</f>
        <v>0.46119376153740743</v>
      </c>
      <c r="C232" s="3">
        <f>INDEX(_xll.ACT_COPULA_CLAYTON(B186, B187, B188), 42, 2)</f>
        <v>0.43298151688444414</v>
      </c>
    </row>
    <row r="233" spans="1:3" x14ac:dyDescent="0.25">
      <c r="A233" s="3">
        <v>43</v>
      </c>
      <c r="B233" s="3">
        <f>INDEX(_xll.ACT_COPULA_CLAYTON(B186, B187, B188), 43, 1)</f>
        <v>0.61660608072607126</v>
      </c>
      <c r="C233" s="3">
        <f>INDEX(_xll.ACT_COPULA_CLAYTON(B186, B187, B188), 43, 2)</f>
        <v>0.22743521385337176</v>
      </c>
    </row>
    <row r="234" spans="1:3" x14ac:dyDescent="0.25">
      <c r="A234" s="3">
        <v>44</v>
      </c>
      <c r="B234" s="3">
        <f>INDEX(_xll.ACT_COPULA_CLAYTON(B186, B187, B188), 44, 1)</f>
        <v>0.37276722927240991</v>
      </c>
      <c r="C234" s="3">
        <f>INDEX(_xll.ACT_COPULA_CLAYTON(B186, B187, B188), 44, 2)</f>
        <v>0.22217506831482361</v>
      </c>
    </row>
    <row r="235" spans="1:3" x14ac:dyDescent="0.25">
      <c r="A235" s="3">
        <v>45</v>
      </c>
      <c r="B235" s="3">
        <f>INDEX(_xll.ACT_COPULA_CLAYTON(B186, B187, B188), 45, 1)</f>
        <v>0.43695068240023716</v>
      </c>
      <c r="C235" s="3">
        <f>INDEX(_xll.ACT_COPULA_CLAYTON(B186, B187, B188), 45, 2)</f>
        <v>0.72942451675411479</v>
      </c>
    </row>
    <row r="236" spans="1:3" x14ac:dyDescent="0.25">
      <c r="A236" s="3">
        <v>46</v>
      </c>
      <c r="B236" s="3">
        <f>INDEX(_xll.ACT_COPULA_CLAYTON(B186, B187, B188), 46, 1)</f>
        <v>0.53236559849808252</v>
      </c>
      <c r="C236" s="3">
        <f>INDEX(_xll.ACT_COPULA_CLAYTON(B186, B187, B188), 46, 2)</f>
        <v>0.50230187136181037</v>
      </c>
    </row>
    <row r="237" spans="1:3" x14ac:dyDescent="0.25">
      <c r="A237" s="3">
        <v>47</v>
      </c>
      <c r="B237" s="3">
        <f>INDEX(_xll.ACT_COPULA_CLAYTON(B186, B187, B188), 47, 1)</f>
        <v>0.29737253454391499</v>
      </c>
      <c r="C237" s="3">
        <f>INDEX(_xll.ACT_COPULA_CLAYTON(B186, B187, B188), 47, 2)</f>
        <v>0.75419148465574404</v>
      </c>
    </row>
    <row r="238" spans="1:3" x14ac:dyDescent="0.25">
      <c r="A238" s="3">
        <v>48</v>
      </c>
      <c r="B238" s="3">
        <f>INDEX(_xll.ACT_COPULA_CLAYTON(B186, B187, B188), 48, 1)</f>
        <v>0.58673892942571026</v>
      </c>
      <c r="C238" s="3">
        <f>INDEX(_xll.ACT_COPULA_CLAYTON(B186, B187, B188), 48, 2)</f>
        <v>0.77580469993662604</v>
      </c>
    </row>
    <row r="239" spans="1:3" x14ac:dyDescent="0.25">
      <c r="A239" s="3">
        <v>49</v>
      </c>
      <c r="B239" s="3">
        <f>INDEX(_xll.ACT_COPULA_CLAYTON(B186, B187, B188), 49, 1)</f>
        <v>1.9412166448036287E-2</v>
      </c>
      <c r="C239" s="3">
        <f>INDEX(_xll.ACT_COPULA_CLAYTON(B186, B187, B188), 49, 2)</f>
        <v>6.5456402551597181E-2</v>
      </c>
    </row>
    <row r="240" spans="1:3" x14ac:dyDescent="0.25">
      <c r="A240" s="3">
        <v>50</v>
      </c>
      <c r="B240" s="3">
        <f>INDEX(_xll.ACT_COPULA_CLAYTON(B186, B187, B188), 50, 1)</f>
        <v>0.95767867842581067</v>
      </c>
      <c r="C240" s="3">
        <f>INDEX(_xll.ACT_COPULA_CLAYTON(B186, B187, B188), 50, 2)</f>
        <v>0.67729774935131126</v>
      </c>
    </row>
    <row r="243" spans="1:3" ht="18.75" x14ac:dyDescent="0.3">
      <c r="A243" s="1" t="s">
        <v>576</v>
      </c>
    </row>
    <row r="245" spans="1:3" x14ac:dyDescent="0.25">
      <c r="A245" s="3" t="s">
        <v>577</v>
      </c>
      <c r="B245" s="3">
        <v>5</v>
      </c>
    </row>
    <row r="246" spans="1:3" x14ac:dyDescent="0.25">
      <c r="A246" s="3" t="s">
        <v>563</v>
      </c>
      <c r="B246" s="3">
        <v>50</v>
      </c>
    </row>
    <row r="247" spans="1:3" x14ac:dyDescent="0.25">
      <c r="A247" s="3" t="s">
        <v>564</v>
      </c>
      <c r="B247" s="3">
        <v>42</v>
      </c>
    </row>
    <row r="249" spans="1:3" x14ac:dyDescent="0.25">
      <c r="A249" s="6" t="s">
        <v>567</v>
      </c>
      <c r="B249" s="6" t="s">
        <v>568</v>
      </c>
      <c r="C249" s="6" t="s">
        <v>569</v>
      </c>
    </row>
    <row r="250" spans="1:3" x14ac:dyDescent="0.25">
      <c r="A250" s="3">
        <v>1</v>
      </c>
      <c r="B250" s="3">
        <f>INDEX(_xll.ACT_COPULA_FRANK(B245, B246, B247), 1, 1)</f>
        <v>0.66810646591154232</v>
      </c>
      <c r="C250" s="3">
        <f>INDEX(_xll.ACT_COPULA_FRANK(B245, B246, B247), 1, 2)</f>
        <v>0.33950971409739183</v>
      </c>
    </row>
    <row r="251" spans="1:3" x14ac:dyDescent="0.25">
      <c r="A251" s="3">
        <v>2</v>
      </c>
      <c r="B251" s="3">
        <f>INDEX(_xll.ACT_COPULA_FRANK(B245, B246, B247), 2, 1)</f>
        <v>0.12551828945312568</v>
      </c>
      <c r="C251" s="3">
        <f>INDEX(_xll.ACT_COPULA_FRANK(B245, B246, B247), 2, 2)</f>
        <v>0.22039949194715622</v>
      </c>
    </row>
    <row r="252" spans="1:3" x14ac:dyDescent="0.25">
      <c r="A252" s="3">
        <v>3</v>
      </c>
      <c r="B252" s="3">
        <f>INDEX(_xll.ACT_COPULA_FRANK(B245, B246, B247), 3, 1)</f>
        <v>0.16843422416990353</v>
      </c>
      <c r="C252" s="3">
        <f>INDEX(_xll.ACT_COPULA_FRANK(B245, B246, B247), 3, 2)</f>
        <v>0.11938661804445225</v>
      </c>
    </row>
    <row r="253" spans="1:3" x14ac:dyDescent="0.25">
      <c r="A253" s="3">
        <v>4</v>
      </c>
      <c r="B253" s="3">
        <f>INDEX(_xll.ACT_COPULA_FRANK(B245, B246, B247), 4, 1)</f>
        <v>0.72440836472642067</v>
      </c>
      <c r="C253" s="3">
        <f>INDEX(_xll.ACT_COPULA_FRANK(B245, B246, B247), 4, 2)</f>
        <v>0.69267316743663843</v>
      </c>
    </row>
    <row r="254" spans="1:3" x14ac:dyDescent="0.25">
      <c r="A254" s="3">
        <v>5</v>
      </c>
      <c r="B254" s="3">
        <f>INDEX(_xll.ACT_COPULA_FRANK(B245, B246, B247), 5, 1)</f>
        <v>0.17365117053205667</v>
      </c>
      <c r="C254" s="3">
        <f>INDEX(_xll.ACT_COPULA_FRANK(B245, B246, B247), 5, 2)</f>
        <v>0.42030684110048666</v>
      </c>
    </row>
    <row r="255" spans="1:3" x14ac:dyDescent="0.25">
      <c r="A255" s="3">
        <v>6</v>
      </c>
      <c r="B255" s="3">
        <f>INDEX(_xll.ACT_COPULA_FRANK(B245, B246, B247), 6, 1)</f>
        <v>0.23458845831201805</v>
      </c>
      <c r="C255" s="3">
        <f>INDEX(_xll.ACT_COPULA_FRANK(B245, B246, B247), 6, 2)</f>
        <v>0.14874584863349793</v>
      </c>
    </row>
    <row r="256" spans="1:3" x14ac:dyDescent="0.25">
      <c r="A256" s="3">
        <v>7</v>
      </c>
      <c r="B256" s="3">
        <f>INDEX(_xll.ACT_COPULA_FRANK(B245, B246, B247), 7, 1)</f>
        <v>0.50560354464948343</v>
      </c>
      <c r="C256" s="3">
        <f>INDEX(_xll.ACT_COPULA_FRANK(B245, B246, B247), 7, 2)</f>
        <v>0.37856710442651492</v>
      </c>
    </row>
    <row r="257" spans="1:3" x14ac:dyDescent="0.25">
      <c r="A257" s="3">
        <v>8</v>
      </c>
      <c r="B257" s="3">
        <f>INDEX(_xll.ACT_COPULA_FRANK(B245, B246, B247), 8, 1)</f>
        <v>0.38096961350225361</v>
      </c>
      <c r="C257" s="3">
        <f>INDEX(_xll.ACT_COPULA_FRANK(B245, B246, B247), 8, 2)</f>
        <v>0.23943745512597564</v>
      </c>
    </row>
    <row r="258" spans="1:3" x14ac:dyDescent="0.25">
      <c r="A258" s="3">
        <v>9</v>
      </c>
      <c r="B258" s="3">
        <f>INDEX(_xll.ACT_COPULA_FRANK(B245, B246, B247), 9, 1)</f>
        <v>0.51745109982669868</v>
      </c>
      <c r="C258" s="3">
        <f>INDEX(_xll.ACT_COPULA_FRANK(B245, B246, B247), 9, 2)</f>
        <v>7.8655755347589104E-2</v>
      </c>
    </row>
    <row r="259" spans="1:3" x14ac:dyDescent="0.25">
      <c r="A259" s="3">
        <v>10</v>
      </c>
      <c r="B259" s="3">
        <f>INDEX(_xll.ACT_COPULA_FRANK(B245, B246, B247), 10, 1)</f>
        <v>0.8141373758270114</v>
      </c>
      <c r="C259" s="3">
        <f>INDEX(_xll.ACT_COPULA_FRANK(B245, B246, B247), 10, 2)</f>
        <v>0.79265057193651933</v>
      </c>
    </row>
    <row r="260" spans="1:3" x14ac:dyDescent="0.25">
      <c r="A260" s="3">
        <v>11</v>
      </c>
      <c r="B260" s="3">
        <f>INDEX(_xll.ACT_COPULA_FRANK(B245, B246, B247), 11, 1)</f>
        <v>0.3974705140094601</v>
      </c>
      <c r="C260" s="3">
        <f>INDEX(_xll.ACT_COPULA_FRANK(B245, B246, B247), 11, 2)</f>
        <v>0.16567208668793698</v>
      </c>
    </row>
    <row r="261" spans="1:3" x14ac:dyDescent="0.25">
      <c r="A261" s="3">
        <v>12</v>
      </c>
      <c r="B261" s="3">
        <f>INDEX(_xll.ACT_COPULA_FRANK(B245, B246, B247), 12, 1)</f>
        <v>9.0112610296398679E-2</v>
      </c>
      <c r="C261" s="3">
        <f>INDEX(_xll.ACT_COPULA_FRANK(B245, B246, B247), 12, 2)</f>
        <v>0.30675470505447683</v>
      </c>
    </row>
    <row r="262" spans="1:3" x14ac:dyDescent="0.25">
      <c r="A262" s="3">
        <v>13</v>
      </c>
      <c r="B262" s="3">
        <f>INDEX(_xll.ACT_COPULA_FRANK(B245, B246, B247), 13, 1)</f>
        <v>0.81618194971987135</v>
      </c>
      <c r="C262" s="3">
        <f>INDEX(_xll.ACT_COPULA_FRANK(B245, B246, B247), 13, 2)</f>
        <v>0.77427750243428806</v>
      </c>
    </row>
    <row r="263" spans="1:3" x14ac:dyDescent="0.25">
      <c r="A263" s="3">
        <v>14</v>
      </c>
      <c r="B263" s="3">
        <f>INDEX(_xll.ACT_COPULA_FRANK(B245, B246, B247), 14, 1)</f>
        <v>4.414713803871867E-2</v>
      </c>
      <c r="C263" s="3">
        <f>INDEX(_xll.ACT_COPULA_FRANK(B245, B246, B247), 14, 2)</f>
        <v>0.27664197776262955</v>
      </c>
    </row>
    <row r="264" spans="1:3" x14ac:dyDescent="0.25">
      <c r="A264" s="3">
        <v>15</v>
      </c>
      <c r="B264" s="3">
        <f>INDEX(_xll.ACT_COPULA_FRANK(B245, B246, B247), 15, 1)</f>
        <v>0.14776126628171712</v>
      </c>
      <c r="C264" s="3">
        <f>INDEX(_xll.ACT_COPULA_FRANK(B245, B246, B247), 15, 2)</f>
        <v>0.58550689387516741</v>
      </c>
    </row>
    <row r="265" spans="1:3" x14ac:dyDescent="0.25">
      <c r="A265" s="3">
        <v>16</v>
      </c>
      <c r="B265" s="3">
        <f>INDEX(_xll.ACT_COPULA_FRANK(B245, B246, B247), 16, 1)</f>
        <v>0.69258972289626941</v>
      </c>
      <c r="C265" s="3">
        <f>INDEX(_xll.ACT_COPULA_FRANK(B245, B246, B247), 16, 2)</f>
        <v>0.67017056984177292</v>
      </c>
    </row>
    <row r="266" spans="1:3" x14ac:dyDescent="0.25">
      <c r="A266" s="3">
        <v>17</v>
      </c>
      <c r="B266" s="3">
        <f>INDEX(_xll.ACT_COPULA_FRANK(B245, B246, B247), 17, 1)</f>
        <v>0.18637845627329241</v>
      </c>
      <c r="C266" s="3">
        <f>INDEX(_xll.ACT_COPULA_FRANK(B245, B246, B247), 17, 2)</f>
        <v>2.0718740214559387E-2</v>
      </c>
    </row>
    <row r="267" spans="1:3" x14ac:dyDescent="0.25">
      <c r="A267" s="3">
        <v>18</v>
      </c>
      <c r="B267" s="3">
        <f>INDEX(_xll.ACT_COPULA_FRANK(B245, B246, B247), 18, 1)</f>
        <v>0.30819966285871325</v>
      </c>
      <c r="C267" s="3">
        <f>INDEX(_xll.ACT_COPULA_FRANK(B245, B246, B247), 18, 2)</f>
        <v>0.39522537439829547</v>
      </c>
    </row>
    <row r="268" spans="1:3" x14ac:dyDescent="0.25">
      <c r="A268" s="3">
        <v>19</v>
      </c>
      <c r="B268" s="3">
        <f>INDEX(_xll.ACT_COPULA_FRANK(B245, B246, B247), 19, 1)</f>
        <v>0.82106515198064278</v>
      </c>
      <c r="C268" s="3">
        <f>INDEX(_xll.ACT_COPULA_FRANK(B245, B246, B247), 19, 2)</f>
        <v>4.2837314240079111E-2</v>
      </c>
    </row>
    <row r="269" spans="1:3" x14ac:dyDescent="0.25">
      <c r="A269" s="3">
        <v>20</v>
      </c>
      <c r="B269" s="3">
        <f>INDEX(_xll.ACT_COPULA_FRANK(B245, B246, B247), 20, 1)</f>
        <v>0.53572202079730202</v>
      </c>
      <c r="C269" s="3">
        <f>INDEX(_xll.ACT_COPULA_FRANK(B245, B246, B247), 20, 2)</f>
        <v>0.75472700001716775</v>
      </c>
    </row>
    <row r="270" spans="1:3" x14ac:dyDescent="0.25">
      <c r="A270" s="3">
        <v>21</v>
      </c>
      <c r="B270" s="3">
        <f>INDEX(_xll.ACT_COPULA_FRANK(B245, B246, B247), 21, 1)</f>
        <v>0.74835892708430019</v>
      </c>
      <c r="C270" s="3">
        <f>INDEX(_xll.ACT_COPULA_FRANK(B245, B246, B247), 21, 2)</f>
        <v>0.62908079260829408</v>
      </c>
    </row>
    <row r="271" spans="1:3" x14ac:dyDescent="0.25">
      <c r="A271" s="3">
        <v>22</v>
      </c>
      <c r="B271" s="3">
        <f>INDEX(_xll.ACT_COPULA_FRANK(B245, B246, B247), 22, 1)</f>
        <v>0.14911907173186498</v>
      </c>
      <c r="C271" s="3">
        <f>INDEX(_xll.ACT_COPULA_FRANK(B245, B246, B247), 22, 2)</f>
        <v>1.1013431037420706E-2</v>
      </c>
    </row>
    <row r="272" spans="1:3" x14ac:dyDescent="0.25">
      <c r="A272" s="3">
        <v>23</v>
      </c>
      <c r="B272" s="3">
        <f>INDEX(_xll.ACT_COPULA_FRANK(B245, B246, B247), 23, 1)</f>
        <v>5.1009009150326724E-2</v>
      </c>
      <c r="C272" s="3">
        <f>INDEX(_xll.ACT_COPULA_FRANK(B245, B246, B247), 23, 2)</f>
        <v>0.33912220401915666</v>
      </c>
    </row>
    <row r="273" spans="1:3" x14ac:dyDescent="0.25">
      <c r="A273" s="3">
        <v>24</v>
      </c>
      <c r="B273" s="3">
        <f>INDEX(_xll.ACT_COPULA_FRANK(B245, B246, B247), 24, 1)</f>
        <v>0.62645638437311002</v>
      </c>
      <c r="C273" s="3">
        <f>INDEX(_xll.ACT_COPULA_FRANK(B245, B246, B247), 24, 2)</f>
        <v>0.27248959354831948</v>
      </c>
    </row>
    <row r="274" spans="1:3" x14ac:dyDescent="0.25">
      <c r="A274" s="3">
        <v>25</v>
      </c>
      <c r="B274" s="3">
        <f>INDEX(_xll.ACT_COPULA_FRANK(B245, B246, B247), 25, 1)</f>
        <v>0.24996082822324747</v>
      </c>
      <c r="C274" s="3">
        <f>INDEX(_xll.ACT_COPULA_FRANK(B245, B246, B247), 25, 2)</f>
        <v>0.49522902116721801</v>
      </c>
    </row>
    <row r="275" spans="1:3" x14ac:dyDescent="0.25">
      <c r="A275" s="3">
        <v>26</v>
      </c>
      <c r="B275" s="3">
        <f>INDEX(_xll.ACT_COPULA_FRANK(B245, B246, B247), 26, 1)</f>
        <v>0.28960667890012576</v>
      </c>
      <c r="C275" s="3">
        <f>INDEX(_xll.ACT_COPULA_FRANK(B245, B246, B247), 26, 2)</f>
        <v>0.42551063762863411</v>
      </c>
    </row>
    <row r="276" spans="1:3" x14ac:dyDescent="0.25">
      <c r="A276" s="3">
        <v>27</v>
      </c>
      <c r="B276" s="3">
        <f>INDEX(_xll.ACT_COPULA_FRANK(B245, B246, B247), 27, 1)</f>
        <v>0.14364648477344144</v>
      </c>
      <c r="C276" s="3">
        <f>INDEX(_xll.ACT_COPULA_FRANK(B245, B246, B247), 27, 2)</f>
        <v>1.8114859393203009E-2</v>
      </c>
    </row>
    <row r="277" spans="1:3" x14ac:dyDescent="0.25">
      <c r="A277" s="3">
        <v>28</v>
      </c>
      <c r="B277" s="3">
        <f>INDEX(_xll.ACT_COPULA_FRANK(B245, B246, B247), 28, 1)</f>
        <v>0.6045592839850854</v>
      </c>
      <c r="C277" s="3">
        <f>INDEX(_xll.ACT_COPULA_FRANK(B245, B246, B247), 28, 2)</f>
        <v>0.59869709999168508</v>
      </c>
    </row>
    <row r="278" spans="1:3" x14ac:dyDescent="0.25">
      <c r="A278" s="3">
        <v>29</v>
      </c>
      <c r="B278" s="3">
        <f>INDEX(_xll.ACT_COPULA_FRANK(B245, B246, B247), 29, 1)</f>
        <v>5.0794688077082248E-2</v>
      </c>
      <c r="C278" s="3">
        <f>INDEX(_xll.ACT_COPULA_FRANK(B245, B246, B247), 29, 2)</f>
        <v>0.13075700226314435</v>
      </c>
    </row>
    <row r="279" spans="1:3" x14ac:dyDescent="0.25">
      <c r="A279" s="3">
        <v>30</v>
      </c>
      <c r="B279" s="3">
        <f>INDEX(_xll.ACT_COPULA_FRANK(B245, B246, B247), 30, 1)</f>
        <v>0.70658232630536999</v>
      </c>
      <c r="C279" s="3">
        <f>INDEX(_xll.ACT_COPULA_FRANK(B245, B246, B247), 30, 2)</f>
        <v>0.74926469131516771</v>
      </c>
    </row>
    <row r="280" spans="1:3" x14ac:dyDescent="0.25">
      <c r="A280" s="3">
        <v>31</v>
      </c>
      <c r="B280" s="3">
        <f>INDEX(_xll.ACT_COPULA_FRANK(B245, B246, B247), 31, 1)</f>
        <v>0.2184455372479025</v>
      </c>
      <c r="C280" s="3">
        <f>INDEX(_xll.ACT_COPULA_FRANK(B245, B246, B247), 31, 2)</f>
        <v>7.7976822595444886E-3</v>
      </c>
    </row>
    <row r="281" spans="1:3" x14ac:dyDescent="0.25">
      <c r="A281" s="3">
        <v>32</v>
      </c>
      <c r="B281" s="3">
        <f>INDEX(_xll.ACT_COPULA_FRANK(B245, B246, B247), 32, 1)</f>
        <v>0.36516152525561002</v>
      </c>
      <c r="C281" s="3">
        <f>INDEX(_xll.ACT_COPULA_FRANK(B245, B246, B247), 32, 2)</f>
        <v>0.2337007412435354</v>
      </c>
    </row>
    <row r="282" spans="1:3" x14ac:dyDescent="0.25">
      <c r="A282" s="3">
        <v>33</v>
      </c>
      <c r="B282" s="3">
        <f>INDEX(_xll.ACT_COPULA_FRANK(B245, B246, B247), 33, 1)</f>
        <v>6.8660835767472547E-2</v>
      </c>
      <c r="C282" s="3">
        <f>INDEX(_xll.ACT_COPULA_FRANK(B245, B246, B247), 33, 2)</f>
        <v>0.30008338399286222</v>
      </c>
    </row>
    <row r="283" spans="1:3" x14ac:dyDescent="0.25">
      <c r="A283" s="3">
        <v>34</v>
      </c>
      <c r="B283" s="3">
        <f>INDEX(_xll.ACT_COPULA_FRANK(B245, B246, B247), 34, 1)</f>
        <v>7.0942941620453698E-2</v>
      </c>
      <c r="C283" s="3">
        <f>INDEX(_xll.ACT_COPULA_FRANK(B245, B246, B247), 34, 2)</f>
        <v>0.15916586378441511</v>
      </c>
    </row>
    <row r="284" spans="1:3" x14ac:dyDescent="0.25">
      <c r="A284" s="3">
        <v>35</v>
      </c>
      <c r="B284" s="3">
        <f>INDEX(_xll.ACT_COPULA_FRANK(B245, B246, B247), 35, 1)</f>
        <v>1.2033524462968822E-2</v>
      </c>
      <c r="C284" s="3">
        <f>INDEX(_xll.ACT_COPULA_FRANK(B245, B246, B247), 35, 2)</f>
        <v>0.32379812524231538</v>
      </c>
    </row>
    <row r="285" spans="1:3" x14ac:dyDescent="0.25">
      <c r="A285" s="3">
        <v>36</v>
      </c>
      <c r="B285" s="3">
        <f>INDEX(_xll.ACT_COPULA_FRANK(B245, B246, B247), 36, 1)</f>
        <v>0.43917948307431282</v>
      </c>
      <c r="C285" s="3">
        <f>INDEX(_xll.ACT_COPULA_FRANK(B245, B246, B247), 36, 2)</f>
        <v>0.45763014061182672</v>
      </c>
    </row>
    <row r="286" spans="1:3" x14ac:dyDescent="0.25">
      <c r="A286" s="3">
        <v>37</v>
      </c>
      <c r="B286" s="3">
        <f>INDEX(_xll.ACT_COPULA_FRANK(B245, B246, B247), 37, 1)</f>
        <v>0.49959679669681789</v>
      </c>
      <c r="C286" s="3">
        <f>INDEX(_xll.ACT_COPULA_FRANK(B245, B246, B247), 37, 2)</f>
        <v>2.0693851644244667E-2</v>
      </c>
    </row>
    <row r="287" spans="1:3" x14ac:dyDescent="0.25">
      <c r="A287" s="3">
        <v>38</v>
      </c>
      <c r="B287" s="3">
        <f>INDEX(_xll.ACT_COPULA_FRANK(B245, B246, B247), 38, 1)</f>
        <v>0.82883792688550328</v>
      </c>
      <c r="C287" s="3">
        <f>INDEX(_xll.ACT_COPULA_FRANK(B245, B246, B247), 38, 2)</f>
        <v>0.11909731884255739</v>
      </c>
    </row>
    <row r="288" spans="1:3" x14ac:dyDescent="0.25">
      <c r="A288" s="3">
        <v>39</v>
      </c>
      <c r="B288" s="3">
        <f>INDEX(_xll.ACT_COPULA_FRANK(B245, B246, B247), 39, 1)</f>
        <v>3.0740085072228727E-3</v>
      </c>
      <c r="C288" s="3">
        <f>INDEX(_xll.ACT_COPULA_FRANK(B245, B246, B247), 39, 2)</f>
        <v>1.3283744496062802E-2</v>
      </c>
    </row>
    <row r="289" spans="1:3" x14ac:dyDescent="0.25">
      <c r="A289" s="3">
        <v>40</v>
      </c>
      <c r="B289" s="3">
        <f>INDEX(_xll.ACT_COPULA_FRANK(B245, B246, B247), 40, 1)</f>
        <v>0.65414312093245941</v>
      </c>
      <c r="C289" s="3">
        <f>INDEX(_xll.ACT_COPULA_FRANK(B245, B246, B247), 40, 2)</f>
        <v>0.13147347059110281</v>
      </c>
    </row>
    <row r="290" spans="1:3" x14ac:dyDescent="0.25">
      <c r="A290" s="3">
        <v>41</v>
      </c>
      <c r="B290" s="3">
        <f>INDEX(_xll.ACT_COPULA_FRANK(B245, B246, B247), 41, 1)</f>
        <v>0.91351419776376064</v>
      </c>
      <c r="C290" s="3">
        <f>INDEX(_xll.ACT_COPULA_FRANK(B245, B246, B247), 41, 2)</f>
        <v>0.97788179039611356</v>
      </c>
    </row>
    <row r="291" spans="1:3" x14ac:dyDescent="0.25">
      <c r="A291" s="3">
        <v>42</v>
      </c>
      <c r="B291" s="3">
        <f>INDEX(_xll.ACT_COPULA_FRANK(B245, B246, B247), 42, 1)</f>
        <v>0.46119376153740743</v>
      </c>
      <c r="C291" s="3">
        <f>INDEX(_xll.ACT_COPULA_FRANK(B245, B246, B247), 42, 2)</f>
        <v>0.38204206521100681</v>
      </c>
    </row>
    <row r="292" spans="1:3" x14ac:dyDescent="0.25">
      <c r="A292" s="3">
        <v>43</v>
      </c>
      <c r="B292" s="3">
        <f>INDEX(_xll.ACT_COPULA_FRANK(B245, B246, B247), 43, 1)</f>
        <v>0.61660608072607126</v>
      </c>
      <c r="C292" s="3">
        <f>INDEX(_xll.ACT_COPULA_FRANK(B245, B246, B247), 43, 2)</f>
        <v>0.13876805114802387</v>
      </c>
    </row>
    <row r="293" spans="1:3" x14ac:dyDescent="0.25">
      <c r="A293" s="3">
        <v>44</v>
      </c>
      <c r="B293" s="3">
        <f>INDEX(_xll.ACT_COPULA_FRANK(B245, B246, B247), 44, 1)</f>
        <v>0.37276722927240991</v>
      </c>
      <c r="C293" s="3">
        <f>INDEX(_xll.ACT_COPULA_FRANK(B245, B246, B247), 44, 2)</f>
        <v>0.14370789579838578</v>
      </c>
    </row>
    <row r="294" spans="1:3" x14ac:dyDescent="0.25">
      <c r="A294" s="3">
        <v>45</v>
      </c>
      <c r="B294" s="3">
        <f>INDEX(_xll.ACT_COPULA_FRANK(B245, B246, B247), 45, 1)</f>
        <v>0.43695068240023716</v>
      </c>
      <c r="C294" s="3">
        <f>INDEX(_xll.ACT_COPULA_FRANK(B245, B246, B247), 45, 2)</f>
        <v>0.66936796186114556</v>
      </c>
    </row>
    <row r="295" spans="1:3" x14ac:dyDescent="0.25">
      <c r="A295" s="3">
        <v>46</v>
      </c>
      <c r="B295" s="3">
        <f>INDEX(_xll.ACT_COPULA_FRANK(B245, B246, B247), 46, 1)</f>
        <v>0.53236559849808252</v>
      </c>
      <c r="C295" s="3">
        <f>INDEX(_xll.ACT_COPULA_FRANK(B245, B246, B247), 46, 2)</f>
        <v>0.45921462981902456</v>
      </c>
    </row>
    <row r="296" spans="1:3" x14ac:dyDescent="0.25">
      <c r="A296" s="3">
        <v>47</v>
      </c>
      <c r="B296" s="3">
        <f>INDEX(_xll.ACT_COPULA_FRANK(B245, B246, B247), 47, 1)</f>
        <v>0.29737253454391499</v>
      </c>
      <c r="C296" s="3">
        <f>INDEX(_xll.ACT_COPULA_FRANK(B245, B246, B247), 47, 2)</f>
        <v>0.70689465046113242</v>
      </c>
    </row>
    <row r="297" spans="1:3" x14ac:dyDescent="0.25">
      <c r="A297" s="3">
        <v>48</v>
      </c>
      <c r="B297" s="3">
        <f>INDEX(_xll.ACT_COPULA_FRANK(B245, B246, B247), 48, 1)</f>
        <v>0.58673892942571026</v>
      </c>
      <c r="C297" s="3">
        <f>INDEX(_xll.ACT_COPULA_FRANK(B245, B246, B247), 48, 2)</f>
        <v>0.73443399182295366</v>
      </c>
    </row>
    <row r="298" spans="1:3" x14ac:dyDescent="0.25">
      <c r="A298" s="3">
        <v>49</v>
      </c>
      <c r="B298" s="3">
        <f>INDEX(_xll.ACT_COPULA_FRANK(B245, B246, B247), 49, 1)</f>
        <v>1.9412166448036287E-2</v>
      </c>
      <c r="C298" s="3">
        <f>INDEX(_xll.ACT_COPULA_FRANK(B245, B246, B247), 49, 2)</f>
        <v>0.43331470958775292</v>
      </c>
    </row>
    <row r="299" spans="1:3" x14ac:dyDescent="0.25">
      <c r="A299" s="3">
        <v>50</v>
      </c>
      <c r="B299" s="3">
        <f>INDEX(_xll.ACT_COPULA_FRANK(B245, B246, B247), 50, 1)</f>
        <v>0.95767867842581067</v>
      </c>
      <c r="C299" s="3">
        <f>INDEX(_xll.ACT_COPULA_FRANK(B245, B246, B247), 50, 2)</f>
        <v>0.75408310048626148</v>
      </c>
    </row>
    <row r="302" spans="1:3" ht="18.75" x14ac:dyDescent="0.3">
      <c r="A302" s="1" t="s">
        <v>578</v>
      </c>
    </row>
    <row r="304" spans="1:3" x14ac:dyDescent="0.25">
      <c r="A304" s="3" t="s">
        <v>579</v>
      </c>
      <c r="B304" s="3">
        <v>2</v>
      </c>
    </row>
    <row r="305" spans="1:3" x14ac:dyDescent="0.25">
      <c r="A305" s="3" t="s">
        <v>563</v>
      </c>
      <c r="B305" s="3">
        <v>50</v>
      </c>
    </row>
    <row r="306" spans="1:3" x14ac:dyDescent="0.25">
      <c r="A306" s="3" t="s">
        <v>564</v>
      </c>
      <c r="B306" s="3">
        <v>42</v>
      </c>
    </row>
    <row r="308" spans="1:3" x14ac:dyDescent="0.25">
      <c r="A308" s="6" t="s">
        <v>567</v>
      </c>
      <c r="B308" s="6" t="s">
        <v>568</v>
      </c>
      <c r="C308" s="6" t="s">
        <v>569</v>
      </c>
    </row>
    <row r="309" spans="1:3" x14ac:dyDescent="0.25">
      <c r="A309" s="3">
        <v>1</v>
      </c>
      <c r="B309" s="3">
        <f>INDEX(_xll.ACT_COPULA_GUMBEL(B304, B305, B306), 1, 1)</f>
        <v>0.24161808133885282</v>
      </c>
      <c r="C309" s="3">
        <f>INDEX(_xll.ACT_COPULA_GUMBEL(B304, B305, B306), 1, 2)</f>
        <v>0.45199575757442828</v>
      </c>
    </row>
    <row r="310" spans="1:3" x14ac:dyDescent="0.25">
      <c r="A310" s="3">
        <v>2</v>
      </c>
      <c r="B310" s="3">
        <f>INDEX(_xll.ACT_COPULA_GUMBEL(B304, B305, B306), 2, 1)</f>
        <v>0.40810347568068145</v>
      </c>
      <c r="C310" s="3">
        <f>INDEX(_xll.ACT_COPULA_GUMBEL(B304, B305, B306), 2, 2)</f>
        <v>0.27535063563325585</v>
      </c>
    </row>
    <row r="311" spans="1:3" x14ac:dyDescent="0.25">
      <c r="A311" s="3">
        <v>3</v>
      </c>
      <c r="B311" s="3">
        <f>INDEX(_xll.ACT_COPULA_GUMBEL(B304, B305, B306), 3, 1)</f>
        <v>0.42463282830797527</v>
      </c>
      <c r="C311" s="3">
        <f>INDEX(_xll.ACT_COPULA_GUMBEL(B304, B305, B306), 3, 2)</f>
        <v>0.43659012860129937</v>
      </c>
    </row>
    <row r="312" spans="1:3" x14ac:dyDescent="0.25">
      <c r="A312" s="3">
        <v>4</v>
      </c>
      <c r="B312" s="3">
        <f>INDEX(_xll.ACT_COPULA_GUMBEL(B304, B305, B306), 4, 1)</f>
        <v>0.35380375198453229</v>
      </c>
      <c r="C312" s="3">
        <f>INDEX(_xll.ACT_COPULA_GUMBEL(B304, B305, B306), 4, 2)</f>
        <v>0.29313042827675378</v>
      </c>
    </row>
    <row r="313" spans="1:3" x14ac:dyDescent="0.25">
      <c r="A313" s="3">
        <v>5</v>
      </c>
      <c r="B313" s="3">
        <f>INDEX(_xll.ACT_COPULA_GUMBEL(B304, B305, B306), 5, 1)</f>
        <v>0.44659383954294735</v>
      </c>
      <c r="C313" s="3">
        <f>INDEX(_xll.ACT_COPULA_GUMBEL(B304, B305, B306), 5, 2)</f>
        <v>0.26771098674491789</v>
      </c>
    </row>
    <row r="314" spans="1:3" x14ac:dyDescent="0.25">
      <c r="A314" s="3">
        <v>6</v>
      </c>
      <c r="B314" s="3">
        <f>INDEX(_xll.ACT_COPULA_GUMBEL(B304, B305, B306), 6, 1)</f>
        <v>8.6954598031043023E-2</v>
      </c>
      <c r="C314" s="3">
        <f>INDEX(_xll.ACT_COPULA_GUMBEL(B304, B305, B306), 6, 2)</f>
        <v>0.39434836380485444</v>
      </c>
    </row>
    <row r="315" spans="1:3" x14ac:dyDescent="0.25">
      <c r="A315" s="3">
        <v>7</v>
      </c>
      <c r="B315" s="3">
        <f>INDEX(_xll.ACT_COPULA_GUMBEL(B304, B305, B306), 7, 1)</f>
        <v>0.57212783464419481</v>
      </c>
      <c r="C315" s="3">
        <f>INDEX(_xll.ACT_COPULA_GUMBEL(B304, B305, B306), 7, 2)</f>
        <v>0.83146982750142528</v>
      </c>
    </row>
    <row r="316" spans="1:3" x14ac:dyDescent="0.25">
      <c r="A316" s="3">
        <v>8</v>
      </c>
      <c r="B316" s="3">
        <f>INDEX(_xll.ACT_COPULA_GUMBEL(B304, B305, B306), 8, 1)</f>
        <v>0.76969366695865649</v>
      </c>
      <c r="C316" s="3">
        <f>INDEX(_xll.ACT_COPULA_GUMBEL(B304, B305, B306), 8, 2)</f>
        <v>0.70390961610108094</v>
      </c>
    </row>
    <row r="317" spans="1:3" x14ac:dyDescent="0.25">
      <c r="A317" s="3">
        <v>9</v>
      </c>
      <c r="B317" s="3">
        <f>INDEX(_xll.ACT_COPULA_GUMBEL(B304, B305, B306), 9, 1)</f>
        <v>7.277763298840724E-2</v>
      </c>
      <c r="C317" s="3">
        <f>INDEX(_xll.ACT_COPULA_GUMBEL(B304, B305, B306), 9, 2)</f>
        <v>0.16970292266270964</v>
      </c>
    </row>
    <row r="318" spans="1:3" x14ac:dyDescent="0.25">
      <c r="A318" s="3">
        <v>10</v>
      </c>
      <c r="B318" s="3">
        <f>INDEX(_xll.ACT_COPULA_GUMBEL(B304, B305, B306), 10, 1)</f>
        <v>0.48240512140673203</v>
      </c>
      <c r="C318" s="3">
        <f>INDEX(_xll.ACT_COPULA_GUMBEL(B304, B305, B306), 10, 2)</f>
        <v>0.65082192511163561</v>
      </c>
    </row>
    <row r="319" spans="1:3" x14ac:dyDescent="0.25">
      <c r="A319" s="3">
        <v>11</v>
      </c>
      <c r="B319" s="3">
        <f>INDEX(_xll.ACT_COPULA_GUMBEL(B304, B305, B306), 11, 1)</f>
        <v>0.47981103795813163</v>
      </c>
      <c r="C319" s="3">
        <f>INDEX(_xll.ACT_COPULA_GUMBEL(B304, B305, B306), 11, 2)</f>
        <v>0.36233721981024825</v>
      </c>
    </row>
    <row r="320" spans="1:3" x14ac:dyDescent="0.25">
      <c r="A320" s="3">
        <v>12</v>
      </c>
      <c r="B320" s="3">
        <f>INDEX(_xll.ACT_COPULA_GUMBEL(B304, B305, B306), 12, 1)</f>
        <v>0.61971719766214506</v>
      </c>
      <c r="C320" s="3">
        <f>INDEX(_xll.ACT_COPULA_GUMBEL(B304, B305, B306), 12, 2)</f>
        <v>0.35749680362871122</v>
      </c>
    </row>
    <row r="321" spans="1:3" x14ac:dyDescent="0.25">
      <c r="A321" s="3">
        <v>13</v>
      </c>
      <c r="B321" s="3">
        <f>INDEX(_xll.ACT_COPULA_GUMBEL(B304, B305, B306), 13, 1)</f>
        <v>0.47753858216269895</v>
      </c>
      <c r="C321" s="3">
        <f>INDEX(_xll.ACT_COPULA_GUMBEL(B304, B305, B306), 13, 2)</f>
        <v>0.64583102110609503</v>
      </c>
    </row>
    <row r="322" spans="1:3" x14ac:dyDescent="0.25">
      <c r="A322" s="3">
        <v>14</v>
      </c>
      <c r="B322" s="3">
        <f>INDEX(_xll.ACT_COPULA_GUMBEL(B304, B305, B306), 14, 1)</f>
        <v>0.17816571521258681</v>
      </c>
      <c r="C322" s="3">
        <f>INDEX(_xll.ACT_COPULA_GUMBEL(B304, B305, B306), 14, 2)</f>
        <v>0.13831562759230631</v>
      </c>
    </row>
    <row r="323" spans="1:3" x14ac:dyDescent="0.25">
      <c r="A323" s="3">
        <v>15</v>
      </c>
      <c r="B323" s="3">
        <f>INDEX(_xll.ACT_COPULA_GUMBEL(B304, B305, B306), 15, 1)</f>
        <v>0.46143678635757968</v>
      </c>
      <c r="C323" s="3">
        <f>INDEX(_xll.ACT_COPULA_GUMBEL(B304, B305, B306), 15, 2)</f>
        <v>0.40885439806055379</v>
      </c>
    </row>
    <row r="324" spans="1:3" x14ac:dyDescent="0.25">
      <c r="A324" s="3">
        <v>16</v>
      </c>
      <c r="B324" s="3">
        <f>INDEX(_xll.ACT_COPULA_GUMBEL(B304, B305, B306), 16, 1)</f>
        <v>6.2075925998325183E-2</v>
      </c>
      <c r="C324" s="3">
        <f>INDEX(_xll.ACT_COPULA_GUMBEL(B304, B305, B306), 16, 2)</f>
        <v>4.1579720691850515E-2</v>
      </c>
    </row>
    <row r="325" spans="1:3" x14ac:dyDescent="0.25">
      <c r="A325" s="3">
        <v>17</v>
      </c>
      <c r="B325" s="3">
        <f>INDEX(_xll.ACT_COPULA_GUMBEL(B304, B305, B306), 17, 1)</f>
        <v>0.26824245401096436</v>
      </c>
      <c r="C325" s="3">
        <f>INDEX(_xll.ACT_COPULA_GUMBEL(B304, B305, B306), 17, 2)</f>
        <v>0.49224311435411761</v>
      </c>
    </row>
    <row r="326" spans="1:3" x14ac:dyDescent="0.25">
      <c r="A326" s="3">
        <v>18</v>
      </c>
      <c r="B326" s="3">
        <f>INDEX(_xll.ACT_COPULA_GUMBEL(B304, B305, B306), 18, 1)</f>
        <v>0.54357104394870581</v>
      </c>
      <c r="C326" s="3">
        <f>INDEX(_xll.ACT_COPULA_GUMBEL(B304, B305, B306), 18, 2)</f>
        <v>0.57773613931726764</v>
      </c>
    </row>
    <row r="327" spans="1:3" x14ac:dyDescent="0.25">
      <c r="A327" s="3">
        <v>19</v>
      </c>
      <c r="B327" s="3">
        <f>INDEX(_xll.ACT_COPULA_GUMBEL(B304, B305, B306), 19, 1)</f>
        <v>0.39004337327792121</v>
      </c>
      <c r="C327" s="3">
        <f>INDEX(_xll.ACT_COPULA_GUMBEL(B304, B305, B306), 19, 2)</f>
        <v>1.0754097987615438E-2</v>
      </c>
    </row>
    <row r="328" spans="1:3" x14ac:dyDescent="0.25">
      <c r="A328" s="3">
        <v>20</v>
      </c>
      <c r="B328" s="3">
        <f>INDEX(_xll.ACT_COPULA_GUMBEL(B304, B305, B306), 20, 1)</f>
        <v>0.21685710289832774</v>
      </c>
      <c r="C328" s="3">
        <f>INDEX(_xll.ACT_COPULA_GUMBEL(B304, B305, B306), 20, 2)</f>
        <v>1.3510270453784924E-2</v>
      </c>
    </row>
    <row r="329" spans="1:3" x14ac:dyDescent="0.25">
      <c r="A329" s="3">
        <v>21</v>
      </c>
      <c r="B329" s="3">
        <f>INDEX(_xll.ACT_COPULA_GUMBEL(B304, B305, B306), 21, 1)</f>
        <v>0.95529346513775448</v>
      </c>
      <c r="C329" s="3">
        <f>INDEX(_xll.ACT_COPULA_GUMBEL(B304, B305, B306), 21, 2)</f>
        <v>0.94983688142276068</v>
      </c>
    </row>
    <row r="330" spans="1:3" x14ac:dyDescent="0.25">
      <c r="A330" s="3">
        <v>22</v>
      </c>
      <c r="B330" s="3">
        <f>INDEX(_xll.ACT_COPULA_GUMBEL(B304, B305, B306), 22, 1)</f>
        <v>0.24555112998804596</v>
      </c>
      <c r="C330" s="3">
        <f>INDEX(_xll.ACT_COPULA_GUMBEL(B304, B305, B306), 22, 2)</f>
        <v>0.13870552160293764</v>
      </c>
    </row>
    <row r="331" spans="1:3" x14ac:dyDescent="0.25">
      <c r="A331" s="3">
        <v>23</v>
      </c>
      <c r="B331" s="3">
        <f>INDEX(_xll.ACT_COPULA_GUMBEL(B304, B305, B306), 23, 1)</f>
        <v>0.65762039550905083</v>
      </c>
      <c r="C331" s="3">
        <f>INDEX(_xll.ACT_COPULA_GUMBEL(B304, B305, B306), 23, 2)</f>
        <v>0.60361747146042077</v>
      </c>
    </row>
    <row r="332" spans="1:3" x14ac:dyDescent="0.25">
      <c r="A332" s="3">
        <v>24</v>
      </c>
      <c r="B332" s="3">
        <f>INDEX(_xll.ACT_COPULA_GUMBEL(B304, B305, B306), 24, 1)</f>
        <v>0.75002701169456498</v>
      </c>
      <c r="C332" s="3">
        <f>INDEX(_xll.ACT_COPULA_GUMBEL(B304, B305, B306), 24, 2)</f>
        <v>0.80369712894477241</v>
      </c>
    </row>
    <row r="333" spans="1:3" x14ac:dyDescent="0.25">
      <c r="A333" s="3">
        <v>25</v>
      </c>
      <c r="B333" s="3">
        <f>INDEX(_xll.ACT_COPULA_GUMBEL(B304, B305, B306), 25, 1)</f>
        <v>0.90094564909568009</v>
      </c>
      <c r="C333" s="3">
        <f>INDEX(_xll.ACT_COPULA_GUMBEL(B304, B305, B306), 25, 2)</f>
        <v>0.59089103472603888</v>
      </c>
    </row>
    <row r="334" spans="1:3" x14ac:dyDescent="0.25">
      <c r="A334" s="3">
        <v>26</v>
      </c>
      <c r="B334" s="3">
        <f>INDEX(_xll.ACT_COPULA_GUMBEL(B304, B305, B306), 26, 1)</f>
        <v>0.28322747485087885</v>
      </c>
      <c r="C334" s="3">
        <f>INDEX(_xll.ACT_COPULA_GUMBEL(B304, B305, B306), 26, 2)</f>
        <v>0.4744073239447395</v>
      </c>
    </row>
    <row r="335" spans="1:3" x14ac:dyDescent="0.25">
      <c r="A335" s="3">
        <v>27</v>
      </c>
      <c r="B335" s="3">
        <f>INDEX(_xll.ACT_COPULA_GUMBEL(B304, B305, B306), 27, 1)</f>
        <v>0.42676890218387303</v>
      </c>
      <c r="C335" s="3">
        <f>INDEX(_xll.ACT_COPULA_GUMBEL(B304, B305, B306), 27, 2)</f>
        <v>0.41765444192433909</v>
      </c>
    </row>
    <row r="336" spans="1:3" x14ac:dyDescent="0.25">
      <c r="A336" s="3">
        <v>28</v>
      </c>
      <c r="B336" s="3">
        <f>INDEX(_xll.ACT_COPULA_GUMBEL(B304, B305, B306), 28, 1)</f>
        <v>0.4540078439435094</v>
      </c>
      <c r="C336" s="3">
        <f>INDEX(_xll.ACT_COPULA_GUMBEL(B304, B305, B306), 28, 2)</f>
        <v>0.89543780263343742</v>
      </c>
    </row>
    <row r="337" spans="1:3" x14ac:dyDescent="0.25">
      <c r="A337" s="3">
        <v>29</v>
      </c>
      <c r="B337" s="3">
        <f>INDEX(_xll.ACT_COPULA_GUMBEL(B304, B305, B306), 29, 1)</f>
        <v>0.83076194713190998</v>
      </c>
      <c r="C337" s="3">
        <f>INDEX(_xll.ACT_COPULA_GUMBEL(B304, B305, B306), 29, 2)</f>
        <v>0.70020295171573343</v>
      </c>
    </row>
    <row r="338" spans="1:3" x14ac:dyDescent="0.25">
      <c r="A338" s="3">
        <v>30</v>
      </c>
      <c r="B338" s="3">
        <f>INDEX(_xll.ACT_COPULA_GUMBEL(B304, B305, B306), 30, 1)</f>
        <v>0.9411708803019796</v>
      </c>
      <c r="C338" s="3">
        <f>INDEX(_xll.ACT_COPULA_GUMBEL(B304, B305, B306), 30, 2)</f>
        <v>0.83656446627490888</v>
      </c>
    </row>
    <row r="339" spans="1:3" x14ac:dyDescent="0.25">
      <c r="A339" s="3">
        <v>31</v>
      </c>
      <c r="B339" s="3">
        <f>INDEX(_xll.ACT_COPULA_GUMBEL(B304, B305, B306), 31, 1)</f>
        <v>0.53585192670235593</v>
      </c>
      <c r="C339" s="3">
        <f>INDEX(_xll.ACT_COPULA_GUMBEL(B304, B305, B306), 31, 2)</f>
        <v>0.66737916881430226</v>
      </c>
    </row>
    <row r="340" spans="1:3" x14ac:dyDescent="0.25">
      <c r="A340" s="3">
        <v>32</v>
      </c>
      <c r="B340" s="3">
        <f>INDEX(_xll.ACT_COPULA_GUMBEL(B304, B305, B306), 32, 1)</f>
        <v>5.5656592104526927E-2</v>
      </c>
      <c r="C340" s="3">
        <f>INDEX(_xll.ACT_COPULA_GUMBEL(B304, B305, B306), 32, 2)</f>
        <v>0.1847278792652482</v>
      </c>
    </row>
    <row r="341" spans="1:3" x14ac:dyDescent="0.25">
      <c r="A341" s="3">
        <v>33</v>
      </c>
      <c r="B341" s="3">
        <f>INDEX(_xll.ACT_COPULA_GUMBEL(B304, B305, B306), 33, 1)</f>
        <v>0.87055017268865587</v>
      </c>
      <c r="C341" s="3">
        <f>INDEX(_xll.ACT_COPULA_GUMBEL(B304, B305, B306), 33, 2)</f>
        <v>8.2915248513072831E-2</v>
      </c>
    </row>
    <row r="342" spans="1:3" x14ac:dyDescent="0.25">
      <c r="A342" s="3">
        <v>34</v>
      </c>
      <c r="B342" s="3">
        <f>INDEX(_xll.ACT_COPULA_GUMBEL(B304, B305, B306), 34, 1)</f>
        <v>0.2064067318500403</v>
      </c>
      <c r="C342" s="3">
        <f>INDEX(_xll.ACT_COPULA_GUMBEL(B304, B305, B306), 34, 2)</f>
        <v>0.451622863826391</v>
      </c>
    </row>
    <row r="343" spans="1:3" x14ac:dyDescent="0.25">
      <c r="A343" s="3">
        <v>35</v>
      </c>
      <c r="B343" s="3">
        <f>INDEX(_xll.ACT_COPULA_GUMBEL(B304, B305, B306), 35, 1)</f>
        <v>0.22869542480125921</v>
      </c>
      <c r="C343" s="3">
        <f>INDEX(_xll.ACT_COPULA_GUMBEL(B304, B305, B306), 35, 2)</f>
        <v>0.70784828439554293</v>
      </c>
    </row>
    <row r="344" spans="1:3" x14ac:dyDescent="0.25">
      <c r="A344" s="3">
        <v>36</v>
      </c>
      <c r="B344" s="3">
        <f>INDEX(_xll.ACT_COPULA_GUMBEL(B304, B305, B306), 36, 1)</f>
        <v>0.92648333849798803</v>
      </c>
      <c r="C344" s="3">
        <f>INDEX(_xll.ACT_COPULA_GUMBEL(B304, B305, B306), 36, 2)</f>
        <v>0.89308108113158069</v>
      </c>
    </row>
    <row r="345" spans="1:3" x14ac:dyDescent="0.25">
      <c r="A345" s="3">
        <v>37</v>
      </c>
      <c r="B345" s="3">
        <f>INDEX(_xll.ACT_COPULA_GUMBEL(B304, B305, B306), 37, 1)</f>
        <v>0.51050373743944277</v>
      </c>
      <c r="C345" s="3">
        <f>INDEX(_xll.ACT_COPULA_GUMBEL(B304, B305, B306), 37, 2)</f>
        <v>0.50509787790445482</v>
      </c>
    </row>
    <row r="346" spans="1:3" x14ac:dyDescent="0.25">
      <c r="A346" s="3">
        <v>38</v>
      </c>
      <c r="B346" s="3">
        <f>INDEX(_xll.ACT_COPULA_GUMBEL(B304, B305, B306), 38, 1)</f>
        <v>0.14401509733294554</v>
      </c>
      <c r="C346" s="3">
        <f>INDEX(_xll.ACT_COPULA_GUMBEL(B304, B305, B306), 38, 2)</f>
        <v>6.1403171916247806E-2</v>
      </c>
    </row>
    <row r="347" spans="1:3" x14ac:dyDescent="0.25">
      <c r="A347" s="3">
        <v>39</v>
      </c>
      <c r="B347" s="3">
        <f>INDEX(_xll.ACT_COPULA_GUMBEL(B304, B305, B306), 39, 1)</f>
        <v>0.96172356733895836</v>
      </c>
      <c r="C347" s="3">
        <f>INDEX(_xll.ACT_COPULA_GUMBEL(B304, B305, B306), 39, 2)</f>
        <v>0.84179786840587534</v>
      </c>
    </row>
    <row r="348" spans="1:3" x14ac:dyDescent="0.25">
      <c r="A348" s="3">
        <v>40</v>
      </c>
      <c r="B348" s="3">
        <f>INDEX(_xll.ACT_COPULA_GUMBEL(B304, B305, B306), 40, 1)</f>
        <v>0.53227798252744796</v>
      </c>
      <c r="C348" s="3">
        <f>INDEX(_xll.ACT_COPULA_GUMBEL(B304, B305, B306), 40, 2)</f>
        <v>0.5839152486106145</v>
      </c>
    </row>
    <row r="349" spans="1:3" x14ac:dyDescent="0.25">
      <c r="A349" s="3">
        <v>41</v>
      </c>
      <c r="B349" s="3">
        <f>INDEX(_xll.ACT_COPULA_GUMBEL(B304, B305, B306), 41, 1)</f>
        <v>0.66897781437292358</v>
      </c>
      <c r="C349" s="3">
        <f>INDEX(_xll.ACT_COPULA_GUMBEL(B304, B305, B306), 41, 2)</f>
        <v>0.36729917258691819</v>
      </c>
    </row>
    <row r="350" spans="1:3" x14ac:dyDescent="0.25">
      <c r="A350" s="3">
        <v>42</v>
      </c>
      <c r="B350" s="3">
        <f>INDEX(_xll.ACT_COPULA_GUMBEL(B304, B305, B306), 42, 1)</f>
        <v>0.74993408867750988</v>
      </c>
      <c r="C350" s="3">
        <f>INDEX(_xll.ACT_COPULA_GUMBEL(B304, B305, B306), 42, 2)</f>
        <v>0.48320005730329307</v>
      </c>
    </row>
    <row r="351" spans="1:3" x14ac:dyDescent="0.25">
      <c r="A351" s="3">
        <v>43</v>
      </c>
      <c r="B351" s="3">
        <f>INDEX(_xll.ACT_COPULA_GUMBEL(B304, B305, B306), 43, 1)</f>
        <v>0.81599207376916993</v>
      </c>
      <c r="C351" s="3">
        <f>INDEX(_xll.ACT_COPULA_GUMBEL(B304, B305, B306), 43, 2)</f>
        <v>0.83422977784295305</v>
      </c>
    </row>
    <row r="352" spans="1:3" x14ac:dyDescent="0.25">
      <c r="A352" s="3">
        <v>44</v>
      </c>
      <c r="B352" s="3">
        <f>INDEX(_xll.ACT_COPULA_GUMBEL(B304, B305, B306), 44, 1)</f>
        <v>0.92663635310036785</v>
      </c>
      <c r="C352" s="3">
        <f>INDEX(_xll.ACT_COPULA_GUMBEL(B304, B305, B306), 44, 2)</f>
        <v>0.92363445309107906</v>
      </c>
    </row>
    <row r="353" spans="1:3" x14ac:dyDescent="0.25">
      <c r="A353" s="3">
        <v>45</v>
      </c>
      <c r="B353" s="3">
        <f>INDEX(_xll.ACT_COPULA_GUMBEL(B304, B305, B306), 45, 1)</f>
        <v>0.63249097136274224</v>
      </c>
      <c r="C353" s="3">
        <f>INDEX(_xll.ACT_COPULA_GUMBEL(B304, B305, B306), 45, 2)</f>
        <v>0.34714235395328497</v>
      </c>
    </row>
    <row r="354" spans="1:3" x14ac:dyDescent="0.25">
      <c r="A354" s="3">
        <v>46</v>
      </c>
      <c r="B354" s="3">
        <f>INDEX(_xll.ACT_COPULA_GUMBEL(B304, B305, B306), 46, 1)</f>
        <v>0.45346654511648077</v>
      </c>
      <c r="C354" s="3">
        <f>INDEX(_xll.ACT_COPULA_GUMBEL(B304, B305, B306), 46, 2)</f>
        <v>0.30375921584382476</v>
      </c>
    </row>
    <row r="355" spans="1:3" x14ac:dyDescent="0.25">
      <c r="A355" s="3">
        <v>47</v>
      </c>
      <c r="B355" s="3">
        <f>INDEX(_xll.ACT_COPULA_GUMBEL(B304, B305, B306), 47, 1)</f>
        <v>0.98717286791597914</v>
      </c>
      <c r="C355" s="3">
        <f>INDEX(_xll.ACT_COPULA_GUMBEL(B304, B305, B306), 47, 2)</f>
        <v>0.95098650868012169</v>
      </c>
    </row>
    <row r="356" spans="1:3" x14ac:dyDescent="0.25">
      <c r="A356" s="3">
        <v>48</v>
      </c>
      <c r="B356" s="3">
        <f>INDEX(_xll.ACT_COPULA_GUMBEL(B304, B305, B306), 48, 1)</f>
        <v>0.5133870553055353</v>
      </c>
      <c r="C356" s="3">
        <f>INDEX(_xll.ACT_COPULA_GUMBEL(B304, B305, B306), 48, 2)</f>
        <v>0.79198967771909479</v>
      </c>
    </row>
    <row r="357" spans="1:3" x14ac:dyDescent="0.25">
      <c r="A357" s="3">
        <v>49</v>
      </c>
      <c r="B357" s="3">
        <f>INDEX(_xll.ACT_COPULA_GUMBEL(B304, B305, B306), 49, 1)</f>
        <v>0.78895601060478726</v>
      </c>
      <c r="C357" s="3">
        <f>INDEX(_xll.ACT_COPULA_GUMBEL(B304, B305, B306), 49, 2)</f>
        <v>0.80374775908528129</v>
      </c>
    </row>
    <row r="358" spans="1:3" x14ac:dyDescent="0.25">
      <c r="A358" s="3">
        <v>50</v>
      </c>
      <c r="B358" s="3">
        <f>INDEX(_xll.ACT_COPULA_GUMBEL(B304, B305, B306), 50, 1)</f>
        <v>0.58910356867594604</v>
      </c>
      <c r="C358" s="3">
        <f>INDEX(_xll.ACT_COPULA_GUMBEL(B304, B305, B306), 50, 2)</f>
        <v>0.85706032201183613</v>
      </c>
    </row>
  </sheetData>
  <conditionalFormatting sqref="B7:D9">
    <cfRule type="colorScale" priority="1">
      <colorScale>
        <cfvo type="num" val="0"/>
        <cfvo type="num" val="1"/>
        <color rgb="FFFFFFFF"/>
        <color rgb="FFFF6B6B"/>
      </colorScale>
    </cfRule>
  </conditionalFormatting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8"/>
  <sheetViews>
    <sheetView workbookViewId="0"/>
  </sheetViews>
  <sheetFormatPr defaultRowHeight="15" x14ac:dyDescent="0.25"/>
  <cols>
    <col min="1" max="1" width="12" customWidth="1"/>
    <col min="2" max="2" width="16" customWidth="1"/>
    <col min="3" max="4" width="14" customWidth="1"/>
    <col min="5" max="5" width="5" customWidth="1"/>
    <col min="6" max="6" width="16" customWidth="1"/>
    <col min="7" max="9" width="14" customWidth="1"/>
  </cols>
  <sheetData>
    <row r="1" spans="1:3" ht="18.75" x14ac:dyDescent="0.3">
      <c r="A1" s="1" t="s">
        <v>580</v>
      </c>
    </row>
    <row r="3" spans="1:3" x14ac:dyDescent="0.25">
      <c r="A3" s="5" t="s">
        <v>581</v>
      </c>
    </row>
    <row r="4" spans="1:3" x14ac:dyDescent="0.25">
      <c r="A4" s="5" t="s">
        <v>582</v>
      </c>
    </row>
    <row r="6" spans="1:3" x14ac:dyDescent="0.25">
      <c r="A6" s="5" t="s">
        <v>583</v>
      </c>
    </row>
    <row r="7" spans="1:3" x14ac:dyDescent="0.25">
      <c r="A7" s="5" t="s">
        <v>584</v>
      </c>
    </row>
    <row r="9" spans="1:3" x14ac:dyDescent="0.25">
      <c r="A9" s="2" t="s">
        <v>585</v>
      </c>
      <c r="B9">
        <v>1</v>
      </c>
    </row>
    <row r="10" spans="1:3" x14ac:dyDescent="0.25">
      <c r="A10" s="2" t="s">
        <v>586</v>
      </c>
      <c r="B10">
        <v>0.5</v>
      </c>
    </row>
    <row r="11" spans="1:3" x14ac:dyDescent="0.25">
      <c r="A11" s="2" t="s">
        <v>587</v>
      </c>
      <c r="B11">
        <v>20</v>
      </c>
    </row>
    <row r="13" spans="1:3" x14ac:dyDescent="0.25">
      <c r="A13" s="6" t="s">
        <v>588</v>
      </c>
      <c r="B13" s="6" t="s">
        <v>589</v>
      </c>
      <c r="C13" s="6" t="s">
        <v>590</v>
      </c>
    </row>
    <row r="14" spans="1:3" x14ac:dyDescent="0.25">
      <c r="A14" s="7">
        <v>0</v>
      </c>
      <c r="B14" s="7">
        <v>0</v>
      </c>
      <c r="C14" s="13" cm="1">
        <f t="array" ref="C14">INDEX(_xll.ACT_DISCRETIZE_EXPONENTIAL(B9, B10, B11), 1)</f>
        <v>0.22119921692859512</v>
      </c>
    </row>
    <row r="15" spans="1:3" x14ac:dyDescent="0.25">
      <c r="A15" s="7">
        <v>1</v>
      </c>
      <c r="B15" s="7">
        <v>0.5</v>
      </c>
      <c r="C15" s="13" cm="1">
        <f t="array" ref="C15">INDEX(_xll.ACT_DISCRETIZE_EXPONENTIAL(B9, B10, B11), 2)</f>
        <v>0.30643423033039019</v>
      </c>
    </row>
    <row r="16" spans="1:3" x14ac:dyDescent="0.25">
      <c r="A16" s="7">
        <v>2</v>
      </c>
      <c r="B16" s="7">
        <v>1</v>
      </c>
      <c r="C16" s="13" cm="1">
        <f t="array" ref="C16">INDEX(_xll.ACT_DISCRETIZE_EXPONENTIAL(B9, B10, B11), 3)</f>
        <v>0.18586175588082454</v>
      </c>
    </row>
    <row r="17" spans="1:3" x14ac:dyDescent="0.25">
      <c r="A17" s="7">
        <v>3</v>
      </c>
      <c r="B17" s="7">
        <v>1.5</v>
      </c>
      <c r="C17" s="13" cm="1">
        <f t="array" ref="C17">INDEX(_xll.ACT_DISCRETIZE_EXPONENTIAL(B9, B10, B11), 4)</f>
        <v>0.11273085340974498</v>
      </c>
    </row>
    <row r="18" spans="1:3" x14ac:dyDescent="0.25">
      <c r="A18" s="7">
        <v>4</v>
      </c>
      <c r="B18" s="7">
        <v>2</v>
      </c>
      <c r="C18" s="13" cm="1">
        <f t="array" ref="C18">INDEX(_xll.ACT_DISCRETIZE_EXPONENTIAL(B9, B10, B11), 5)</f>
        <v>6.8374718888580821E-2</v>
      </c>
    </row>
    <row r="19" spans="1:3" x14ac:dyDescent="0.25">
      <c r="A19" s="7">
        <v>5</v>
      </c>
      <c r="B19" s="7">
        <v>2.5</v>
      </c>
      <c r="C19" s="13" cm="1">
        <f t="array" ref="C19">INDEX(_xll.ACT_DISCRETIZE_EXPONENTIAL(B9, B10, B11), 6)</f>
        <v>4.1471363355156776E-2</v>
      </c>
    </row>
    <row r="20" spans="1:3" x14ac:dyDescent="0.25">
      <c r="A20" s="7">
        <v>6</v>
      </c>
      <c r="B20" s="7">
        <v>3</v>
      </c>
      <c r="C20" s="13" cm="1">
        <f t="array" ref="C20">INDEX(_xll.ACT_DISCRETIZE_EXPONENTIAL(B9, B10, B11), 7)</f>
        <v>2.5153653374985541E-2</v>
      </c>
    </row>
    <row r="21" spans="1:3" x14ac:dyDescent="0.25">
      <c r="A21" s="7">
        <v>7</v>
      </c>
      <c r="B21" s="7">
        <v>3.5</v>
      </c>
      <c r="C21" s="13" cm="1">
        <f t="array" ref="C21">INDEX(_xll.ACT_DISCRETIZE_EXPONENTIAL(B9, B10, B11), 8)</f>
        <v>1.5256461975712954E-2</v>
      </c>
    </row>
    <row r="22" spans="1:3" x14ac:dyDescent="0.25">
      <c r="A22" s="7">
        <v>8</v>
      </c>
      <c r="B22" s="7">
        <v>4</v>
      </c>
      <c r="C22" s="13" cm="1">
        <f t="array" ref="C22">INDEX(_xll.ACT_DISCRETIZE_EXPONENTIAL(B9, B10, B11), 9)</f>
        <v>9.2535119470098515E-3</v>
      </c>
    </row>
    <row r="23" spans="1:3" x14ac:dyDescent="0.25">
      <c r="A23" s="7">
        <v>9</v>
      </c>
      <c r="B23" s="7">
        <v>4.5</v>
      </c>
      <c r="C23" s="13" cm="1">
        <f t="array" ref="C23">INDEX(_xll.ACT_DISCRETIZE_EXPONENTIAL(B9, B10, B11), 10)</f>
        <v>5.6125387058786336E-3</v>
      </c>
    </row>
    <row r="24" spans="1:3" x14ac:dyDescent="0.25">
      <c r="A24" s="7">
        <v>10</v>
      </c>
      <c r="B24" s="7">
        <v>5</v>
      </c>
      <c r="C24" s="13" cm="1">
        <f t="array" ref="C24">INDEX(_xll.ACT_DISCRETIZE_EXPONENTIAL(B9, B10, B11), 11)</f>
        <v>3.4041768039392295E-3</v>
      </c>
    </row>
    <row r="25" spans="1:3" x14ac:dyDescent="0.25">
      <c r="A25" s="7">
        <v>11</v>
      </c>
      <c r="B25" s="7">
        <v>5.5</v>
      </c>
      <c r="C25" s="13" cm="1">
        <f t="array" ref="C25">INDEX(_xll.ACT_DISCRETIZE_EXPONENTIAL(B9, B10, B11), 12)</f>
        <v>2.0647376026716735E-3</v>
      </c>
    </row>
    <row r="26" spans="1:3" x14ac:dyDescent="0.25">
      <c r="A26" s="7">
        <v>12</v>
      </c>
      <c r="B26" s="7">
        <v>6</v>
      </c>
      <c r="C26" s="13" cm="1">
        <f t="array" ref="C26">INDEX(_xll.ACT_DISCRETIZE_EXPONENTIAL(B9, B10, B11), 13)</f>
        <v>1.252326660281966E-3</v>
      </c>
    </row>
    <row r="27" spans="1:3" x14ac:dyDescent="0.25">
      <c r="A27" s="7">
        <v>13</v>
      </c>
      <c r="B27" s="7">
        <v>6.5</v>
      </c>
      <c r="C27" s="13" cm="1">
        <f t="array" ref="C27">INDEX(_xll.ACT_DISCRETIZE_EXPONENTIAL(B9, B10, B11), 14)</f>
        <v>7.5957451543651189E-4</v>
      </c>
    </row>
    <row r="28" spans="1:3" x14ac:dyDescent="0.25">
      <c r="A28" s="7">
        <v>14</v>
      </c>
      <c r="B28" s="7">
        <v>7</v>
      </c>
      <c r="C28" s="13" cm="1">
        <f t="array" ref="C28">INDEX(_xll.ACT_DISCRETIZE_EXPONENTIAL(B9, B10, B11), 15)</f>
        <v>4.6070523194863267E-4</v>
      </c>
    </row>
    <row r="29" spans="1:3" x14ac:dyDescent="0.25">
      <c r="A29" s="7">
        <v>15</v>
      </c>
      <c r="B29" s="7">
        <v>7.5</v>
      </c>
      <c r="C29" s="13" cm="1">
        <f t="array" ref="C29">INDEX(_xll.ACT_DISCRETIZE_EXPONENTIAL(B9, B10, B11), 16)</f>
        <v>2.7943184826684231E-4</v>
      </c>
    </row>
    <row r="30" spans="1:3" x14ac:dyDescent="0.25">
      <c r="A30" s="7">
        <v>16</v>
      </c>
      <c r="B30" s="7">
        <v>8</v>
      </c>
      <c r="C30" s="13" cm="1">
        <f t="array" ref="C30">INDEX(_xll.ACT_DISCRETIZE_EXPONENTIAL(B9, B10, B11), 17)</f>
        <v>1.6948398327409908E-4</v>
      </c>
    </row>
    <row r="31" spans="1:3" x14ac:dyDescent="0.25">
      <c r="A31" s="7">
        <v>17</v>
      </c>
      <c r="B31" s="7">
        <v>8.5</v>
      </c>
      <c r="C31" s="13" cm="1">
        <f t="array" ref="C31">INDEX(_xll.ACT_DISCRETIZE_EXPONENTIAL(B9, B10, B11), 18)</f>
        <v>1.0279723218586945E-4</v>
      </c>
    </row>
    <row r="32" spans="1:3" x14ac:dyDescent="0.25">
      <c r="A32" s="7">
        <v>18</v>
      </c>
      <c r="B32" s="7">
        <v>9</v>
      </c>
      <c r="C32" s="13" cm="1">
        <f t="array" ref="C32">INDEX(_xll.ACT_DISCRETIZE_EXPONENTIAL(B9, B10, B11), 19)</f>
        <v>6.2349673054407084E-5</v>
      </c>
    </row>
    <row r="33" spans="1:4" x14ac:dyDescent="0.25">
      <c r="A33" s="7">
        <v>19</v>
      </c>
      <c r="B33" s="7">
        <v>9.5</v>
      </c>
      <c r="C33" s="13" cm="1">
        <f t="array" ref="C33">INDEX(_xll.ACT_DISCRETIZE_EXPONENTIAL(B9, B10, B11), 20)</f>
        <v>3.7816988330496848E-5</v>
      </c>
    </row>
    <row r="35" spans="1:4" x14ac:dyDescent="0.25">
      <c r="A35" s="5" t="s">
        <v>591</v>
      </c>
    </row>
    <row r="36" spans="1:4" x14ac:dyDescent="0.25">
      <c r="A36" s="5" t="s">
        <v>592</v>
      </c>
    </row>
    <row r="38" spans="1:4" x14ac:dyDescent="0.25">
      <c r="A38" s="2" t="s">
        <v>593</v>
      </c>
      <c r="B38">
        <v>2</v>
      </c>
    </row>
    <row r="39" spans="1:4" x14ac:dyDescent="0.25">
      <c r="A39" s="2" t="s">
        <v>594</v>
      </c>
      <c r="B39">
        <v>40</v>
      </c>
    </row>
    <row r="41" spans="1:4" x14ac:dyDescent="0.25">
      <c r="A41" s="6" t="s">
        <v>588</v>
      </c>
      <c r="B41" s="6" t="s">
        <v>595</v>
      </c>
      <c r="C41" s="6" t="s">
        <v>596</v>
      </c>
      <c r="D41" s="6" t="s">
        <v>597</v>
      </c>
    </row>
    <row r="42" spans="1:4" x14ac:dyDescent="0.25">
      <c r="A42" s="7">
        <v>0</v>
      </c>
      <c r="B42" s="7">
        <v>0</v>
      </c>
      <c r="C42" s="13" cm="1">
        <f t="array" ref="C42">INDEX(_xll.ACT_PANJER_POISSON(B38, C14:C33, B39), 1)</f>
        <v>0.2106406735543411</v>
      </c>
      <c r="D42" s="13">
        <f>SUM(C42:C42)</f>
        <v>0.2106406735543411</v>
      </c>
    </row>
    <row r="43" spans="1:4" x14ac:dyDescent="0.25">
      <c r="A43" s="7">
        <v>1</v>
      </c>
      <c r="B43" s="7">
        <v>0.5</v>
      </c>
      <c r="C43" s="13" cm="1">
        <f t="array" ref="C43">INDEX(_xll.ACT_PANJER_POISSON(B38, C14:C33, B39), 2)</f>
        <v>0.12909502535379899</v>
      </c>
      <c r="D43" s="13">
        <f>SUM(C42:C43)</f>
        <v>0.33973569890814009</v>
      </c>
    </row>
    <row r="44" spans="1:4" x14ac:dyDescent="0.25">
      <c r="A44" s="7">
        <v>2</v>
      </c>
      <c r="B44" s="7">
        <v>1</v>
      </c>
      <c r="C44" s="13" cm="1">
        <f t="array" ref="C44">INDEX(_xll.ACT_PANJER_POISSON(B38, C14:C33, B39), 3)</f>
        <v>0.11785922562723239</v>
      </c>
      <c r="D44" s="13">
        <f>SUM(C42:C44)</f>
        <v>0.45759492453537248</v>
      </c>
    </row>
    <row r="45" spans="1:4" x14ac:dyDescent="0.25">
      <c r="A45" s="7">
        <v>3</v>
      </c>
      <c r="B45" s="7">
        <v>1.5</v>
      </c>
      <c r="C45" s="13" cm="1">
        <f t="array" ref="C45">INDEX(_xll.ACT_PANJER_POISSON(B38, C14:C33, B39), 4)</f>
        <v>0.10356057729709545</v>
      </c>
      <c r="D45" s="13">
        <f>SUM(C42:C45)</f>
        <v>0.56115550183246787</v>
      </c>
    </row>
    <row r="46" spans="1:4" x14ac:dyDescent="0.25">
      <c r="A46" s="7">
        <v>4</v>
      </c>
      <c r="B46" s="7">
        <v>2</v>
      </c>
      <c r="C46" s="13" cm="1">
        <f t="array" ref="C46">INDEX(_xll.ACT_PANJER_POISSON(B38, C14:C33, B39), 5)</f>
        <v>8.8407257770323266E-2</v>
      </c>
      <c r="D46" s="13">
        <f>SUM(C42:C46)</f>
        <v>0.64956275960279108</v>
      </c>
    </row>
    <row r="47" spans="1:4" x14ac:dyDescent="0.25">
      <c r="A47" s="7">
        <v>5</v>
      </c>
      <c r="B47" s="7">
        <v>2.5</v>
      </c>
      <c r="C47" s="13" cm="1">
        <f t="array" ref="C47">INDEX(_xll.ACT_PANJER_POISSON(B38, C14:C33, B39), 6)</f>
        <v>7.3772459420229738E-2</v>
      </c>
      <c r="D47" s="13">
        <f>SUM(C42:C47)</f>
        <v>0.72333521902302078</v>
      </c>
    </row>
    <row r="48" spans="1:4" x14ac:dyDescent="0.25">
      <c r="A48" s="7">
        <v>6</v>
      </c>
      <c r="B48" s="7">
        <v>3</v>
      </c>
      <c r="C48" s="13" cm="1">
        <f t="array" ref="C48">INDEX(_xll.ACT_PANJER_POISSON(B38, C14:C33, B39), 7)</f>
        <v>6.0428758019267573E-2</v>
      </c>
      <c r="D48" s="13">
        <f>SUM(C42:C48)</f>
        <v>0.7837639770422884</v>
      </c>
    </row>
    <row r="49" spans="1:4" x14ac:dyDescent="0.25">
      <c r="A49" s="7">
        <v>7</v>
      </c>
      <c r="B49" s="7">
        <v>3.5</v>
      </c>
      <c r="C49" s="13" cm="1">
        <f t="array" ref="C49">INDEX(_xll.ACT_PANJER_POISSON(B38, C14:C33, B39), 8)</f>
        <v>4.8737251112089118E-2</v>
      </c>
      <c r="D49" s="13">
        <f>SUM(C42:C49)</f>
        <v>0.83250122815437755</v>
      </c>
    </row>
    <row r="50" spans="1:4" x14ac:dyDescent="0.25">
      <c r="A50" s="7">
        <v>8</v>
      </c>
      <c r="B50" s="7">
        <v>4</v>
      </c>
      <c r="C50" s="13" cm="1">
        <f t="array" ref="C50">INDEX(_xll.ACT_PANJER_POISSON(B38, C14:C33, B39), 9)</f>
        <v>3.8791932081921082E-2</v>
      </c>
      <c r="D50" s="13">
        <f>SUM(C42:C50)</f>
        <v>0.87129316023629866</v>
      </c>
    </row>
    <row r="51" spans="1:4" x14ac:dyDescent="0.25">
      <c r="A51" s="7">
        <v>9</v>
      </c>
      <c r="B51" s="7">
        <v>4.5</v>
      </c>
      <c r="C51" s="13" cm="1">
        <f t="array" ref="C51">INDEX(_xll.ACT_PANJER_POISSON(B38, C14:C33, B39), 10)</f>
        <v>3.0524917921386178E-2</v>
      </c>
      <c r="D51" s="13">
        <f>SUM(C42:C51)</f>
        <v>0.90181807815768489</v>
      </c>
    </row>
    <row r="52" spans="1:4" x14ac:dyDescent="0.25">
      <c r="A52" s="7">
        <v>10</v>
      </c>
      <c r="B52" s="7">
        <v>5</v>
      </c>
      <c r="C52" s="13" cm="1">
        <f t="array" ref="C52">INDEX(_xll.ACT_PANJER_POISSON(B38, C14:C33, B39), 11)</f>
        <v>2.3779909996979737E-2</v>
      </c>
      <c r="D52" s="13">
        <f>SUM(C42:C52)</f>
        <v>0.92559798815466465</v>
      </c>
    </row>
    <row r="53" spans="1:4" x14ac:dyDescent="0.25">
      <c r="A53" s="7">
        <v>11</v>
      </c>
      <c r="B53" s="7">
        <v>5.5</v>
      </c>
      <c r="C53" s="13" cm="1">
        <f t="array" ref="C53">INDEX(_xll.ACT_PANJER_POISSON(B38, C14:C33, B39), 12)</f>
        <v>1.8361221734680983E-2</v>
      </c>
      <c r="D53" s="13">
        <f>SUM(C42:C53)</f>
        <v>0.94395920988934567</v>
      </c>
    </row>
    <row r="54" spans="1:4" x14ac:dyDescent="0.25">
      <c r="A54" s="7">
        <v>12</v>
      </c>
      <c r="B54" s="7">
        <v>6</v>
      </c>
      <c r="C54" s="13" cm="1">
        <f t="array" ref="C54">INDEX(_xll.ACT_PANJER_POISSON(B38, C14:C33, B39), 13)</f>
        <v>1.406481501612303E-2</v>
      </c>
      <c r="D54" s="13">
        <f>SUM(C42:C54)</f>
        <v>0.95802402490546867</v>
      </c>
    </row>
    <row r="55" spans="1:4" x14ac:dyDescent="0.25">
      <c r="A55" s="7">
        <v>13</v>
      </c>
      <c r="B55" s="7">
        <v>6.5</v>
      </c>
      <c r="C55" s="13" cm="1">
        <f t="array" ref="C55">INDEX(_xll.ACT_PANJER_POISSON(B38, C14:C33, B39), 14)</f>
        <v>1.0696600181446362E-2</v>
      </c>
      <c r="D55" s="13">
        <f>SUM(C42:C55)</f>
        <v>0.96872062508691503</v>
      </c>
    </row>
    <row r="56" spans="1:4" x14ac:dyDescent="0.25">
      <c r="A56" s="7">
        <v>14</v>
      </c>
      <c r="B56" s="7">
        <v>7</v>
      </c>
      <c r="C56" s="13" cm="1">
        <f t="array" ref="C56">INDEX(_xll.ACT_PANJER_POISSON(B38, C14:C33, B39), 15)</f>
        <v>8.0820677507773345E-3</v>
      </c>
      <c r="D56" s="13">
        <f>SUM(C42:C56)</f>
        <v>0.97680269283769239</v>
      </c>
    </row>
    <row r="57" spans="1:4" x14ac:dyDescent="0.25">
      <c r="A57" s="7">
        <v>15</v>
      </c>
      <c r="B57" s="7">
        <v>7.5</v>
      </c>
      <c r="C57" s="13" cm="1">
        <f t="array" ref="C57">INDEX(_xll.ACT_PANJER_POISSON(B38, C14:C33, B39), 16)</f>
        <v>6.0702724220109954E-3</v>
      </c>
      <c r="D57" s="13">
        <f>SUM(C42:C57)</f>
        <v>0.98287296525970336</v>
      </c>
    </row>
    <row r="58" spans="1:4" x14ac:dyDescent="0.25">
      <c r="A58" s="7">
        <v>16</v>
      </c>
      <c r="B58" s="7">
        <v>8</v>
      </c>
      <c r="C58" s="13" cm="1">
        <f t="array" ref="C58">INDEX(_xll.ACT_PANJER_POISSON(B38, C14:C33, B39), 17)</f>
        <v>4.5343310419051416E-3</v>
      </c>
      <c r="D58" s="13">
        <f>SUM(C42:C58)</f>
        <v>0.98740729630160851</v>
      </c>
    </row>
    <row r="59" spans="1:4" x14ac:dyDescent="0.25">
      <c r="A59" s="7">
        <v>17</v>
      </c>
      <c r="B59" s="7">
        <v>8.5</v>
      </c>
      <c r="C59" s="13" cm="1">
        <f t="array" ref="C59">INDEX(_xll.ACT_PANJER_POISSON(B38, C14:C33, B39), 18)</f>
        <v>3.3699275078077117E-3</v>
      </c>
      <c r="D59" s="13">
        <f>SUM(C42:C59)</f>
        <v>0.99077722380941624</v>
      </c>
    </row>
    <row r="60" spans="1:4" x14ac:dyDescent="0.25">
      <c r="A60" s="7">
        <v>18</v>
      </c>
      <c r="B60" s="7">
        <v>9</v>
      </c>
      <c r="C60" s="13" cm="1">
        <f t="array" ref="C60">INDEX(_xll.ACT_PANJER_POISSON(B38, C14:C33, B39), 19)</f>
        <v>2.4928175344744066E-3</v>
      </c>
      <c r="D60" s="13">
        <f>SUM(C42:C60)</f>
        <v>0.99327004134389063</v>
      </c>
    </row>
    <row r="61" spans="1:4" x14ac:dyDescent="0.25">
      <c r="A61" s="7">
        <v>19</v>
      </c>
      <c r="B61" s="7">
        <v>9.5</v>
      </c>
      <c r="C61" s="13" cm="1">
        <f t="array" ref="C61">INDEX(_xll.ACT_PANJER_POISSON(B38, C14:C33, B39), 20)</f>
        <v>1.8359652061651923E-3</v>
      </c>
      <c r="D61" s="13">
        <f>SUM(C42:C61)</f>
        <v>0.99510600655005588</v>
      </c>
    </row>
    <row r="62" spans="1:4" x14ac:dyDescent="0.25">
      <c r="A62" s="7">
        <v>20</v>
      </c>
      <c r="B62" s="7">
        <v>10</v>
      </c>
      <c r="C62" s="13" cm="1">
        <f t="array" ref="C62">INDEX(_xll.ACT_PANJER_POISSON(B38, C14:C33, B39), 21)</f>
        <v>1.3370280268761537E-3</v>
      </c>
      <c r="D62" s="13">
        <f>SUM(C42:C62)</f>
        <v>0.99644303457693206</v>
      </c>
    </row>
    <row r="63" spans="1:4" x14ac:dyDescent="0.25">
      <c r="A63" s="7">
        <v>21</v>
      </c>
      <c r="B63" s="7">
        <v>10.5</v>
      </c>
      <c r="C63" s="13" cm="1">
        <f t="array" ref="C63">INDEX(_xll.ACT_PANJER_POISSON(B38, C14:C33, B39), 22)</f>
        <v>9.7225776100605627E-4</v>
      </c>
      <c r="D63" s="13">
        <f>SUM(C42:C63)</f>
        <v>0.99741529233793813</v>
      </c>
    </row>
    <row r="64" spans="1:4" x14ac:dyDescent="0.25">
      <c r="A64" s="7">
        <v>22</v>
      </c>
      <c r="B64" s="7">
        <v>11</v>
      </c>
      <c r="C64" s="13" cm="1">
        <f t="array" ref="C64">INDEX(_xll.ACT_PANJER_POISSON(B38, C14:C33, B39), 23)</f>
        <v>7.0392048380846282E-4</v>
      </c>
      <c r="D64" s="13">
        <f>SUM(C42:C64)</f>
        <v>0.99811921282174665</v>
      </c>
    </row>
    <row r="65" spans="1:4" x14ac:dyDescent="0.25">
      <c r="A65" s="7">
        <v>23</v>
      </c>
      <c r="B65" s="7">
        <v>11.5</v>
      </c>
      <c r="C65" s="13" cm="1">
        <f t="array" ref="C65">INDEX(_xll.ACT_PANJER_POISSON(B38, C14:C33, B39), 24)</f>
        <v>5.075359909829933E-4</v>
      </c>
      <c r="D65" s="13">
        <f>SUM(C42:C65)</f>
        <v>0.99862674881272961</v>
      </c>
    </row>
    <row r="66" spans="1:4" x14ac:dyDescent="0.25">
      <c r="A66" s="7">
        <v>24</v>
      </c>
      <c r="B66" s="7">
        <v>12</v>
      </c>
      <c r="C66" s="13" cm="1">
        <f t="array" ref="C66">INDEX(_xll.ACT_PANJER_POISSON(B38, C14:C33, B39), 25)</f>
        <v>3.645032417033692E-4</v>
      </c>
      <c r="D66" s="13">
        <f>SUM(C42:C66)</f>
        <v>0.99899125205443295</v>
      </c>
    </row>
    <row r="67" spans="1:4" x14ac:dyDescent="0.25">
      <c r="A67" s="7">
        <v>25</v>
      </c>
      <c r="B67" s="7">
        <v>12.5</v>
      </c>
      <c r="C67" s="13" cm="1">
        <f t="array" ref="C67">INDEX(_xll.ACT_PANJER_POISSON(B38, C14:C33, B39), 26)</f>
        <v>2.6080088546721707E-4</v>
      </c>
      <c r="D67" s="13">
        <f>SUM(C42:C67)</f>
        <v>0.99925205293990016</v>
      </c>
    </row>
    <row r="68" spans="1:4" x14ac:dyDescent="0.25">
      <c r="A68" s="7">
        <v>26</v>
      </c>
      <c r="B68" s="7">
        <v>13</v>
      </c>
      <c r="C68" s="13" cm="1">
        <f t="array" ref="C68">INDEX(_xll.ACT_PANJER_POISSON(B38, C14:C33, B39), 27)</f>
        <v>1.8593627932325443E-4</v>
      </c>
      <c r="D68" s="13">
        <f>SUM(C42:C68)</f>
        <v>0.99943798921922344</v>
      </c>
    </row>
    <row r="69" spans="1:4" x14ac:dyDescent="0.25">
      <c r="A69" s="7">
        <v>27</v>
      </c>
      <c r="B69" s="7">
        <v>13.5</v>
      </c>
      <c r="C69" s="13" cm="1">
        <f t="array" ref="C69">INDEX(_xll.ACT_PANJER_POISSON(B38, C14:C33, B39), 28)</f>
        <v>1.3210954314702323E-4</v>
      </c>
      <c r="D69" s="13">
        <f>SUM(C42:C69)</f>
        <v>0.99957009876237046</v>
      </c>
    </row>
    <row r="70" spans="1:4" x14ac:dyDescent="0.25">
      <c r="A70" s="7">
        <v>28</v>
      </c>
      <c r="B70" s="7">
        <v>14</v>
      </c>
      <c r="C70" s="13" cm="1">
        <f t="array" ref="C70">INDEX(_xll.ACT_PANJER_POISSON(B38, C14:C33, B39), 29)</f>
        <v>9.3557963677087862E-5</v>
      </c>
      <c r="D70" s="13">
        <f>SUM(C42:C70)</f>
        <v>0.99966365672604751</v>
      </c>
    </row>
    <row r="71" spans="1:4" x14ac:dyDescent="0.25">
      <c r="A71" s="7">
        <v>29</v>
      </c>
      <c r="B71" s="7">
        <v>14.5</v>
      </c>
      <c r="C71" s="13" cm="1">
        <f t="array" ref="C71">INDEX(_xll.ACT_PANJER_POISSON(B38, C14:C33, B39), 30)</f>
        <v>6.6048040285987452E-5</v>
      </c>
      <c r="D71" s="13">
        <f>SUM(C42:C71)</f>
        <v>0.99972970476633349</v>
      </c>
    </row>
    <row r="72" spans="1:4" x14ac:dyDescent="0.25">
      <c r="A72" s="7">
        <v>30</v>
      </c>
      <c r="B72" s="7">
        <v>15</v>
      </c>
      <c r="C72" s="13" cm="1">
        <f t="array" ref="C72">INDEX(_xll.ACT_PANJER_POISSON(B38, C14:C33, B39), 31)</f>
        <v>4.6486074242171996E-5</v>
      </c>
      <c r="D72" s="13">
        <f>SUM(C42:C72)</f>
        <v>0.99977619084057567</v>
      </c>
    </row>
    <row r="73" spans="1:4" x14ac:dyDescent="0.25">
      <c r="A73" s="7">
        <v>31</v>
      </c>
      <c r="B73" s="7">
        <v>15.5</v>
      </c>
      <c r="C73" s="13" cm="1">
        <f t="array" ref="C73">INDEX(_xll.ACT_PANJER_POISSON(B38, C14:C33, B39), 32)</f>
        <v>3.2622423852019624E-5</v>
      </c>
      <c r="D73" s="13">
        <f>SUM(C42:C73)</f>
        <v>0.99980881326442772</v>
      </c>
    </row>
    <row r="74" spans="1:4" x14ac:dyDescent="0.25">
      <c r="A74" s="7">
        <v>32</v>
      </c>
      <c r="B74" s="7">
        <v>16</v>
      </c>
      <c r="C74" s="13" cm="1">
        <f t="array" ref="C74">INDEX(_xll.ACT_PANJER_POISSON(B38, C14:C33, B39), 33)</f>
        <v>2.2828771777619513E-5</v>
      </c>
      <c r="D74" s="13">
        <f>SUM(C42:C74)</f>
        <v>0.99983164203620534</v>
      </c>
    </row>
    <row r="75" spans="1:4" x14ac:dyDescent="0.25">
      <c r="A75" s="7">
        <v>33</v>
      </c>
      <c r="B75" s="7">
        <v>16.5</v>
      </c>
      <c r="C75" s="13" cm="1">
        <f t="array" ref="C75">INDEX(_xll.ACT_PANJER_POISSON(B38, C14:C33, B39), 34)</f>
        <v>1.5931644114511582E-5</v>
      </c>
      <c r="D75" s="13">
        <f>SUM(C42:C75)</f>
        <v>0.99984757368031985</v>
      </c>
    </row>
    <row r="76" spans="1:4" x14ac:dyDescent="0.25">
      <c r="A76" s="7">
        <v>34</v>
      </c>
      <c r="B76" s="7">
        <v>17</v>
      </c>
      <c r="C76" s="13" cm="1">
        <f t="array" ref="C76">INDEX(_xll.ACT_PANJER_POISSON(B38, C14:C33, B39), 35)</f>
        <v>1.1088827893154359E-5</v>
      </c>
      <c r="D76" s="13">
        <f>SUM(C42:C76)</f>
        <v>0.99985866250821298</v>
      </c>
    </row>
    <row r="77" spans="1:4" x14ac:dyDescent="0.25">
      <c r="A77" s="7">
        <v>35</v>
      </c>
      <c r="B77" s="7">
        <v>17.5</v>
      </c>
      <c r="C77" s="13" cm="1">
        <f t="array" ref="C77">INDEX(_xll.ACT_PANJER_POISSON(B38, C14:C33, B39), 36)</f>
        <v>7.698209069470742E-6</v>
      </c>
      <c r="D77" s="13">
        <f>SUM(C42:C77)</f>
        <v>0.99986636071728241</v>
      </c>
    </row>
    <row r="78" spans="1:4" x14ac:dyDescent="0.25">
      <c r="A78" s="7">
        <v>36</v>
      </c>
      <c r="B78" s="7">
        <v>18</v>
      </c>
      <c r="C78" s="13" cm="1">
        <f t="array" ref="C78">INDEX(_xll.ACT_PANJER_POISSON(B38, C14:C33, B39), 37)</f>
        <v>5.3309148758950063E-6</v>
      </c>
      <c r="D78" s="13">
        <f>SUM(C42:C78)</f>
        <v>0.99987169163215828</v>
      </c>
    </row>
    <row r="79" spans="1:4" x14ac:dyDescent="0.25">
      <c r="A79" s="7">
        <v>37</v>
      </c>
      <c r="B79" s="7">
        <v>18.5</v>
      </c>
      <c r="C79" s="13" cm="1">
        <f t="array" ref="C79">INDEX(_xll.ACT_PANJER_POISSON(B38, C14:C33, B39), 38)</f>
        <v>3.6825435899347122E-6</v>
      </c>
      <c r="D79" s="13">
        <f>SUM(C42:C79)</f>
        <v>0.99987537417574823</v>
      </c>
    </row>
    <row r="80" spans="1:4" x14ac:dyDescent="0.25">
      <c r="A80" s="7">
        <v>38</v>
      </c>
      <c r="B80" s="7">
        <v>19</v>
      </c>
      <c r="C80" s="13" cm="1">
        <f t="array" ref="C80">INDEX(_xll.ACT_PANJER_POISSON(B38, C14:C33, B39), 39)</f>
        <v>2.5377658684546732E-6</v>
      </c>
      <c r="D80" s="13">
        <f>SUM(C42:C80)</f>
        <v>0.99987791194161668</v>
      </c>
    </row>
    <row r="81" spans="1:4" x14ac:dyDescent="0.25">
      <c r="A81" s="7">
        <v>39</v>
      </c>
      <c r="B81" s="7">
        <v>19.5</v>
      </c>
      <c r="C81" s="13" cm="1">
        <f t="array" ref="C81">INDEX(_xll.ACT_PANJER_POISSON(B38, C14:C33, B39), 40)</f>
        <v>1.7447513193726163E-6</v>
      </c>
      <c r="D81" s="13">
        <f>SUM(C42:C81)</f>
        <v>0.9998796566929361</v>
      </c>
    </row>
    <row r="82" spans="1:4" x14ac:dyDescent="0.25">
      <c r="A82" s="7">
        <v>40</v>
      </c>
      <c r="B82" s="7">
        <v>20</v>
      </c>
      <c r="C82" s="13" cm="1">
        <f t="array" ref="C82">INDEX(_xll.ACT_PANJER_POISSON(B38, C14:C33, B39), 41)</f>
        <v>1.1969957427734221E-6</v>
      </c>
      <c r="D82" s="13">
        <f>SUM(C42:C82)</f>
        <v>0.99988085368867885</v>
      </c>
    </row>
    <row r="84" spans="1:4" x14ac:dyDescent="0.25">
      <c r="A84" s="5" t="s">
        <v>598</v>
      </c>
    </row>
    <row r="86" spans="1:4" x14ac:dyDescent="0.25">
      <c r="A86" s="6" t="s">
        <v>538</v>
      </c>
      <c r="B86" s="6" t="s">
        <v>599</v>
      </c>
      <c r="C86" s="6" t="s">
        <v>600</v>
      </c>
    </row>
    <row r="87" spans="1:4" x14ac:dyDescent="0.25">
      <c r="A87" s="3" t="s">
        <v>163</v>
      </c>
      <c r="B87" s="14">
        <f>_xll.ACT_AGGREGATE_MEAN(C42:C82, B10)</f>
        <v>1.9777759659272356</v>
      </c>
      <c r="C87" s="15" t="s">
        <v>601</v>
      </c>
    </row>
    <row r="88" spans="1:4" x14ac:dyDescent="0.25">
      <c r="A88" s="3" t="s">
        <v>602</v>
      </c>
      <c r="B88" s="14">
        <f>_xll.ACT_AGGREGATE_STDEV(C42:C82, B10)</f>
        <v>2.0065233076088309</v>
      </c>
      <c r="C88" s="15" t="s">
        <v>603</v>
      </c>
    </row>
    <row r="89" spans="1:4" x14ac:dyDescent="0.25">
      <c r="A89" s="3" t="s">
        <v>604</v>
      </c>
      <c r="B89" s="14">
        <f>_xll.ACT_AGGREGATE_VAR_STAT(C42:C82, B10)</f>
        <v>4.0261357839774838</v>
      </c>
      <c r="C89" s="15" t="s">
        <v>605</v>
      </c>
    </row>
    <row r="90" spans="1:4" x14ac:dyDescent="0.25">
      <c r="A90" s="3" t="s">
        <v>606</v>
      </c>
      <c r="B90" s="14">
        <f>_xll.ACT_AGGREGATE_VAR(0.95, C42:C82, B10)</f>
        <v>6</v>
      </c>
      <c r="C90" s="15"/>
    </row>
    <row r="91" spans="1:4" x14ac:dyDescent="0.25">
      <c r="A91" s="3" t="s">
        <v>607</v>
      </c>
      <c r="B91" s="14">
        <f>_xll.ACT_AGGREGATE_TVAR(0.95, C42:C82, B10)</f>
        <v>7.4121554370599805</v>
      </c>
      <c r="C91" s="15"/>
    </row>
    <row r="92" spans="1:4" x14ac:dyDescent="0.25">
      <c r="A92" s="3" t="s">
        <v>608</v>
      </c>
      <c r="B92" s="14">
        <f>_xll.ACT_AGGREGATE_CDF(3, C42:C82, B10)</f>
        <v>0.7837639770422884</v>
      </c>
      <c r="C92" s="15"/>
    </row>
    <row r="94" spans="1:4" x14ac:dyDescent="0.25">
      <c r="A94" s="5" t="s">
        <v>609</v>
      </c>
    </row>
    <row r="95" spans="1:4" x14ac:dyDescent="0.25">
      <c r="A95" s="5" t="s">
        <v>610</v>
      </c>
    </row>
    <row r="97" spans="1:4" x14ac:dyDescent="0.25">
      <c r="A97" s="2" t="s">
        <v>611</v>
      </c>
      <c r="B97">
        <v>2</v>
      </c>
    </row>
    <row r="98" spans="1:4" x14ac:dyDescent="0.25">
      <c r="A98" s="2" t="s">
        <v>612</v>
      </c>
      <c r="B98">
        <v>0.5</v>
      </c>
    </row>
    <row r="100" spans="1:4" x14ac:dyDescent="0.25">
      <c r="A100" s="6" t="s">
        <v>588</v>
      </c>
      <c r="B100" s="6" t="s">
        <v>595</v>
      </c>
      <c r="C100" s="6" t="s">
        <v>613</v>
      </c>
      <c r="D100" s="6" t="s">
        <v>614</v>
      </c>
    </row>
    <row r="101" spans="1:4" x14ac:dyDescent="0.25">
      <c r="A101" s="7">
        <v>0</v>
      </c>
      <c r="B101" s="7">
        <v>0</v>
      </c>
      <c r="C101" s="13" cm="1">
        <f t="array" ref="C101">INDEX(_xll.ACT_PANJER_NEGBIN(B97, B98, C14:C33, B39), 1)</f>
        <v>0.31604241814819972</v>
      </c>
      <c r="D101" s="13">
        <f>SUM(C101:C101)</f>
        <v>0.31604241814819972</v>
      </c>
    </row>
    <row r="102" spans="1:4" x14ac:dyDescent="0.25">
      <c r="A102" s="7">
        <v>1</v>
      </c>
      <c r="B102" s="7">
        <v>0.5</v>
      </c>
      <c r="C102" s="13" cm="1">
        <f t="array" ref="C102">INDEX(_xll.ACT_PANJER_NEGBIN(B97, B98, C14:C33, B39), 2)</f>
        <v>0.1088893327219896</v>
      </c>
      <c r="D102" s="13">
        <f>SUM(C101:C102)</f>
        <v>0.42493175087018931</v>
      </c>
    </row>
    <row r="103" spans="1:4" x14ac:dyDescent="0.25">
      <c r="A103" s="7">
        <v>2</v>
      </c>
      <c r="B103" s="7">
        <v>1</v>
      </c>
      <c r="C103" s="13" cm="1">
        <f t="array" ref="C103">INDEX(_xll.ACT_PANJER_NEGBIN(B97, B98, C14:C33, B39), 3)</f>
        <v>9.4182286982243943E-2</v>
      </c>
      <c r="D103" s="13">
        <f>SUM(C101:C103)</f>
        <v>0.51911403785243326</v>
      </c>
    </row>
    <row r="104" spans="1:4" x14ac:dyDescent="0.25">
      <c r="A104" s="7">
        <v>3</v>
      </c>
      <c r="B104" s="7">
        <v>1.5</v>
      </c>
      <c r="C104" s="13" cm="1">
        <f t="array" ref="C104">INDEX(_xll.ACT_PANJER_NEGBIN(B97, B98, C14:C33, B39), 4)</f>
        <v>8.0653758894917965E-2</v>
      </c>
      <c r="D104" s="13">
        <f>SUM(C101:C104)</f>
        <v>0.59976779674735126</v>
      </c>
    </row>
    <row r="105" spans="1:4" x14ac:dyDescent="0.25">
      <c r="A105" s="7">
        <v>4</v>
      </c>
      <c r="B105" s="7">
        <v>2</v>
      </c>
      <c r="C105" s="13" cm="1">
        <f t="array" ref="C105">INDEX(_xll.ACT_PANJER_NEGBIN(B97, B98, C14:C33, B39), 5)</f>
        <v>6.8501976513443807E-2</v>
      </c>
      <c r="D105" s="13">
        <f>SUM(C101:C105)</f>
        <v>0.66826977326079506</v>
      </c>
    </row>
    <row r="106" spans="1:4" x14ac:dyDescent="0.25">
      <c r="A106" s="7">
        <v>5</v>
      </c>
      <c r="B106" s="7">
        <v>2.5</v>
      </c>
      <c r="C106" s="13" cm="1">
        <f t="array" ref="C106">INDEX(_xll.ACT_PANJER_NEGBIN(B97, B98, C14:C33, B39), 6)</f>
        <v>5.7779808310379772E-2</v>
      </c>
      <c r="D106" s="13">
        <f>SUM(C101:C106)</f>
        <v>0.72604958157117483</v>
      </c>
    </row>
    <row r="107" spans="1:4" x14ac:dyDescent="0.25">
      <c r="A107" s="7">
        <v>6</v>
      </c>
      <c r="B107" s="7">
        <v>3</v>
      </c>
      <c r="C107" s="13" cm="1">
        <f t="array" ref="C107">INDEX(_xll.ACT_PANJER_NEGBIN(B97, B98, C14:C33, B39), 7)</f>
        <v>4.844937090936046E-2</v>
      </c>
      <c r="D107" s="13">
        <f>SUM(C101:C107)</f>
        <v>0.77449895248053524</v>
      </c>
    </row>
    <row r="108" spans="1:4" x14ac:dyDescent="0.25">
      <c r="A108" s="7">
        <v>7</v>
      </c>
      <c r="B108" s="7">
        <v>3.5</v>
      </c>
      <c r="C108" s="13" cm="1">
        <f t="array" ref="C108">INDEX(_xll.ACT_PANJER_NEGBIN(B97, B98, C14:C33, B39), 8)</f>
        <v>4.0419590754489629E-2</v>
      </c>
      <c r="D108" s="13">
        <f>SUM(C101:C108)</f>
        <v>0.81491854323502488</v>
      </c>
    </row>
    <row r="109" spans="1:4" x14ac:dyDescent="0.25">
      <c r="A109" s="7">
        <v>8</v>
      </c>
      <c r="B109" s="7">
        <v>4</v>
      </c>
      <c r="C109" s="13" cm="1">
        <f t="array" ref="C109">INDEX(_xll.ACT_PANJER_NEGBIN(B97, B98, C14:C33, B39), 9)</f>
        <v>3.3571588961727981E-2</v>
      </c>
      <c r="D109" s="13">
        <f>SUM(C101:C109)</f>
        <v>0.84849013219675284</v>
      </c>
    </row>
    <row r="110" spans="1:4" x14ac:dyDescent="0.25">
      <c r="A110" s="7">
        <v>9</v>
      </c>
      <c r="B110" s="7">
        <v>4.5</v>
      </c>
      <c r="C110" s="13" cm="1">
        <f t="array" ref="C110">INDEX(_xll.ACT_PANJER_NEGBIN(B97, B98, C14:C33, B39), 10)</f>
        <v>2.7775438499054922E-2</v>
      </c>
      <c r="D110" s="13">
        <f>SUM(C101:C110)</f>
        <v>0.87626557069580779</v>
      </c>
    </row>
    <row r="111" spans="1:4" x14ac:dyDescent="0.25">
      <c r="A111" s="7">
        <v>10</v>
      </c>
      <c r="B111" s="7">
        <v>5</v>
      </c>
      <c r="C111" s="13" cm="1">
        <f t="array" ref="C111">INDEX(_xll.ACT_PANJER_NEGBIN(B97, B98, C14:C33, B39), 11)</f>
        <v>2.2900868505873001E-2</v>
      </c>
      <c r="D111" s="13">
        <f>SUM(C101:C111)</f>
        <v>0.89916643920168082</v>
      </c>
    </row>
    <row r="112" spans="1:4" x14ac:dyDescent="0.25">
      <c r="A112" s="7">
        <v>11</v>
      </c>
      <c r="B112" s="7">
        <v>5.5</v>
      </c>
      <c r="C112" s="13" cm="1">
        <f t="array" ref="C112">INDEX(_xll.ACT_PANJER_NEGBIN(B97, B98, C14:C33, B39), 12)</f>
        <v>1.8823773614138867E-2</v>
      </c>
      <c r="D112" s="13">
        <f>SUM(C101:C112)</f>
        <v>0.91799021281581972</v>
      </c>
    </row>
    <row r="113" spans="1:4" x14ac:dyDescent="0.25">
      <c r="A113" s="7">
        <v>12</v>
      </c>
      <c r="B113" s="7">
        <v>6</v>
      </c>
      <c r="C113" s="13" cm="1">
        <f t="array" ref="C113">INDEX(_xll.ACT_PANJER_NEGBIN(B97, B98, C14:C33, B39), 13)</f>
        <v>1.5429860379240988E-2</v>
      </c>
      <c r="D113" s="13">
        <f>SUM(C101:C113)</f>
        <v>0.93342007319506071</v>
      </c>
    </row>
    <row r="114" spans="1:4" x14ac:dyDescent="0.25">
      <c r="A114" s="7">
        <v>13</v>
      </c>
      <c r="B114" s="7">
        <v>6.5</v>
      </c>
      <c r="C114" s="13" cm="1">
        <f t="array" ref="C114">INDEX(_xll.ACT_PANJER_NEGBIN(B97, B98, C14:C33, B39), 14)</f>
        <v>1.2616378863605726E-2</v>
      </c>
      <c r="D114" s="13">
        <f>SUM(C101:C114)</f>
        <v>0.94603645205866638</v>
      </c>
    </row>
    <row r="115" spans="1:4" x14ac:dyDescent="0.25">
      <c r="A115" s="7">
        <v>14</v>
      </c>
      <c r="B115" s="7">
        <v>7</v>
      </c>
      <c r="C115" s="13" cm="1">
        <f t="array" ref="C115">INDEX(_xll.ACT_PANJER_NEGBIN(B97, B98, C14:C33, B39), 15)</f>
        <v>1.0292608081908478E-2</v>
      </c>
      <c r="D115" s="13">
        <f>SUM(C101:C115)</f>
        <v>0.95632906014057484</v>
      </c>
    </row>
    <row r="116" spans="1:4" x14ac:dyDescent="0.25">
      <c r="A116" s="7">
        <v>15</v>
      </c>
      <c r="B116" s="7">
        <v>7.5</v>
      </c>
      <c r="C116" s="13" cm="1">
        <f t="array" ref="C116">INDEX(_xll.ACT_PANJER_NEGBIN(B97, B98, C14:C33, B39), 16)</f>
        <v>8.379561872747467E-3</v>
      </c>
      <c r="D116" s="13">
        <f>SUM(C101:C116)</f>
        <v>0.9647086220133223</v>
      </c>
    </row>
    <row r="117" spans="1:4" x14ac:dyDescent="0.25">
      <c r="A117" s="7">
        <v>16</v>
      </c>
      <c r="B117" s="7">
        <v>8</v>
      </c>
      <c r="C117" s="13" cm="1">
        <f t="array" ref="C117">INDEX(_xll.ACT_PANJER_NEGBIN(B97, B98, C14:C33, B39), 17)</f>
        <v>6.809236326498532E-3</v>
      </c>
      <c r="D117" s="13">
        <f>SUM(C101:C117)</f>
        <v>0.97151785833982085</v>
      </c>
    </row>
    <row r="118" spans="1:4" x14ac:dyDescent="0.25">
      <c r="A118" s="7">
        <v>17</v>
      </c>
      <c r="B118" s="7">
        <v>8.5</v>
      </c>
      <c r="C118" s="13" cm="1">
        <f t="array" ref="C118">INDEX(_xll.ACT_PANJER_NEGBIN(B97, B98, C14:C33, B39), 18)</f>
        <v>5.5236159756102288E-3</v>
      </c>
      <c r="D118" s="13">
        <f>SUM(C101:C118)</f>
        <v>0.97704147431543109</v>
      </c>
    </row>
    <row r="119" spans="1:4" x14ac:dyDescent="0.25">
      <c r="A119" s="7">
        <v>18</v>
      </c>
      <c r="B119" s="7">
        <v>9</v>
      </c>
      <c r="C119" s="13" cm="1">
        <f t="array" ref="C119">INDEX(_xll.ACT_PANJER_NEGBIN(B97, B98, C14:C33, B39), 19)</f>
        <v>4.4735822931315956E-3</v>
      </c>
      <c r="D119" s="13">
        <f>SUM(C101:C119)</f>
        <v>0.98151505660856264</v>
      </c>
    </row>
    <row r="120" spans="1:4" x14ac:dyDescent="0.25">
      <c r="A120" s="7">
        <v>19</v>
      </c>
      <c r="B120" s="7">
        <v>9.5</v>
      </c>
      <c r="C120" s="13" cm="1">
        <f t="array" ref="C120">INDEX(_xll.ACT_PANJER_NEGBIN(B97, B98, C14:C33, B39), 20)</f>
        <v>3.6178163443643702E-3</v>
      </c>
      <c r="D120" s="13">
        <f>SUM(C101:C120)</f>
        <v>0.98513287295292706</v>
      </c>
    </row>
    <row r="121" spans="1:4" x14ac:dyDescent="0.25">
      <c r="A121" s="7">
        <v>20</v>
      </c>
      <c r="B121" s="7">
        <v>10</v>
      </c>
      <c r="C121" s="13" cm="1">
        <f t="array" ref="C121">INDEX(_xll.ACT_PANJER_NEGBIN(B97, B98, C14:C33, B39), 21)</f>
        <v>2.9136010186576584E-3</v>
      </c>
      <c r="D121" s="13">
        <f>SUM(C101:C121)</f>
        <v>0.98804647397158474</v>
      </c>
    </row>
    <row r="122" spans="1:4" x14ac:dyDescent="0.25">
      <c r="A122" s="7">
        <v>21</v>
      </c>
      <c r="B122" s="7">
        <v>10.5</v>
      </c>
      <c r="C122" s="13" cm="1">
        <f t="array" ref="C122">INDEX(_xll.ACT_PANJER_NEGBIN(B97, B98, C14:C33, B39), 22)</f>
        <v>2.3474524447899998E-3</v>
      </c>
      <c r="D122" s="13">
        <f>SUM(C101:C122)</f>
        <v>0.99039392641637469</v>
      </c>
    </row>
    <row r="123" spans="1:4" x14ac:dyDescent="0.25">
      <c r="A123" s="7">
        <v>22</v>
      </c>
      <c r="B123" s="7">
        <v>11</v>
      </c>
      <c r="C123" s="13" cm="1">
        <f t="array" ref="C123">INDEX(_xll.ACT_PANJER_NEGBIN(B97, B98, C14:C33, B39), 23)</f>
        <v>1.888965372160789E-3</v>
      </c>
      <c r="D123" s="13">
        <f>SUM(C101:C123)</f>
        <v>0.99228289178853546</v>
      </c>
    </row>
    <row r="124" spans="1:4" x14ac:dyDescent="0.25">
      <c r="A124" s="7">
        <v>23</v>
      </c>
      <c r="B124" s="7">
        <v>11.5</v>
      </c>
      <c r="C124" s="13" cm="1">
        <f t="array" ref="C124">INDEX(_xll.ACT_PANJER_NEGBIN(B97, B98, C14:C33, B39), 24)</f>
        <v>1.518265162399259E-3</v>
      </c>
      <c r="D124" s="13">
        <f>SUM(C101:C124)</f>
        <v>0.99380115695093474</v>
      </c>
    </row>
    <row r="125" spans="1:4" x14ac:dyDescent="0.25">
      <c r="A125" s="7">
        <v>24</v>
      </c>
      <c r="B125" s="7">
        <v>12</v>
      </c>
      <c r="C125" s="13" cm="1">
        <f t="array" ref="C125">INDEX(_xll.ACT_PANJER_NEGBIN(B97, B98, C14:C33, B39), 25)</f>
        <v>1.2189900711756382E-3</v>
      </c>
      <c r="D125" s="13">
        <f>SUM(C101:C125)</f>
        <v>0.99502014702211039</v>
      </c>
    </row>
    <row r="126" spans="1:4" x14ac:dyDescent="0.25">
      <c r="A126" s="7">
        <v>25</v>
      </c>
      <c r="B126" s="7">
        <v>12.5</v>
      </c>
      <c r="C126" s="13" cm="1">
        <f t="array" ref="C126">INDEX(_xll.ACT_PANJER_NEGBIN(B97, B98, C14:C33, B39), 26)</f>
        <v>9.777122153521113E-4</v>
      </c>
      <c r="D126" s="13">
        <f>SUM(C101:C126)</f>
        <v>0.99599785923746254</v>
      </c>
    </row>
    <row r="127" spans="1:4" x14ac:dyDescent="0.25">
      <c r="A127" s="7">
        <v>26</v>
      </c>
      <c r="B127" s="7">
        <v>13</v>
      </c>
      <c r="C127" s="13" cm="1">
        <f t="array" ref="C127">INDEX(_xll.ACT_PANJER_NEGBIN(B97, B98, C14:C33, B39), 27)</f>
        <v>7.8344224155349159E-4</v>
      </c>
      <c r="D127" s="13">
        <f>SUM(C101:C127)</f>
        <v>0.996781301479016</v>
      </c>
    </row>
    <row r="128" spans="1:4" x14ac:dyDescent="0.25">
      <c r="A128" s="7">
        <v>27</v>
      </c>
      <c r="B128" s="7">
        <v>13.5</v>
      </c>
      <c r="C128" s="13" cm="1">
        <f t="array" ref="C128">INDEX(_xll.ACT_PANJER_NEGBIN(B97, B98, C14:C33, B39), 28)</f>
        <v>6.2720912642613962E-4</v>
      </c>
      <c r="D128" s="13">
        <f>SUM(C101:C128)</f>
        <v>0.99740851060544211</v>
      </c>
    </row>
    <row r="129" spans="1:4" x14ac:dyDescent="0.25">
      <c r="A129" s="7">
        <v>28</v>
      </c>
      <c r="B129" s="7">
        <v>14</v>
      </c>
      <c r="C129" s="13" cm="1">
        <f t="array" ref="C129">INDEX(_xll.ACT_PANJER_NEGBIN(B97, B98, C14:C33, B39), 29)</f>
        <v>5.0170620632073414E-4</v>
      </c>
      <c r="D129" s="13">
        <f>SUM(C101:C129)</f>
        <v>0.99791021681176284</v>
      </c>
    </row>
    <row r="130" spans="1:4" x14ac:dyDescent="0.25">
      <c r="A130" s="7">
        <v>29</v>
      </c>
      <c r="B130" s="7">
        <v>14.5</v>
      </c>
      <c r="C130" s="13" cm="1">
        <f t="array" ref="C130">INDEX(_xll.ACT_PANJER_NEGBIN(B97, B98, C14:C33, B39), 30)</f>
        <v>4.0099477429033855E-4</v>
      </c>
      <c r="D130" s="13">
        <f>SUM(C101:C130)</f>
        <v>0.99831121158605318</v>
      </c>
    </row>
    <row r="131" spans="1:4" x14ac:dyDescent="0.25">
      <c r="A131" s="7">
        <v>30</v>
      </c>
      <c r="B131" s="7">
        <v>15</v>
      </c>
      <c r="C131" s="13" cm="1">
        <f t="array" ref="C131">INDEX(_xll.ACT_PANJER_NEGBIN(B97, B98, C14:C33, B39), 31)</f>
        <v>3.2025715666727681E-4</v>
      </c>
      <c r="D131" s="13">
        <f>SUM(C101:C131)</f>
        <v>0.99863146874272046</v>
      </c>
    </row>
    <row r="132" spans="1:4" x14ac:dyDescent="0.25">
      <c r="A132" s="7">
        <v>31</v>
      </c>
      <c r="B132" s="7">
        <v>15.5</v>
      </c>
      <c r="C132" s="13" cm="1">
        <f t="array" ref="C132">INDEX(_xll.ACT_PANJER_NEGBIN(B97, B98, C14:C33, B39), 32)</f>
        <v>2.5559192938367511E-4</v>
      </c>
      <c r="D132" s="13">
        <f>SUM(C101:C132)</f>
        <v>0.99888706067210409</v>
      </c>
    </row>
    <row r="133" spans="1:4" x14ac:dyDescent="0.25">
      <c r="A133" s="7">
        <v>32</v>
      </c>
      <c r="B133" s="7">
        <v>16</v>
      </c>
      <c r="C133" s="13" cm="1">
        <f t="array" ref="C133">INDEX(_xll.ACT_PANJER_NEGBIN(B97, B98, C14:C33, B39), 33)</f>
        <v>2.0384474991761394E-4</v>
      </c>
      <c r="D133" s="13">
        <f>SUM(C101:C133)</f>
        <v>0.99909090542202172</v>
      </c>
    </row>
    <row r="134" spans="1:4" x14ac:dyDescent="0.25">
      <c r="A134" s="7">
        <v>33</v>
      </c>
      <c r="B134" s="7">
        <v>16.5</v>
      </c>
      <c r="C134" s="13" cm="1">
        <f t="array" ref="C134">INDEX(_xll.ACT_PANJER_NEGBIN(B97, B98, C14:C33, B39), 34)</f>
        <v>1.6246909702914198E-4</v>
      </c>
      <c r="D134" s="13">
        <f>SUM(C101:C134)</f>
        <v>0.99925337451905083</v>
      </c>
    </row>
    <row r="135" spans="1:4" x14ac:dyDescent="0.25">
      <c r="A135" s="7">
        <v>34</v>
      </c>
      <c r="B135" s="7">
        <v>17</v>
      </c>
      <c r="C135" s="13" cm="1">
        <f t="array" ref="C135">INDEX(_xll.ACT_PANJER_NEGBIN(B97, B98, C14:C33, B39), 35)</f>
        <v>1.2941198662552961E-4</v>
      </c>
      <c r="D135" s="13">
        <f>SUM(C101:C135)</f>
        <v>0.99938278650567636</v>
      </c>
    </row>
    <row r="136" spans="1:4" x14ac:dyDescent="0.25">
      <c r="A136" s="7">
        <v>35</v>
      </c>
      <c r="B136" s="7">
        <v>17.5</v>
      </c>
      <c r="C136" s="13" cm="1">
        <f t="array" ref="C136">INDEX(_xll.ACT_PANJER_NEGBIN(B97, B98, C14:C33, B39), 36)</f>
        <v>1.0302044556929937E-4</v>
      </c>
      <c r="D136" s="13">
        <f>SUM(C101:C136)</f>
        <v>0.99948580695124567</v>
      </c>
    </row>
    <row r="137" spans="1:4" x14ac:dyDescent="0.25">
      <c r="A137" s="7">
        <v>36</v>
      </c>
      <c r="B137" s="7">
        <v>18</v>
      </c>
      <c r="C137" s="13" cm="1">
        <f t="array" ref="C137">INDEX(_xll.ACT_PANJER_NEGBIN(B97, B98, C14:C33, B39), 37)</f>
        <v>8.1965165467692505E-5</v>
      </c>
      <c r="D137" s="13">
        <f>SUM(C101:C137)</f>
        <v>0.99956777211671333</v>
      </c>
    </row>
    <row r="138" spans="1:4" x14ac:dyDescent="0.25">
      <c r="A138" s="7">
        <v>37</v>
      </c>
      <c r="B138" s="7">
        <v>18.5</v>
      </c>
      <c r="C138" s="13" cm="1">
        <f t="array" ref="C138">INDEX(_xll.ACT_PANJER_NEGBIN(B97, B98, C14:C33, B39), 38)</f>
        <v>6.5178322713006537E-5</v>
      </c>
      <c r="D138" s="13">
        <f>SUM(C101:C138)</f>
        <v>0.99963295043942635</v>
      </c>
    </row>
    <row r="139" spans="1:4" x14ac:dyDescent="0.25">
      <c r="A139" s="7">
        <v>38</v>
      </c>
      <c r="B139" s="7">
        <v>19</v>
      </c>
      <c r="C139" s="13" cm="1">
        <f t="array" ref="C139">INDEX(_xll.ACT_PANJER_NEGBIN(B97, B98, C14:C33, B39), 39)</f>
        <v>5.1803041386199872E-5</v>
      </c>
      <c r="D139" s="13">
        <f>SUM(C101:C139)</f>
        <v>0.99968475348081254</v>
      </c>
    </row>
    <row r="140" spans="1:4" x14ac:dyDescent="0.25">
      <c r="A140" s="7">
        <v>39</v>
      </c>
      <c r="B140" s="7">
        <v>19.5</v>
      </c>
      <c r="C140" s="13" cm="1">
        <f t="array" ref="C140">INDEX(_xll.ACT_PANJER_NEGBIN(B97, B98, C14:C33, B39), 40)</f>
        <v>4.1152397025731012E-5</v>
      </c>
      <c r="D140" s="13">
        <f>SUM(C101:C140)</f>
        <v>0.99972590587783827</v>
      </c>
    </row>
    <row r="141" spans="1:4" x14ac:dyDescent="0.25">
      <c r="A141" s="7">
        <v>40</v>
      </c>
      <c r="B141" s="7">
        <v>20</v>
      </c>
      <c r="C141" s="13" cm="1">
        <f t="array" ref="C141">INDEX(_xll.ACT_PANJER_NEGBIN(B97, B98, C14:C33, B39), 41)</f>
        <v>3.2676375747887012E-5</v>
      </c>
      <c r="D141" s="13">
        <f>SUM(C101:C141)</f>
        <v>0.99975858225358616</v>
      </c>
    </row>
    <row r="143" spans="1:4" x14ac:dyDescent="0.25">
      <c r="A143" s="5" t="s">
        <v>615</v>
      </c>
    </row>
    <row r="144" spans="1:4" x14ac:dyDescent="0.25">
      <c r="A144" s="6" t="s">
        <v>538</v>
      </c>
      <c r="B144" s="6" t="s">
        <v>599</v>
      </c>
      <c r="C144" s="6" t="s">
        <v>382</v>
      </c>
    </row>
    <row r="145" spans="1:3" x14ac:dyDescent="0.25">
      <c r="A145" s="3" t="s">
        <v>163</v>
      </c>
      <c r="B145" s="14">
        <f>_xll.ACT_AGGREGATE_MEAN(C101:C141, B10)</f>
        <v>1.9749200654232155</v>
      </c>
      <c r="C145" s="15" t="s">
        <v>616</v>
      </c>
    </row>
    <row r="146" spans="1:3" x14ac:dyDescent="0.25">
      <c r="A146" s="3" t="s">
        <v>602</v>
      </c>
      <c r="B146" s="14">
        <f>_xll.ACT_AGGREGATE_STDEV(C101:C141, B10)</f>
        <v>2.4352944907961032</v>
      </c>
      <c r="C146" s="15"/>
    </row>
    <row r="147" spans="1:3" x14ac:dyDescent="0.25">
      <c r="A147" s="3" t="s">
        <v>606</v>
      </c>
      <c r="B147" s="14">
        <f>_xll.ACT_AGGREGATE_VAR(0.95, C101:C141, B10)</f>
        <v>7</v>
      </c>
      <c r="C147" s="15"/>
    </row>
    <row r="148" spans="1:3" x14ac:dyDescent="0.25">
      <c r="A148" s="3" t="s">
        <v>607</v>
      </c>
      <c r="B148" s="14">
        <f>_xll.ACT_AGGREGATE_TVAR(0.95, C101:C141, B10)</f>
        <v>9.0306502444531542</v>
      </c>
      <c r="C148" s="15"/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1"/>
  <sheetViews>
    <sheetView workbookViewId="0"/>
  </sheetViews>
  <sheetFormatPr defaultRowHeight="15" x14ac:dyDescent="0.25"/>
  <cols>
    <col min="1" max="2" width="18" customWidth="1"/>
    <col min="3" max="3" width="20" customWidth="1"/>
    <col min="4" max="4" width="30" customWidth="1"/>
    <col min="5" max="5" width="5" customWidth="1"/>
  </cols>
  <sheetData>
    <row r="1" spans="1:4" ht="18.75" x14ac:dyDescent="0.3">
      <c r="A1" s="1" t="s">
        <v>272</v>
      </c>
    </row>
    <row r="3" spans="1:4" x14ac:dyDescent="0.25">
      <c r="A3" s="5" t="s">
        <v>617</v>
      </c>
    </row>
    <row r="5" spans="1:4" x14ac:dyDescent="0.25">
      <c r="A5" s="5" t="s">
        <v>618</v>
      </c>
    </row>
    <row r="6" spans="1:4" x14ac:dyDescent="0.25">
      <c r="A6" s="6" t="s">
        <v>481</v>
      </c>
      <c r="B6" s="6" t="s">
        <v>482</v>
      </c>
    </row>
    <row r="7" spans="1:4" x14ac:dyDescent="0.25">
      <c r="A7" s="3">
        <v>10</v>
      </c>
      <c r="B7" s="8">
        <v>100000</v>
      </c>
    </row>
    <row r="8" spans="1:4" x14ac:dyDescent="0.25">
      <c r="A8" s="3">
        <v>25</v>
      </c>
      <c r="B8" s="8">
        <v>250000</v>
      </c>
    </row>
    <row r="9" spans="1:4" x14ac:dyDescent="0.25">
      <c r="A9" s="3">
        <v>50</v>
      </c>
      <c r="B9" s="8">
        <v>500000</v>
      </c>
    </row>
    <row r="10" spans="1:4" x14ac:dyDescent="0.25">
      <c r="A10" s="3">
        <v>100</v>
      </c>
      <c r="B10" s="8">
        <v>1000000</v>
      </c>
    </row>
    <row r="11" spans="1:4" x14ac:dyDescent="0.25">
      <c r="A11" s="3">
        <v>250</v>
      </c>
      <c r="B11" s="8">
        <v>2500000</v>
      </c>
    </row>
    <row r="13" spans="1:4" x14ac:dyDescent="0.25">
      <c r="A13" s="5" t="s">
        <v>619</v>
      </c>
    </row>
    <row r="14" spans="1:4" x14ac:dyDescent="0.25">
      <c r="A14" s="6" t="s">
        <v>620</v>
      </c>
      <c r="B14" s="6" t="s">
        <v>621</v>
      </c>
      <c r="C14" s="6" t="s">
        <v>622</v>
      </c>
      <c r="D14" s="6" t="s">
        <v>382</v>
      </c>
    </row>
    <row r="15" spans="1:4" x14ac:dyDescent="0.25">
      <c r="A15" s="3">
        <v>20</v>
      </c>
      <c r="B15" s="8">
        <f>_xll.ACT_RETURN_PERIOD_LOSS(A7:A11, B7:B11, A15, "LOG")</f>
        <v>213470.6196049045</v>
      </c>
      <c r="C15" s="8">
        <f>_xll.ACT_RETURN_PERIOD_LOSS(A7:A11, B7:B11, A15, "LINEAR")</f>
        <v>200000</v>
      </c>
      <c r="D15" s="3" t="s">
        <v>623</v>
      </c>
    </row>
    <row r="16" spans="1:4" x14ac:dyDescent="0.25">
      <c r="A16" s="3">
        <v>75</v>
      </c>
      <c r="B16" s="8">
        <f>_xll.ACT_RETURN_PERIOD_LOSS(A7:A11, B7:B11, A16, "LOG")</f>
        <v>792481.25036057772</v>
      </c>
      <c r="C16" s="8">
        <f>_xll.ACT_RETURN_PERIOD_LOSS(A7:A11, B7:B11, A16, "LINEAR")</f>
        <v>750000</v>
      </c>
      <c r="D16" s="3" t="s">
        <v>623</v>
      </c>
    </row>
    <row r="17" spans="1:4" x14ac:dyDescent="0.25">
      <c r="A17" s="3">
        <v>150</v>
      </c>
      <c r="B17" s="8">
        <f>_xll.ACT_RETURN_PERIOD_LOSS(A7:A11, B7:B11, A17, "LOG")</f>
        <v>1663760.5740246396</v>
      </c>
      <c r="C17" s="8">
        <f>_xll.ACT_RETURN_PERIOD_LOSS(A7:A11, B7:B11, A17, "LINEAR")</f>
        <v>1500000</v>
      </c>
      <c r="D17" s="3" t="s">
        <v>623</v>
      </c>
    </row>
    <row r="18" spans="1:4" x14ac:dyDescent="0.25">
      <c r="A18" s="3">
        <v>200</v>
      </c>
      <c r="B18" s="8">
        <f>_xll.ACT_RETURN_PERIOD_LOSS(A7:A11, B7:B11, A18, "LOG")</f>
        <v>2134706.1960490448</v>
      </c>
      <c r="C18" s="8">
        <f>_xll.ACT_RETURN_PERIOD_LOSS(A7:A11, B7:B11, A18, "LINEAR")</f>
        <v>2000000</v>
      </c>
      <c r="D18" s="3" t="s">
        <v>623</v>
      </c>
    </row>
    <row r="20" spans="1:4" x14ac:dyDescent="0.25">
      <c r="A20" s="5" t="s">
        <v>624</v>
      </c>
    </row>
    <row r="21" spans="1:4" x14ac:dyDescent="0.25">
      <c r="A21" s="2" t="s">
        <v>625</v>
      </c>
      <c r="B21" s="16">
        <f>_xll.ACT_AAL_FROM_OEP(A7:A11, B7:B11)</f>
        <v>46000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Versions</vt:lpstr>
      <vt:lpstr>All Functions Test</vt:lpstr>
      <vt:lpstr>Distributions</vt:lpstr>
      <vt:lpstr>Exposure Curves</vt:lpstr>
      <vt:lpstr>Reinsurance</vt:lpstr>
      <vt:lpstr>Cat Modeling</vt:lpstr>
      <vt:lpstr>Interpolation</vt:lpstr>
      <vt:lpstr>Chain Ladder</vt:lpstr>
      <vt:lpstr>Copulas</vt:lpstr>
      <vt:lpstr>Aggregate Claims</vt:lpstr>
      <vt:lpstr>Return 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Evans</cp:lastModifiedBy>
  <dcterms:created xsi:type="dcterms:W3CDTF">2026-05-05T10:01:56Z</dcterms:created>
  <dcterms:modified xsi:type="dcterms:W3CDTF">2026-05-05T10:02:14Z</dcterms:modified>
</cp:coreProperties>
</file>