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Versions" sheetId="1" state="visible" r:id="rId1"/>
    <sheet name="All Functions Test" sheetId="2" state="visible" r:id="rId2"/>
    <sheet name="Distributions" sheetId="3" state="visible" r:id="rId3"/>
    <sheet name="Exposure Curves" sheetId="4" state="visible" r:id="rId4"/>
    <sheet name="Reinsurance" sheetId="5" state="visible" r:id="rId5"/>
    <sheet name="Cat Modeling" sheetId="6" state="visible" r:id="rId6"/>
    <sheet name="Interpolation" sheetId="7" state="visible" r:id="rId7"/>
    <sheet name="Chain Ladder" sheetId="8" state="visible" r:id="rId8"/>
    <sheet name="Copulas" sheetId="9" state="visible" r:id="rId9"/>
    <sheet name="Aggregate Claims" sheetId="10" state="visible" r:id="rId10"/>
    <sheet name="Return Period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color rgb="FF666666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0" fontId="4" fillId="2" borderId="1" pivotButton="0" quotePrefix="0" xfId="0"/>
    <xf numFmtId="4" fontId="0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9" fontId="0" fillId="0" borderId="1" pivotButton="0" quotePrefix="0" xfId="0"/>
    <xf numFmtId="164" fontId="0" fillId="0" borderId="1" applyAlignment="1" pivotButton="0" quotePrefix="0" xfId="0">
      <alignment horizontal="center"/>
    </xf>
    <xf numFmtId="165" fontId="0" fillId="0" borderId="1" pivotButton="0" quotePrefix="0" xfId="0"/>
    <xf numFmtId="0" fontId="5" fillId="0" borderId="1" pivotButton="0" quotePrefix="0" xfId="0"/>
    <xf numFmtId="3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Normal PDF (μ=0, σ=1)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Distributions!$A$7:$A$15</f>
              <numCache>
                <formatCode>General</formatCode>
                <ptCount val="9"/>
                <pt idx="0">
                  <v>-3</v>
                </pt>
                <pt idx="1">
                  <v>-2</v>
                </pt>
                <pt idx="2">
                  <v>-1</v>
                </pt>
                <pt idx="3">
                  <v>-0.5</v>
                </pt>
                <pt idx="4">
                  <v>0</v>
                </pt>
                <pt idx="5">
                  <v>0.5</v>
                </pt>
                <pt idx="6">
                  <v>1</v>
                </pt>
                <pt idx="7">
                  <v>2</v>
                </pt>
                <pt idx="8">
                  <v>3</v>
                </pt>
              </numCache>
            </numRef>
          </xVal>
          <yVal>
            <numRef>
              <f>Distributions!$B$7:$B$15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Poisson PMF (λ=5)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Distributions!$A$22:$A$32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xVal>
          <yVal>
            <numRef>
              <f>Distributions!$B$22:$B$32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k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P(X=k)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Negative Binomial PMF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Distributions!$A$37:$A$48</f>
              <numCache>
                <formatCode>General</formatCode>
                <ptCount val="12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</numCache>
            </numRef>
          </xVal>
          <yVal>
            <numRef>
              <f>Distributions!$B$37:$B$48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k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P(X=k)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Lognormal PDF (μ=0, σ=1)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Distributions!$A$52:$A$61</f>
              <numCache>
                <formatCode>General</formatCode>
                <ptCount val="10"/>
                <pt idx="0">
                  <v>0.1</v>
                </pt>
                <pt idx="1">
                  <v>0.25</v>
                </pt>
                <pt idx="2">
                  <v>0.5</v>
                </pt>
                <pt idx="3">
                  <v>0.75</v>
                </pt>
                <pt idx="4">
                  <v>1</v>
                </pt>
                <pt idx="5">
                  <v>1.5</v>
                </pt>
                <pt idx="6">
                  <v>2</v>
                </pt>
                <pt idx="7">
                  <v>3</v>
                </pt>
                <pt idx="8">
                  <v>4</v>
                </pt>
                <pt idx="9">
                  <v>5</v>
                </pt>
              </numCache>
            </numRef>
          </xVal>
          <yVal>
            <numRef>
              <f>Distributions!$B$52:$B$61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Gamma PDF (α=2, β=1)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Distributions!$A$67:$A$75</f>
              <numCache>
                <formatCode>General</formatCode>
                <ptCount val="9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3</v>
                </pt>
                <pt idx="6">
                  <v>4</v>
                </pt>
                <pt idx="7">
                  <v>5</v>
                </pt>
                <pt idx="8">
                  <v>6</v>
                </pt>
              </numCache>
            </numRef>
          </xVal>
          <yVal>
            <numRef>
              <f>Distributions!$B$67:$B$75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Exponential PDF (λ=1)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Distributions!$A$82:$A$90</f>
              <numCache>
                <formatCode>General</formatCode>
                <ptCount val="9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2.5</v>
                </pt>
                <pt idx="6">
                  <v>3</v>
                </pt>
                <pt idx="7">
                  <v>4</v>
                </pt>
                <pt idx="8">
                  <v>5</v>
                </pt>
              </numCache>
            </numRef>
          </xVal>
          <yVal>
            <numRef>
              <f>Distributions!$B$82:$B$90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Weibull PDF (k=2, λ=1)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Distributions!$A$97:$A$105</f>
              <numCache>
                <formatCode>General</formatCode>
                <ptCount val="9"/>
                <pt idx="0">
                  <v>0</v>
                </pt>
                <pt idx="1">
                  <v>0.25</v>
                </pt>
                <pt idx="2">
                  <v>0.5</v>
                </pt>
                <pt idx="3">
                  <v>0.75</v>
                </pt>
                <pt idx="4">
                  <v>1</v>
                </pt>
                <pt idx="5">
                  <v>1.5</v>
                </pt>
                <pt idx="6">
                  <v>2</v>
                </pt>
                <pt idx="7">
                  <v>2.5</v>
                </pt>
                <pt idx="8">
                  <v>3</v>
                </pt>
              </numCache>
            </numRef>
          </xVal>
          <yVal>
            <numRef>
              <f>Distributions!$B$97:$B$105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Beta PDF (α=2, β=5)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Distributions!$A$112:$A$122</f>
              <numCache>
                <formatCode>General</formatCode>
                <ptCount val="11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0.3</v>
                </pt>
                <pt idx="4">
                  <v>0.4</v>
                </pt>
                <pt idx="5">
                  <v>0.5</v>
                </pt>
                <pt idx="6">
                  <v>0.6</v>
                </pt>
                <pt idx="7">
                  <v>0.7</v>
                </pt>
                <pt idx="8">
                  <v>0.8</v>
                </pt>
                <pt idx="9">
                  <v>0.9</v>
                </pt>
                <pt idx="10">
                  <v>1</v>
                </pt>
              </numCache>
            </numRef>
          </xVal>
          <yVal>
            <numRef>
              <f>Distributions!$B$112:$B$122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Pareto I PDF (α=2, xm=1)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Distributions!$A$127:$A$134</f>
              <numCache>
                <formatCode>General</formatCode>
                <ptCount val="8"/>
                <pt idx="0">
                  <v>1</v>
                </pt>
                <pt idx="1">
                  <v>1.5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7</v>
                </pt>
                <pt idx="7">
                  <v>10</v>
                </pt>
              </numCache>
            </numRef>
          </xVal>
          <yVal>
            <numRef>
              <f>Distributions!$B$127:$B$134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Lomax PDF (α=2, λ=1)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Distributions!$A$142:$A$150</f>
              <numCache>
                <formatCode>General</formatCode>
                <ptCount val="9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2</v>
                </pt>
                <pt idx="4">
                  <v>3</v>
                </pt>
                <pt idx="5">
                  <v>4</v>
                </pt>
                <pt idx="6">
                  <v>5</v>
                </pt>
                <pt idx="7">
                  <v>7</v>
                </pt>
                <pt idx="8">
                  <v>10</v>
                </pt>
              </numCache>
            </numRef>
          </xVal>
          <yVal>
            <numRef>
              <f>Distributions!$B$142:$B$150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GPD PDF (ξ=0.5, σ=1)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Distributions!$A$157:$A$165</f>
              <numCache>
                <formatCode>General</formatCode>
                <ptCount val="9"/>
                <pt idx="0">
                  <v>0</v>
                </pt>
                <pt idx="1">
                  <v>0.25</v>
                </pt>
                <pt idx="2">
                  <v>0.5</v>
                </pt>
                <pt idx="3">
                  <v>1</v>
                </pt>
                <pt idx="4">
                  <v>1.5</v>
                </pt>
                <pt idx="5">
                  <v>2</v>
                </pt>
                <pt idx="6">
                  <v>3</v>
                </pt>
                <pt idx="7">
                  <v>4</v>
                </pt>
                <pt idx="8">
                  <v>5</v>
                </pt>
              </numCache>
            </numRef>
          </xVal>
          <yVal>
            <numRef>
              <f>Distributions!$B$157:$B$165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Burr XII PDF (c=2, k=1, λ=1)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Distributions!$A$172:$A$180</f>
              <numCache>
                <formatCode>General</formatCode>
                <ptCount val="9"/>
                <pt idx="0">
                  <v>0</v>
                </pt>
                <pt idx="1">
                  <v>0.25</v>
                </pt>
                <pt idx="2">
                  <v>0.5</v>
                </pt>
                <pt idx="3">
                  <v>1</v>
                </pt>
                <pt idx="4">
                  <v>1.5</v>
                </pt>
                <pt idx="5">
                  <v>2</v>
                </pt>
                <pt idx="6">
                  <v>3</v>
                </pt>
                <pt idx="7">
                  <v>4</v>
                </pt>
                <pt idx="8">
                  <v>5</v>
                </pt>
              </numCache>
            </numRef>
          </xVal>
          <yVal>
            <numRef>
              <f>Distributions!$B$172:$B$180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Inverse Gaussian PDF (μ=2, λ=3)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Distributions!$A$187:$A$195</f>
              <numCache>
                <formatCode>General</formatCode>
                <ptCount val="9"/>
                <pt idx="0">
                  <v>0.25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2.5</v>
                </pt>
                <pt idx="6">
                  <v>3</v>
                </pt>
                <pt idx="7">
                  <v>4</v>
                </pt>
                <pt idx="8">
                  <v>5</v>
                </pt>
              </numCache>
            </numRef>
          </xVal>
          <yVal>
            <numRef>
              <f>Distributions!$B$187:$B$195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Loglogistic PDF (α=2, β=3)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Distributions!$A$202:$A$210</f>
              <numCache>
                <formatCode>General</formatCode>
                <ptCount val="9"/>
                <pt idx="0">
                  <v>0.25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3</v>
                </pt>
                <pt idx="6">
                  <v>4</v>
                </pt>
                <pt idx="7">
                  <v>5</v>
                </pt>
                <pt idx="8">
                  <v>7</v>
                </pt>
              </numCache>
            </numRef>
          </xVal>
          <yVal>
            <numRef>
              <f>Distributions!$B$202:$B$210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ZT Poisson PMF (λ=5)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Distributions!$A$217:$A$226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xVal>
          <yVal>
            <numRef>
              <f>Distributions!$B$217:$B$226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10"/>
          <min val="1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k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P(X=k)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ZT NegBin PMF (r=5, p=0.3)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Distributions!$A$232:$A$241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5</v>
                </pt>
                <pt idx="4">
                  <v>7</v>
                </pt>
                <pt idx="5">
                  <v>10</v>
                </pt>
                <pt idx="6">
                  <v>15</v>
                </pt>
                <pt idx="7">
                  <v>20</v>
                </pt>
                <pt idx="8">
                  <v>25</v>
                </pt>
                <pt idx="9">
                  <v>30</v>
                </pt>
              </numCache>
            </numRef>
          </xVal>
          <yVal>
            <numRef>
              <f>Distributions!$B$232:$B$241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30"/>
          <min val="1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k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P(X=k)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ZT Binomial PMF (n=10, p=0.3)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Distributions!$A$247:$A$256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xVal>
          <yVal>
            <numRef>
              <f>Distributions!$B$247:$B$256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10"/>
          <min val="1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k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P(X=k)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ZT Geometric PMF (p=0.3)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Distributions!$A$262:$A$271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xVal>
          <yVal>
            <numRef>
              <f>Distributions!$B$262:$B$271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10"/>
          <min val="1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k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P(X=k)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ZM Poisson PMF (λ=5, p0=0.2)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Distributions!$A$277:$A$287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xVal>
          <yVal>
            <numRef>
              <f>Distributions!$B$277:$B$287</f>
              <numCache>
                <formatCode>General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k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P(X=k)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ZM NegBin PMF (r=5, p=0.3, p0=0.2)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Distributions!$A$292:$A$301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5</v>
                </pt>
                <pt idx="5">
                  <v>7</v>
                </pt>
                <pt idx="6">
                  <v>10</v>
                </pt>
                <pt idx="7">
                  <v>15</v>
                </pt>
                <pt idx="8">
                  <v>20</v>
                </pt>
                <pt idx="9">
                  <v>25</v>
                </pt>
              </numCache>
            </numRef>
          </xVal>
          <yVal>
            <numRef>
              <f>Distributions!$B$292:$B$301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25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k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P(X=k)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Pareto III PDF (μ=1, σ=2, γ=3)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Distributions!$A$307:$A$315</f>
              <numCache>
                <formatCode>General</formatCode>
                <ptCount val="9"/>
                <pt idx="0">
                  <v>1</v>
                </pt>
                <pt idx="1">
                  <v>1.5</v>
                </pt>
                <pt idx="2">
                  <v>2</v>
                </pt>
                <pt idx="3">
                  <v>2.5</v>
                </pt>
                <pt idx="4">
                  <v>3</v>
                </pt>
                <pt idx="5">
                  <v>4</v>
                </pt>
                <pt idx="6">
                  <v>5</v>
                </pt>
                <pt idx="7">
                  <v>7</v>
                </pt>
                <pt idx="8">
                  <v>10</v>
                </pt>
              </numCache>
            </numRef>
          </xVal>
          <yVal>
            <numRef>
              <f>Distributions!$B$307:$B$315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10"/>
          <min val="1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Pareto IV PDF (4-param)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Distributions!$A$322:$A$329</f>
              <numCache>
                <formatCode>General</formatCode>
                <ptCount val="8"/>
                <pt idx="0">
                  <v>0.1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3</v>
                </pt>
                <pt idx="6">
                  <v>4</v>
                </pt>
                <pt idx="7">
                  <v>5</v>
                </pt>
              </numCache>
            </numRef>
          </xVal>
          <yVal>
            <numRef>
              <f>Distributions!$B$322:$B$329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5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Lognormal-Pareto PDF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Distributions!$A$337:$A$346</f>
              <numCache>
                <formatCode>General</formatCode>
                <ptCount val="10"/>
                <pt idx="0">
                  <v>0.1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3</v>
                </pt>
                <pt idx="6">
                  <v>4</v>
                </pt>
                <pt idx="7">
                  <v>5</v>
                </pt>
                <pt idx="8">
                  <v>7</v>
                </pt>
                <pt idx="9">
                  <v>10</v>
                </pt>
              </numCache>
            </numRef>
          </xVal>
          <yVal>
            <numRef>
              <f>Distributions!$B$337:$B$346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Exponential-Pareto PDF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Distributions!$A$352:$A$361</f>
              <numCache>
                <formatCode>General</formatCode>
                <ptCount val="10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3</v>
                </pt>
                <pt idx="6">
                  <v>4</v>
                </pt>
                <pt idx="7">
                  <v>5</v>
                </pt>
                <pt idx="8">
                  <v>7</v>
                </pt>
                <pt idx="9">
                  <v>10</v>
                </pt>
              </numCache>
            </numRef>
          </xVal>
          <yVal>
            <numRef>
              <f>Distributions!$B$352:$B$361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Power-Pareto PDF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Distributions!$A$367:$A$376</f>
              <numCache>
                <formatCode>General</formatCode>
                <ptCount val="10"/>
                <pt idx="0">
                  <v>0</v>
                </pt>
                <pt idx="1">
                  <v>0.25</v>
                </pt>
                <pt idx="2">
                  <v>0.5</v>
                </pt>
                <pt idx="3">
                  <v>0.75</v>
                </pt>
                <pt idx="4">
                  <v>1</v>
                </pt>
                <pt idx="5">
                  <v>1.5</v>
                </pt>
                <pt idx="6">
                  <v>2</v>
                </pt>
                <pt idx="7">
                  <v>3</v>
                </pt>
                <pt idx="8">
                  <v>4</v>
                </pt>
                <pt idx="9">
                  <v>5</v>
                </pt>
              </numCache>
            </numRef>
          </xVal>
          <yVal>
            <numRef>
              <f>Distributions!$B$367:$B$376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f(x)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Swiss Re Exposure Curves Comparison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Curve 1</v>
          </tx>
          <spPr>
            <a:ln w="2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'Exposure Curves'!$A$21:$A$31</f>
              <numCache>
                <formatCode>General</formatCode>
                <ptCount val="11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0.3</v>
                </pt>
                <pt idx="4">
                  <v>0.4</v>
                </pt>
                <pt idx="5">
                  <v>0.5</v>
                </pt>
                <pt idx="6">
                  <v>0.6</v>
                </pt>
                <pt idx="7">
                  <v>0.7</v>
                </pt>
                <pt idx="8">
                  <v>0.8</v>
                </pt>
                <pt idx="9">
                  <v>0.9</v>
                </pt>
                <pt idx="10">
                  <v>1</v>
                </pt>
              </numCache>
            </numRef>
          </xVal>
          <yVal>
            <numRef>
              <f>'Exposure Curves'!$B$20:$B$31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yVal>
          <smooth val="1"/>
        </ser>
        <ser>
          <idx val="1"/>
          <order val="1"/>
          <tx>
            <v>Curve 2</v>
          </tx>
          <spPr>
            <a:ln w="2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'Exposure Curves'!$A$21:$A$31</f>
              <numCache>
                <formatCode>General</formatCode>
                <ptCount val="11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0.3</v>
                </pt>
                <pt idx="4">
                  <v>0.4</v>
                </pt>
                <pt idx="5">
                  <v>0.5</v>
                </pt>
                <pt idx="6">
                  <v>0.6</v>
                </pt>
                <pt idx="7">
                  <v>0.7</v>
                </pt>
                <pt idx="8">
                  <v>0.8</v>
                </pt>
                <pt idx="9">
                  <v>0.9</v>
                </pt>
                <pt idx="10">
                  <v>1</v>
                </pt>
              </numCache>
            </numRef>
          </xVal>
          <yVal>
            <numRef>
              <f>'Exposure Curves'!$C$20:$C$31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yVal>
          <smooth val="1"/>
        </ser>
        <ser>
          <idx val="2"/>
          <order val="2"/>
          <tx>
            <v>Curve 3</v>
          </tx>
          <spPr>
            <a:ln w="2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'Exposure Curves'!$A$21:$A$31</f>
              <numCache>
                <formatCode>General</formatCode>
                <ptCount val="11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0.3</v>
                </pt>
                <pt idx="4">
                  <v>0.4</v>
                </pt>
                <pt idx="5">
                  <v>0.5</v>
                </pt>
                <pt idx="6">
                  <v>0.6</v>
                </pt>
                <pt idx="7">
                  <v>0.7</v>
                </pt>
                <pt idx="8">
                  <v>0.8</v>
                </pt>
                <pt idx="9">
                  <v>0.9</v>
                </pt>
                <pt idx="10">
                  <v>1</v>
                </pt>
              </numCache>
            </numRef>
          </xVal>
          <yVal>
            <numRef>
              <f>'Exposure Curves'!$D$20:$D$31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yVal>
          <smooth val="1"/>
        </ser>
        <ser>
          <idx val="3"/>
          <order val="3"/>
          <tx>
            <v>Curve 4</v>
          </tx>
          <spPr>
            <a:ln w="2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'Exposure Curves'!$A$21:$A$31</f>
              <numCache>
                <formatCode>General</formatCode>
                <ptCount val="11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0.3</v>
                </pt>
                <pt idx="4">
                  <v>0.4</v>
                </pt>
                <pt idx="5">
                  <v>0.5</v>
                </pt>
                <pt idx="6">
                  <v>0.6</v>
                </pt>
                <pt idx="7">
                  <v>0.7</v>
                </pt>
                <pt idx="8">
                  <v>0.8</v>
                </pt>
                <pt idx="9">
                  <v>0.9</v>
                </pt>
                <pt idx="10">
                  <v>1</v>
                </pt>
              </numCache>
            </numRef>
          </xVal>
          <yVal>
            <numRef>
              <f>'Exposure Curves'!$E$20:$E$31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yVal>
          <smooth val="1"/>
        </ser>
        <ser>
          <idx val="4"/>
          <order val="4"/>
          <tx>
            <v>Curve 5</v>
          </tx>
          <spPr>
            <a:ln w="2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'Exposure Curves'!$A$21:$A$31</f>
              <numCache>
                <formatCode>General</formatCode>
                <ptCount val="11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0.3</v>
                </pt>
                <pt idx="4">
                  <v>0.4</v>
                </pt>
                <pt idx="5">
                  <v>0.5</v>
                </pt>
                <pt idx="6">
                  <v>0.6</v>
                </pt>
                <pt idx="7">
                  <v>0.7</v>
                </pt>
                <pt idx="8">
                  <v>0.8</v>
                </pt>
                <pt idx="9">
                  <v>0.9</v>
                </pt>
                <pt idx="10">
                  <v>1</v>
                </pt>
              </numCache>
            </numRef>
          </xVal>
          <yVal>
            <numRef>
              <f>'Exposure Curves'!$F$20:$F$31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1"/>
          <min val="0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Damage Ratio (d)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20"/>
        <crosses val="autoZero"/>
        <crossBetween val="midCat"/>
      </valAx>
      <valAx>
        <axId val="20"/>
        <scaling>
          <orientation val="minMax"/>
          <max val="1"/>
          <min val="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Loss Ratio G(d)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midCat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Known Data Points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Interpolation!$A$7:$A$11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xVal>
          <yVal>
            <numRef>
              <f>Interpolation!$B$7:$B$11</f>
              <numCache>
                <formatCode>General</formatCode>
                <ptCount val="5"/>
                <pt idx="0">
                  <v>10</v>
                </pt>
                <pt idx="1">
                  <v>20</v>
                </pt>
                <pt idx="2">
                  <v>35</v>
                </pt>
                <pt idx="3">
                  <v>55</v>
                </pt>
                <pt idx="4">
                  <v>80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Y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IBNR by Accident Year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strRef>
              <f>'Chain Ladder'!$D$25</f>
              <strCache>
                <ptCount val="1"/>
                <pt idx="0">
                  <v>IBNR</v>
                </pt>
              </strCache>
            </strRef>
          </tx>
          <spPr>
            <a:ln>
              <a:prstDash val="solid"/>
            </a:ln>
          </spPr>
          <invertIfNegative val="1"/>
          <cat>
            <numRef>
              <f>'Chain Ladder'!$A$26:$A$35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'Chain Ladder'!$D$26:$D$35</f>
              <numCache>
                <formatCode>#,##0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IBNR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low"/>
        <crossAx val="10"/>
        <crosses val="autoZero"/>
        <crossBetween val="between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Ultimate vs Latest by Accident Year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'Chain Ladder'!$B$25</f>
              <strCache>
                <ptCount val="1"/>
                <pt idx="0">
                  <v>Latest Cumulative</v>
                </pt>
              </strCache>
            </strRef>
          </tx>
          <spPr>
            <a:ln>
              <a:prstDash val="solid"/>
            </a:ln>
          </spPr>
          <invertIfNegative val="1"/>
          <cat>
            <numRef>
              <f>'Chain Ladder'!$A$26:$A$35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'Chain Ladder'!$B$26:$B$35</f>
              <numCache>
                <formatCode>#,##0</formatCode>
                <ptCount val="10"/>
                <pt idx="0">
                  <v>3901463</v>
                </pt>
                <pt idx="1">
                  <v>5339085</v>
                </pt>
                <pt idx="2">
                  <v>4909315</v>
                </pt>
                <pt idx="3">
                  <v>4588268</v>
                </pt>
                <pt idx="4">
                  <v>3873311</v>
                </pt>
                <pt idx="5">
                  <v>3691712</v>
                </pt>
                <pt idx="6">
                  <v>3483130</v>
                </pt>
                <pt idx="7">
                  <v>2864498</v>
                </pt>
                <pt idx="8">
                  <v>1363294</v>
                </pt>
                <pt idx="9">
                  <v>344014</v>
                </pt>
              </numCache>
            </numRef>
          </val>
        </ser>
        <ser>
          <idx val="1"/>
          <order val="1"/>
          <tx>
            <strRef>
              <f>'Chain Ladder'!$C$25</f>
              <strCache>
                <ptCount val="1"/>
                <pt idx="0">
                  <v>Ultimate</v>
                </pt>
              </strCache>
            </strRef>
          </tx>
          <spPr>
            <a:ln>
              <a:prstDash val="solid"/>
            </a:ln>
          </spPr>
          <invertIfNegative val="1"/>
          <cat>
            <numRef>
              <f>'Chain Ladder'!$A$26:$A$35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'Chain Ladder'!$C$26:$C$35</f>
              <numCache>
                <formatCode>#,##0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Amount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low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Mack Standard Error by Accident Year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strRef>
              <f>'Chain Ladder'!$B$39</f>
              <strCache>
                <ptCount val="1"/>
                <pt idx="0">
                  <v>Reserve SE</v>
                </pt>
              </strCache>
            </strRef>
          </tx>
          <spPr>
            <a:ln>
              <a:prstDash val="solid"/>
            </a:ln>
          </spPr>
          <invertIfNegative val="1"/>
          <cat>
            <numRef>
              <f>'Chain Ladder'!$A$40:$A$49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'Chain Ladder'!$B$40:$B$49</f>
              <numCache>
                <formatCode>#,##0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Standard Error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low"/>
        <crossAx val="10"/>
        <crosses val="autoZero"/>
        <crossBetween val="between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Student-t Copula Samples: U1 vs U2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prstDash val="solid"/>
              </a:ln>
            </spPr>
          </marker>
          <xVal>
            <numRef>
              <f>Copulas!$B$19:$B$118</f>
              <numCache>
                <formatCode>General</formatCode>
                <ptCount val="10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xVal>
          <yVal>
            <numRef>
              <f>Copulas!$C$19:$C$118</f>
              <numCache>
                <formatCode>General</formatCode>
                <ptCount val="10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U1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U2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Aggregate Claims PMF - Poisson(lambda=2) + Exp(rate=1)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'Aggregate Claims'!$C$41</f>
              <strCache>
                <ptCount val="1"/>
                <pt idx="0">
                  <v>PMF P(S=s*h)</v>
                </pt>
              </strCache>
            </strRef>
          </tx>
          <spPr>
            <a:ln>
              <a:prstDash val="solid"/>
            </a:ln>
          </spPr>
          <invertIfNegative val="1"/>
          <cat>
            <numRef>
              <f>'Aggregate Claims'!$B$42:$B$71</f>
              <numCache>
                <formatCode>General</formatCode>
                <ptCount val="30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2.5</v>
                </pt>
                <pt idx="6">
                  <v>3</v>
                </pt>
                <pt idx="7">
                  <v>3.5</v>
                </pt>
                <pt idx="8">
                  <v>4</v>
                </pt>
                <pt idx="9">
                  <v>4.5</v>
                </pt>
                <pt idx="10">
                  <v>5</v>
                </pt>
                <pt idx="11">
                  <v>5.5</v>
                </pt>
                <pt idx="12">
                  <v>6</v>
                </pt>
                <pt idx="13">
                  <v>6.5</v>
                </pt>
                <pt idx="14">
                  <v>7</v>
                </pt>
                <pt idx="15">
                  <v>7.5</v>
                </pt>
                <pt idx="16">
                  <v>8</v>
                </pt>
                <pt idx="17">
                  <v>8.5</v>
                </pt>
                <pt idx="18">
                  <v>9</v>
                </pt>
                <pt idx="19">
                  <v>9.5</v>
                </pt>
                <pt idx="20">
                  <v>10</v>
                </pt>
                <pt idx="21">
                  <v>10.5</v>
                </pt>
                <pt idx="22">
                  <v>11</v>
                </pt>
                <pt idx="23">
                  <v>11.5</v>
                </pt>
                <pt idx="24">
                  <v>12</v>
                </pt>
                <pt idx="25">
                  <v>12.5</v>
                </pt>
                <pt idx="26">
                  <v>13</v>
                </pt>
                <pt idx="27">
                  <v>13.5</v>
                </pt>
                <pt idx="28">
                  <v>14</v>
                </pt>
                <pt idx="29">
                  <v>14.5</v>
                </pt>
              </numCache>
            </numRef>
          </cat>
          <val>
            <numRef>
              <f>'Aggregate Claims'!$C$42:$C$71</f>
              <numCache>
                <formatCode>0.000000</formatCode>
                <ptCount val="3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t>Aggregate Loss (s * h)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Probability</a:t>
                </a:r>
              </a:p>
            </rich>
          </tx>
          <overlay val="1"/>
        </title>
        <numFmt formatCode="0.000000" sourceLinked="1"/>
        <majorTickMark val="none"/>
        <minorTickMark val="none"/>
        <tickLblPos val="low"/>
        <crossAx val="10"/>
        <crosses val="autoZero"/>
        <crossBetween val="between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Exceedance Probability Curve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'Return Periods'!$A$7:$A$11</f>
              <numCache>
                <formatCode>General</formatCode>
                <ptCount val="5"/>
                <pt idx="0">
                  <v>10</v>
                </pt>
                <pt idx="1">
                  <v>25</v>
                </pt>
                <pt idx="2">
                  <v>50</v>
                </pt>
                <pt idx="3">
                  <v>100</v>
                </pt>
                <pt idx="4">
                  <v>250</v>
                </pt>
              </numCache>
            </numRef>
          </xVal>
          <yVal>
            <numRef>
              <f>'Return Periods'!$B$7:$B$11</f>
              <numCache>
                <formatCode>#,##0</formatCode>
                <ptCount val="5"/>
                <pt idx="0">
                  <v>100000</v>
                </pt>
                <pt idx="1">
                  <v>250000</v>
                </pt>
                <pt idx="2">
                  <v>500000</v>
                </pt>
                <pt idx="3">
                  <v>1000000</v>
                </pt>
                <pt idx="4">
                  <v>2500000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t>Return Period (years)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low"/>
        <crossAx val="20"/>
        <crosses val="autoZero"/>
        <crossBetween val="midCat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OEP Loss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low"/>
        <crossAx val="10"/>
        <crosses val="autoZero"/>
        <crossBetween val="midCat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Relationship Type="http://schemas.openxmlformats.org/officeDocument/2006/relationships/chart" Target="/xl/charts/chart29.xml" Id="rId2" /><Relationship Type="http://schemas.openxmlformats.org/officeDocument/2006/relationships/chart" Target="/xl/charts/chart30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288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288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34</row>
      <rowOff>0</rowOff>
    </from>
    <ext cx="288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2880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64</row>
      <rowOff>0</rowOff>
    </from>
    <ext cx="288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79</row>
      <rowOff>0</rowOff>
    </from>
    <ext cx="288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5</col>
      <colOff>0</colOff>
      <row>94</row>
      <rowOff>0</rowOff>
    </from>
    <ext cx="288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109</row>
      <rowOff>0</rowOff>
    </from>
    <ext cx="288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5</col>
      <colOff>0</colOff>
      <row>124</row>
      <rowOff>0</rowOff>
    </from>
    <ext cx="2880000" cy="21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5</col>
      <colOff>0</colOff>
      <row>139</row>
      <rowOff>0</rowOff>
    </from>
    <ext cx="2880000" cy="21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5</col>
      <colOff>0</colOff>
      <row>154</row>
      <rowOff>0</rowOff>
    </from>
    <ext cx="2880000" cy="21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5</col>
      <colOff>0</colOff>
      <row>169</row>
      <rowOff>0</rowOff>
    </from>
    <ext cx="2880000" cy="21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5</col>
      <colOff>0</colOff>
      <row>184</row>
      <rowOff>0</rowOff>
    </from>
    <ext cx="2880000" cy="21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5</col>
      <colOff>0</colOff>
      <row>199</row>
      <rowOff>0</rowOff>
    </from>
    <ext cx="2880000" cy="21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5</col>
      <colOff>0</colOff>
      <row>214</row>
      <rowOff>0</rowOff>
    </from>
    <ext cx="2880000" cy="21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5</col>
      <colOff>0</colOff>
      <row>229</row>
      <rowOff>0</rowOff>
    </from>
    <ext cx="2880000" cy="21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5</col>
      <colOff>0</colOff>
      <row>244</row>
      <rowOff>0</rowOff>
    </from>
    <ext cx="2880000" cy="216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5</col>
      <colOff>0</colOff>
      <row>259</row>
      <rowOff>0</rowOff>
    </from>
    <ext cx="2880000" cy="21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5</col>
      <colOff>0</colOff>
      <row>274</row>
      <rowOff>0</rowOff>
    </from>
    <ext cx="2880000" cy="21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5</col>
      <colOff>0</colOff>
      <row>289</row>
      <rowOff>0</rowOff>
    </from>
    <ext cx="2880000" cy="216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5</col>
      <colOff>0</colOff>
      <row>304</row>
      <rowOff>0</rowOff>
    </from>
    <ext cx="2880000" cy="21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5</col>
      <colOff>0</colOff>
      <row>319</row>
      <rowOff>0</rowOff>
    </from>
    <ext cx="2880000" cy="21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5</col>
      <colOff>0</colOff>
      <row>334</row>
      <rowOff>0</rowOff>
    </from>
    <ext cx="2880000" cy="216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5</col>
      <colOff>0</colOff>
      <row>349</row>
      <rowOff>0</rowOff>
    </from>
    <ext cx="2880000" cy="216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5</col>
      <colOff>0</colOff>
      <row>364</row>
      <rowOff>0</rowOff>
    </from>
    <ext cx="2880000" cy="21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35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36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tabSelected="1" workbookViewId="0">
      <selection activeCell="B3" sqref="B3"/>
    </sheetView>
  </sheetViews>
  <sheetFormatPr baseColWidth="8" defaultRowHeight="15"/>
  <cols>
    <col width="22" customWidth="1" min="1" max="1"/>
    <col width="55" customWidth="1" min="2" max="2"/>
    <col width="70" customWidth="1" min="3" max="3"/>
    <col width="15" customWidth="1" min="4" max="4"/>
  </cols>
  <sheetData>
    <row r="1" ht="18.75" customHeight="1">
      <c r="A1" s="1" t="inlineStr">
        <is>
          <t>Actuarial Add-In Version History</t>
        </is>
      </c>
    </row>
    <row r="3">
      <c r="A3" s="2" t="inlineStr">
        <is>
          <t>Current Version:</t>
        </is>
      </c>
      <c r="B3">
        <f t="array" ref="B3">ACT_VERSION()</f>
        <v/>
      </c>
    </row>
    <row r="4">
      <c r="A4" s="2" t="inlineStr">
        <is>
          <t>Build Date:</t>
        </is>
      </c>
      <c r="B4">
        <f>ACT_BUILD_DATE()</f>
        <v/>
      </c>
    </row>
    <row r="5">
      <c r="A5" s="2" t="inlineStr">
        <is>
          <t>GitHub:</t>
        </is>
      </c>
      <c r="B5">
        <f>ACT_GITHUB_URL()</f>
        <v/>
      </c>
    </row>
    <row r="7">
      <c r="A7" s="2" t="inlineStr">
        <is>
          <t>Version Functions:</t>
        </is>
      </c>
    </row>
    <row r="8">
      <c r="A8" t="inlineStr">
        <is>
          <t>ACT_VERSION()</t>
        </is>
      </c>
      <c r="B8">
        <f>ACT_VERSION()</f>
        <v/>
      </c>
    </row>
    <row r="9">
      <c r="A9" t="inlineStr">
        <is>
          <t>ACT_BUILD_DATE()</t>
        </is>
      </c>
      <c r="B9">
        <f>ACT_BUILD_DATE()</f>
        <v/>
      </c>
    </row>
    <row r="10">
      <c r="A10" t="inlineStr">
        <is>
          <t>ACT_GITHUB_URL()</t>
        </is>
      </c>
      <c r="B10">
        <f>ACT_GITHUB_URL()</f>
        <v/>
      </c>
    </row>
    <row r="11">
      <c r="A11" t="inlineStr">
        <is>
          <t>ACT_COMMIT_COUNT()</t>
        </is>
      </c>
      <c r="B11">
        <f>ACT_COMMIT_COUNT()</f>
        <v/>
      </c>
    </row>
    <row r="12">
      <c r="A12" t="inlineStr">
        <is>
          <t>ACT_COMMIT_INFO(n, field)</t>
        </is>
      </c>
      <c r="B12">
        <f>ACT_COMMIT_INFO(1, "message")</f>
        <v/>
      </c>
    </row>
    <row r="14">
      <c r="A14" s="2" t="inlineStr">
        <is>
          <t>Commit History</t>
        </is>
      </c>
    </row>
    <row r="15">
      <c r="A15" s="3" t="inlineStr">
        <is>
          <t>Commit</t>
        </is>
      </c>
      <c r="B15" s="3" t="inlineStr">
        <is>
          <t>Date</t>
        </is>
      </c>
      <c r="C15" s="3" t="inlineStr">
        <is>
          <t>Message</t>
        </is>
      </c>
    </row>
    <row r="16">
      <c r="A16" s="4" t="inlineStr">
        <is>
          <t>ee9ae10</t>
        </is>
      </c>
      <c r="B16" s="4" t="inlineStr">
        <is>
          <t>2026-02-21</t>
        </is>
      </c>
      <c r="C16" s="4" t="inlineStr">
        <is>
          <t>Add Shaw frequency/severity reconciliation spreadsheet</t>
        </is>
      </c>
    </row>
    <row r="17">
      <c r="A17" s="4" t="inlineStr">
        <is>
          <t>f06cb33</t>
        </is>
      </c>
      <c r="B17" s="4" t="inlineStr">
        <is>
          <t>2026-02-21</t>
        </is>
      </c>
      <c r="C17" s="4" t="inlineStr">
        <is>
          <t>Revert actuarial_add_in.xlsm to pre-openpyxl state</t>
        </is>
      </c>
    </row>
    <row r="18">
      <c r="A18" s="4" t="inlineStr">
        <is>
          <t>6207903</t>
        </is>
      </c>
      <c r="B18" s="4" t="inlineStr">
        <is>
          <t>2026-02-21</t>
        </is>
      </c>
      <c r="C18" s="4" t="inlineStr">
        <is>
          <t>Add Aggregate Claims tab and Panjer functions to spreadsheet</t>
        </is>
      </c>
    </row>
    <row r="19">
      <c r="A19" s="4" t="inlineStr">
        <is>
          <t>4ed7430</t>
        </is>
      </c>
      <c r="B19" s="4" t="inlineStr">
        <is>
          <t>2026-02-21</t>
        </is>
      </c>
      <c r="C19" s="4" t="inlineStr">
        <is>
          <t>Clean up: remove stale planning and report files, simplify NEXT_STEPS.md</t>
        </is>
      </c>
    </row>
    <row r="20">
      <c r="A20" s="4" t="inlineStr">
        <is>
          <t>c15258f</t>
        </is>
      </c>
      <c r="B20" s="4" t="inlineStr">
        <is>
          <t>2026-02-21</t>
        </is>
      </c>
      <c r="C20" s="4" t="inlineStr">
        <is>
          <t>Add shaw reconciliation files to .gitignore</t>
        </is>
      </c>
    </row>
    <row r="21">
      <c r="A21" s="4" t="inlineStr">
        <is>
          <t>8c57607</t>
        </is>
      </c>
      <c r="B21" s="4" t="inlineStr">
        <is>
          <t>2026-02-21</t>
        </is>
      </c>
      <c r="C21" s="4" t="inlineStr">
        <is>
          <t>Bump version to v0.3.1 with latest commit history</t>
        </is>
      </c>
    </row>
    <row r="22">
      <c r="A22" s="4" t="inlineStr">
        <is>
          <t>902dec1</t>
        </is>
      </c>
      <c r="B22" s="4" t="inlineStr">
        <is>
          <t>2026-02-21</t>
        </is>
      </c>
      <c r="C22" s="4" t="inlineStr">
        <is>
          <t>Document two-step spreadsheet generation workflow in agents.md</t>
        </is>
      </c>
    </row>
    <row r="23">
      <c r="A23" s="4" t="inlineStr">
        <is>
          <t>a5fce2d</t>
        </is>
      </c>
      <c r="B23" s="4" t="inlineStr">
        <is>
          <t>2026-02-21</t>
        </is>
      </c>
      <c r="C23" s="4" t="inlineStr">
        <is>
          <t>Add xlwings fix_array_formulas.py to upgrade formulas to Formula2</t>
        </is>
      </c>
    </row>
    <row r="24">
      <c r="A24" s="4" t="inlineStr">
        <is>
          <t>a43a45b</t>
        </is>
      </c>
      <c r="B24" s="4" t="inlineStr">
        <is>
          <t>2026-02-21</t>
        </is>
      </c>
      <c r="C24" s="4" t="inlineStr">
        <is>
          <t>Remove ZIP postprocessing that caused file corruption</t>
        </is>
      </c>
    </row>
    <row r="25">
      <c r="A25" s="4" t="inlineStr">
        <is>
          <t>2ecfd73</t>
        </is>
      </c>
      <c r="B25" s="4" t="inlineStr">
        <is>
          <t>2026-02-21</t>
        </is>
      </c>
      <c r="C25" s="4" t="inlineStr">
        <is>
          <t>Fix array formulas: use openpyxl ArrayFormula with = prefix instead of postprocessing</t>
        </is>
      </c>
    </row>
    <row r="26">
      <c r="A26" s="4" t="inlineStr">
        <is>
          <t>171996e</t>
        </is>
      </c>
      <c r="B26" s="4" t="inlineStr">
        <is>
          <t>2026-02-21</t>
        </is>
      </c>
      <c r="C26" s="4" t="inlineStr">
        <is>
          <t>Fix spreadsheet corruption: remove ArrayFormula refs and dangling vbaProject</t>
        </is>
      </c>
    </row>
    <row r="27">
      <c r="A27" s="4" t="inlineStr">
        <is>
          <t>2d93193</t>
        </is>
      </c>
      <c r="B27" s="4" t="inlineStr">
        <is>
          <t>2026-02-21</t>
        </is>
      </c>
      <c r="C27" s="4" t="inlineStr">
        <is>
          <t>Fix Cat Modeling array formula, bootstrap reconciliation refs, chart corners post-processing</t>
        </is>
      </c>
    </row>
    <row r="28">
      <c r="A28" s="4" t="inlineStr">
        <is>
          <t>f907dfa</t>
        </is>
      </c>
      <c r="B28" s="4" t="inlineStr">
        <is>
          <t>2026-02-21</t>
        </is>
      </c>
      <c r="C28" s="4" t="inlineStr">
        <is>
          <t>Fix chart corners, bootstrap default method, and rename BASIC to CHAINLADDER-PYTHON</t>
        </is>
      </c>
    </row>
    <row r="29">
      <c r="A29" s="4" t="inlineStr">
        <is>
          <t>31d1b20</t>
        </is>
      </c>
      <c r="B29" s="4" t="inlineStr">
        <is>
          <t>2026-02-21</t>
        </is>
      </c>
      <c r="C29" s="4" t="inlineStr">
        <is>
          <t>Update VersionInfo to v0.3.0, auto-generate Versions tab in populate_examples.py</t>
        </is>
      </c>
    </row>
    <row r="30">
      <c r="A30" s="4" t="inlineStr">
        <is>
          <t>e509566</t>
        </is>
      </c>
      <c r="B30" s="4" t="inlineStr">
        <is>
          <t>2026-02-21</t>
        </is>
      </c>
      <c r="C30" s="4" t="inlineStr">
        <is>
          <t>Phase 2: Enhanced ODP Bootstrap (E&amp;V reconciliation), remove credibility, cleanup</t>
        </is>
      </c>
    </row>
    <row r="31">
      <c r="A31" s="4" t="inlineStr">
        <is>
          <t>71c3079</t>
        </is>
      </c>
      <c r="B31" s="4" t="inlineStr">
        <is>
          <t>2026-02-04</t>
        </is>
      </c>
      <c r="C31" s="4" t="inlineStr">
        <is>
          <t>Add fresh eyes code review against 6 key principles</t>
        </is>
      </c>
    </row>
    <row r="32">
      <c r="A32" s="4" t="inlineStr">
        <is>
          <t>0a6af9a</t>
        </is>
      </c>
      <c r="B32" s="4" t="inlineStr">
        <is>
          <t>2026-02-04</t>
        </is>
      </c>
      <c r="C32" s="4" t="inlineStr">
        <is>
          <t>Add Panjer recursion, zero-truncated/modified distributions, Pareto III/IV, Inverse Gaussian, Loglogistic</t>
        </is>
      </c>
    </row>
    <row r="33">
      <c r="A33" s="4" t="inlineStr">
        <is>
          <t>78ab504</t>
        </is>
      </c>
      <c r="B33" s="4" t="inlineStr">
        <is>
          <t>2026-02-04</t>
        </is>
      </c>
      <c r="C33" s="4" t="inlineStr">
        <is>
          <t>Consolidate next steps, rename Cat functions with ACT_CAT_ prefix</t>
        </is>
      </c>
    </row>
    <row r="34">
      <c r="A34" s="4" t="inlineStr">
        <is>
          <t>7f1b924</t>
        </is>
      </c>
      <c r="B34" s="4" t="inlineStr">
        <is>
          <t>2026-02-03</t>
        </is>
      </c>
      <c r="C34" s="4" t="inlineStr">
        <is>
          <t>Add actuar R package comparison and roadmap</t>
        </is>
      </c>
    </row>
    <row r="35">
      <c r="A35" s="4" t="inlineStr">
        <is>
          <t>b699133</t>
        </is>
      </c>
      <c r="B35" s="4" t="inlineStr">
        <is>
          <t>2026-02-03</t>
        </is>
      </c>
      <c r="C35" s="4" t="inlineStr">
        <is>
          <t>Merge pull request #5 from mdevans21/feature/cat-modeling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7"/>
  <sheetViews>
    <sheetView workbookViewId="0">
      <selection activeCell="A1" sqref="A1"/>
    </sheetView>
  </sheetViews>
  <sheetFormatPr baseColWidth="8" defaultRowHeight="15"/>
  <cols>
    <col width="35" customWidth="1" min="1" max="1"/>
    <col width="100" customWidth="1" min="2" max="2"/>
    <col width="30" customWidth="1" min="3" max="3"/>
  </cols>
  <sheetData>
    <row r="1" ht="18.75" customHeight="1">
      <c r="A1" s="1" t="inlineStr">
        <is>
          <t>COMPREHENSIVE FUNCTION TESTS</t>
        </is>
      </c>
    </row>
    <row r="3">
      <c r="A3" s="2" t="inlineStr">
        <is>
          <t>DISTRIBUTIONS - Frequency</t>
        </is>
      </c>
    </row>
    <row r="5">
      <c r="A5" s="5" t="inlineStr">
        <is>
          <t>Poisson Distribution (lambda=5)</t>
        </is>
      </c>
    </row>
    <row r="6">
      <c r="A6" t="inlineStr">
        <is>
          <t>ACT_DIST_POISSON_PDF</t>
        </is>
      </c>
      <c r="B6">
        <f>ACT_DIST_POISSON_PDF(3, 5)</f>
        <v/>
      </c>
      <c r="C6" t="inlineStr">
        <is>
          <t>P(X=3) for Poisson</t>
        </is>
      </c>
    </row>
    <row r="7">
      <c r="A7" t="inlineStr">
        <is>
          <t>ACT_DIST_POISSON_CDF</t>
        </is>
      </c>
      <c r="B7">
        <f>ACT_DIST_POISSON_CDF(3, 5)</f>
        <v/>
      </c>
      <c r="C7" t="inlineStr">
        <is>
          <t>P(X&lt;=3)</t>
        </is>
      </c>
    </row>
    <row r="8">
      <c r="A8" t="inlineStr">
        <is>
          <t>ACT_DIST_POISSON_INV</t>
        </is>
      </c>
      <c r="B8">
        <f>ACT_DIST_POISSON_INV(0.5, 5)</f>
        <v/>
      </c>
      <c r="C8" t="inlineStr">
        <is>
          <t>Median</t>
        </is>
      </c>
    </row>
    <row r="9">
      <c r="A9" t="inlineStr">
        <is>
          <t>ACT_DIST_POISSON_FIT({1,2,3,4,5,6,7})</t>
        </is>
      </c>
      <c r="B9">
        <f>ACT_DIST_POISSON_FIT({1,2,3,4,5,6,7})</f>
        <v/>
      </c>
      <c r="C9" t="inlineStr">
        <is>
          <t>lambda</t>
        </is>
      </c>
    </row>
    <row r="11">
      <c r="A11" s="5" t="inlineStr">
        <is>
          <t>Negative Binomial (r=5, p=0.3)</t>
        </is>
      </c>
    </row>
    <row r="12">
      <c r="A12" t="inlineStr">
        <is>
          <t>ACT_DIST_NEGBIN_PDF</t>
        </is>
      </c>
      <c r="B12">
        <f>ACT_DIST_NEGBIN_PDF(5, 5, 0.3)</f>
        <v/>
      </c>
      <c r="C12" t="inlineStr">
        <is>
          <t>P(X=5)</t>
        </is>
      </c>
    </row>
    <row r="13">
      <c r="A13" t="inlineStr">
        <is>
          <t>ACT_DIST_NEGBIN_CDF</t>
        </is>
      </c>
      <c r="B13">
        <f>ACT_DIST_NEGBIN_CDF(5, 5, 0.3)</f>
        <v/>
      </c>
      <c r="C13" t="inlineStr">
        <is>
          <t>P(X&lt;=5)</t>
        </is>
      </c>
    </row>
    <row r="14">
      <c r="A14" t="inlineStr">
        <is>
          <t>ACT_DIST_NEGBIN_INV</t>
        </is>
      </c>
      <c r="B14">
        <f>ACT_DIST_NEGBIN_INV(0.5, 5, 0.3)</f>
        <v/>
      </c>
      <c r="C14" t="inlineStr">
        <is>
          <t>Median</t>
        </is>
      </c>
    </row>
    <row r="15">
      <c r="A15" t="inlineStr">
        <is>
          <t>ACT_DIST_NEGBIN_FIT({1,2,3,4,5,6,7,8,9,10})</t>
        </is>
      </c>
      <c r="B15">
        <f>TRANSPOSE(ACT_DIST_NEGBIN_FIT({1,2,3,4,5,6,7,8,9,10}))</f>
        <v/>
      </c>
      <c r="C15" t="inlineStr">
        <is>
          <t>r (successes)</t>
        </is>
      </c>
    </row>
    <row r="16">
      <c r="C16" t="inlineStr">
        <is>
          <t>p (probability)</t>
        </is>
      </c>
    </row>
    <row r="18">
      <c r="A18" s="2" t="inlineStr">
        <is>
          <t>DISTRIBUTIONS - Zero-Truncated</t>
        </is>
      </c>
    </row>
    <row r="20">
      <c r="A20" s="5" t="inlineStr">
        <is>
          <t>Zero-Truncated Poisson (lambda=3)</t>
        </is>
      </c>
    </row>
    <row r="21">
      <c r="A21" t="inlineStr">
        <is>
          <t>ACT_DIST_ZTPOISSON_PDF</t>
        </is>
      </c>
      <c r="B21">
        <f>ACT_DIST_ZTPOISSON_PDF(2, 3)</f>
        <v/>
      </c>
      <c r="C21" t="inlineStr">
        <is>
          <t>P(X=2|X&gt;0)</t>
        </is>
      </c>
    </row>
    <row r="22">
      <c r="A22" t="inlineStr">
        <is>
          <t>ACT_DIST_ZTPOISSON_CDF</t>
        </is>
      </c>
      <c r="B22">
        <f>ACT_DIST_ZTPOISSON_CDF(2, 3)</f>
        <v/>
      </c>
      <c r="C22" t="inlineStr">
        <is>
          <t>P(X&lt;=2|X&gt;0)</t>
        </is>
      </c>
    </row>
    <row r="23">
      <c r="A23" t="inlineStr">
        <is>
          <t>ACT_DIST_ZTPOISSON_INV</t>
        </is>
      </c>
      <c r="B23">
        <f>ACT_DIST_ZTPOISSON_INV(0.5, 3)</f>
        <v/>
      </c>
      <c r="C23" t="inlineStr">
        <is>
          <t>Median</t>
        </is>
      </c>
    </row>
    <row r="24">
      <c r="A24" t="inlineStr">
        <is>
          <t>ACT_DIST_ZTPOISSON_MEAN</t>
        </is>
      </c>
      <c r="B24">
        <f>ACT_DIST_ZTPOISSON_MEAN(3)</f>
        <v/>
      </c>
      <c r="C24" t="inlineStr">
        <is>
          <t>E[X|X&gt;0]</t>
        </is>
      </c>
    </row>
    <row r="26">
      <c r="A26" s="5" t="inlineStr">
        <is>
          <t>Zero-Truncated Negative Binomial (r=5, p=0.3)</t>
        </is>
      </c>
    </row>
    <row r="27">
      <c r="A27" t="inlineStr">
        <is>
          <t>ACT_DIST_ZTNEGBIN_PDF</t>
        </is>
      </c>
      <c r="B27">
        <f>ACT_DIST_ZTNEGBIN_PDF(3, 5, 0.3)</f>
        <v/>
      </c>
      <c r="C27" t="inlineStr">
        <is>
          <t>P(X=3|X&gt;0)</t>
        </is>
      </c>
    </row>
    <row r="28">
      <c r="A28" t="inlineStr">
        <is>
          <t>ACT_DIST_ZTNEGBIN_CDF</t>
        </is>
      </c>
      <c r="B28">
        <f>ACT_DIST_ZTNEGBIN_CDF(3, 5, 0.3)</f>
        <v/>
      </c>
      <c r="C28" t="inlineStr">
        <is>
          <t>P(X&lt;=3|X&gt;0)</t>
        </is>
      </c>
    </row>
    <row r="29">
      <c r="A29" t="inlineStr">
        <is>
          <t>ACT_DIST_ZTNEGBIN_INV</t>
        </is>
      </c>
      <c r="B29">
        <f>ACT_DIST_ZTNEGBIN_INV(0.5, 5, 0.3)</f>
        <v/>
      </c>
      <c r="C29" t="inlineStr">
        <is>
          <t>Median</t>
        </is>
      </c>
    </row>
    <row r="30">
      <c r="A30" t="inlineStr">
        <is>
          <t>ACT_DIST_ZTNEGBIN_MEAN</t>
        </is>
      </c>
      <c r="B30">
        <f>ACT_DIST_ZTNEGBIN_MEAN(5, 0.3)</f>
        <v/>
      </c>
      <c r="C30" t="inlineStr">
        <is>
          <t>E[X|X&gt;0]</t>
        </is>
      </c>
    </row>
    <row r="32">
      <c r="A32" s="5" t="inlineStr">
        <is>
          <t>Zero-Truncated Binomial (n=10, p=0.3)</t>
        </is>
      </c>
    </row>
    <row r="33">
      <c r="A33" t="inlineStr">
        <is>
          <t>ACT_DIST_ZTBINOM_PDF</t>
        </is>
      </c>
      <c r="B33">
        <f>ACT_DIST_ZTBINOM_PDF(3, 10, 0.3)</f>
        <v/>
      </c>
      <c r="C33" t="inlineStr">
        <is>
          <t>P(X=3|X&gt;0)</t>
        </is>
      </c>
    </row>
    <row r="34">
      <c r="A34" t="inlineStr">
        <is>
          <t>ACT_DIST_ZTBINOM_CDF</t>
        </is>
      </c>
      <c r="B34">
        <f>ACT_DIST_ZTBINOM_CDF(3, 10, 0.3)</f>
        <v/>
      </c>
      <c r="C34" t="inlineStr">
        <is>
          <t>P(X&lt;=3|X&gt;0)</t>
        </is>
      </c>
    </row>
    <row r="35">
      <c r="A35" t="inlineStr">
        <is>
          <t>ACT_DIST_ZTBINOM_INV</t>
        </is>
      </c>
      <c r="B35">
        <f>ACT_DIST_ZTBINOM_INV(0.5, 10, 0.3)</f>
        <v/>
      </c>
      <c r="C35" t="inlineStr">
        <is>
          <t>Median</t>
        </is>
      </c>
    </row>
    <row r="36">
      <c r="A36" t="inlineStr">
        <is>
          <t>ACT_DIST_ZTBINOM_MEAN</t>
        </is>
      </c>
      <c r="B36">
        <f>ACT_DIST_ZTBINOM_MEAN(10, 0.3)</f>
        <v/>
      </c>
      <c r="C36" t="inlineStr">
        <is>
          <t>E[X|X&gt;0]</t>
        </is>
      </c>
    </row>
    <row r="38">
      <c r="A38" s="5" t="inlineStr">
        <is>
          <t>Zero-Truncated Geometric (p=0.3)</t>
        </is>
      </c>
    </row>
    <row r="39">
      <c r="A39" t="inlineStr">
        <is>
          <t>ACT_DIST_ZTGEOM_PDF</t>
        </is>
      </c>
      <c r="B39">
        <f>ACT_DIST_ZTGEOM_PDF(2, 0.3)</f>
        <v/>
      </c>
      <c r="C39" t="inlineStr">
        <is>
          <t>P(X=2|X&gt;0)</t>
        </is>
      </c>
    </row>
    <row r="40">
      <c r="A40" t="inlineStr">
        <is>
          <t>ACT_DIST_ZTGEOM_CDF</t>
        </is>
      </c>
      <c r="B40">
        <f>ACT_DIST_ZTGEOM_CDF(2, 0.3)</f>
        <v/>
      </c>
      <c r="C40" t="inlineStr">
        <is>
          <t>P(X&lt;=2|X&gt;0)</t>
        </is>
      </c>
    </row>
    <row r="41">
      <c r="A41" t="inlineStr">
        <is>
          <t>ACT_DIST_ZTGEOM_INV</t>
        </is>
      </c>
      <c r="B41">
        <f>ACT_DIST_ZTGEOM_INV(0.5, 0.3)</f>
        <v/>
      </c>
      <c r="C41" t="inlineStr">
        <is>
          <t>Median</t>
        </is>
      </c>
    </row>
    <row r="42">
      <c r="A42" t="inlineStr">
        <is>
          <t>ACT_DIST_ZTGEOM_MEAN</t>
        </is>
      </c>
      <c r="B42">
        <f>ACT_DIST_ZTGEOM_MEAN(0.3)</f>
        <v/>
      </c>
      <c r="C42" t="inlineStr">
        <is>
          <t>E[X|X&gt;0]</t>
        </is>
      </c>
    </row>
    <row r="44">
      <c r="A44" s="2" t="inlineStr">
        <is>
          <t>DISTRIBUTIONS - Zero-Modified</t>
        </is>
      </c>
    </row>
    <row r="46">
      <c r="A46" s="5" t="inlineStr">
        <is>
          <t>Zero-Modified Poisson (lambda=3, p0=0.2)</t>
        </is>
      </c>
    </row>
    <row r="47">
      <c r="A47" t="inlineStr">
        <is>
          <t>ACT_DIST_ZMPOISSON_PDF</t>
        </is>
      </c>
      <c r="B47">
        <f>ACT_DIST_ZMPOISSON_PDF(2, 3, 0.2)</f>
        <v/>
      </c>
      <c r="C47" t="inlineStr">
        <is>
          <t>P(X=2)</t>
        </is>
      </c>
    </row>
    <row r="48">
      <c r="A48" t="inlineStr">
        <is>
          <t>ACT_DIST_ZMPOISSON_CDF</t>
        </is>
      </c>
      <c r="B48">
        <f>ACT_DIST_ZMPOISSON_CDF(2, 3, 0.2)</f>
        <v/>
      </c>
      <c r="C48" t="inlineStr">
        <is>
          <t>P(X&lt;=2)</t>
        </is>
      </c>
    </row>
    <row r="49">
      <c r="A49" t="inlineStr">
        <is>
          <t>ACT_DIST_ZMPOISSON_INV</t>
        </is>
      </c>
      <c r="B49">
        <f>ACT_DIST_ZMPOISSON_INV(0.5, 3, 0.2)</f>
        <v/>
      </c>
      <c r="C49" t="inlineStr">
        <is>
          <t>Median</t>
        </is>
      </c>
    </row>
    <row r="50">
      <c r="A50" t="inlineStr">
        <is>
          <t>ACT_DIST_ZMPOISSON_MEAN</t>
        </is>
      </c>
      <c r="B50">
        <f>ACT_DIST_ZMPOISSON_MEAN(3, 0.2)</f>
        <v/>
      </c>
      <c r="C50" t="inlineStr">
        <is>
          <t>E[X]</t>
        </is>
      </c>
    </row>
    <row r="51">
      <c r="A51" t="inlineStr">
        <is>
          <t>ACT_DIST_ZMPOISSON_VAR</t>
        </is>
      </c>
      <c r="B51">
        <f>ACT_DIST_ZMPOISSON_VAR(3, 0.2)</f>
        <v/>
      </c>
      <c r="C51" t="inlineStr">
        <is>
          <t>Var(X)</t>
        </is>
      </c>
    </row>
    <row r="53">
      <c r="A53" s="5" t="inlineStr">
        <is>
          <t>Zero-Modified Negative Binomial (r=5, p=0.3, p0=0.2)</t>
        </is>
      </c>
    </row>
    <row r="54">
      <c r="A54" t="inlineStr">
        <is>
          <t>ACT_DIST_ZMNEGBIN_PDF</t>
        </is>
      </c>
      <c r="B54">
        <f>ACT_DIST_ZMNEGBIN_PDF(3, 5, 0.3, 0.2)</f>
        <v/>
      </c>
      <c r="C54" t="inlineStr">
        <is>
          <t>P(X=3)</t>
        </is>
      </c>
    </row>
    <row r="55">
      <c r="A55" t="inlineStr">
        <is>
          <t>ACT_DIST_ZMNEGBIN_CDF</t>
        </is>
      </c>
      <c r="B55">
        <f>ACT_DIST_ZMNEGBIN_CDF(3, 5, 0.3, 0.2)</f>
        <v/>
      </c>
      <c r="C55" t="inlineStr">
        <is>
          <t>P(X&lt;=3)</t>
        </is>
      </c>
    </row>
    <row r="56">
      <c r="A56" t="inlineStr">
        <is>
          <t>ACT_DIST_ZMNEGBIN_INV</t>
        </is>
      </c>
      <c r="B56">
        <f>ACT_DIST_ZMNEGBIN_INV(0.5, 5, 0.3, 0.2)</f>
        <v/>
      </c>
      <c r="C56" t="inlineStr">
        <is>
          <t>Median</t>
        </is>
      </c>
    </row>
    <row r="57">
      <c r="A57" t="inlineStr">
        <is>
          <t>ACT_DIST_ZMNEGBIN_MEAN</t>
        </is>
      </c>
      <c r="B57">
        <f>ACT_DIST_ZMNEGBIN_MEAN(5, 0.3, 0.2)</f>
        <v/>
      </c>
      <c r="C57" t="inlineStr">
        <is>
          <t>E[X]</t>
        </is>
      </c>
    </row>
    <row r="58">
      <c r="A58" t="inlineStr">
        <is>
          <t>ACT_DIST_ZMNEGBIN_VAR</t>
        </is>
      </c>
      <c r="B58">
        <f>ACT_DIST_ZMNEGBIN_VAR(5, 0.3, 0.2)</f>
        <v/>
      </c>
      <c r="C58" t="inlineStr">
        <is>
          <t>Var(X)</t>
        </is>
      </c>
    </row>
    <row r="60">
      <c r="A60" s="2" t="inlineStr">
        <is>
          <t>DISTRIBUTIONS - Severity</t>
        </is>
      </c>
    </row>
    <row r="62">
      <c r="A62" s="5" t="inlineStr">
        <is>
          <t>Lognormal (mu=0, sigma=1)</t>
        </is>
      </c>
    </row>
    <row r="63">
      <c r="A63" t="inlineStr">
        <is>
          <t>ACT_DIST_LOGNORM_PDF</t>
        </is>
      </c>
      <c r="B63">
        <f>ACT_DIST_LOGNORM_PDF(1, 0, 1)</f>
        <v/>
      </c>
      <c r="C63" t="inlineStr">
        <is>
          <t>f(1)</t>
        </is>
      </c>
    </row>
    <row r="64">
      <c r="A64" t="inlineStr">
        <is>
          <t>ACT_DIST_LOGNORM_CDF</t>
        </is>
      </c>
      <c r="B64">
        <f>ACT_DIST_LOGNORM_CDF(1, 0, 1)</f>
        <v/>
      </c>
      <c r="C64" t="inlineStr">
        <is>
          <t>F(1)</t>
        </is>
      </c>
    </row>
    <row r="65">
      <c r="A65" t="inlineStr">
        <is>
          <t>ACT_DIST_LOGNORM_INV</t>
        </is>
      </c>
      <c r="B65">
        <f>ACT_DIST_LOGNORM_INV(0.5, 0, 1)</f>
        <v/>
      </c>
      <c r="C65" t="inlineStr">
        <is>
          <t>Median = 1</t>
        </is>
      </c>
    </row>
    <row r="66">
      <c r="A66" t="inlineStr">
        <is>
          <t>ACT_DIST_LOGNORM_FIT({1,2,3,4,5})</t>
        </is>
      </c>
      <c r="B66">
        <f>TRANSPOSE(ACT_DIST_LOGNORM_FIT({1,2,3,4,5}))</f>
        <v/>
      </c>
      <c r="C66" t="inlineStr">
        <is>
          <t>mu</t>
        </is>
      </c>
    </row>
    <row r="67">
      <c r="C67" t="inlineStr">
        <is>
          <t>sigma</t>
        </is>
      </c>
    </row>
    <row r="69">
      <c r="A69" s="5" t="inlineStr">
        <is>
          <t>Gamma (alpha=2, beta=1)</t>
        </is>
      </c>
    </row>
    <row r="70">
      <c r="A70" t="inlineStr">
        <is>
          <t>ACT_DIST_GAMMA_PDF</t>
        </is>
      </c>
      <c r="B70">
        <f>ACT_DIST_GAMMA_PDF(1, 2, 1)</f>
        <v/>
      </c>
      <c r="C70" t="inlineStr">
        <is>
          <t>f(1)</t>
        </is>
      </c>
    </row>
    <row r="71">
      <c r="A71" t="inlineStr">
        <is>
          <t>ACT_DIST_GAMMA_CDF</t>
        </is>
      </c>
      <c r="B71">
        <f>ACT_DIST_GAMMA_CDF(1, 2, 1)</f>
        <v/>
      </c>
      <c r="C71" t="inlineStr">
        <is>
          <t>F(1)</t>
        </is>
      </c>
    </row>
    <row r="72">
      <c r="A72" t="inlineStr">
        <is>
          <t>ACT_DIST_GAMMA_INV</t>
        </is>
      </c>
      <c r="B72">
        <f>ACT_DIST_GAMMA_INV(0.5, 2, 1)</f>
        <v/>
      </c>
      <c r="C72" t="inlineStr">
        <is>
          <t>Median</t>
        </is>
      </c>
    </row>
    <row r="73">
      <c r="A73" t="inlineStr">
        <is>
          <t>ACT_DIST_GAMMA_FIT({1,2,3,4,5})</t>
        </is>
      </c>
      <c r="B73">
        <f>TRANSPOSE(ACT_DIST_GAMMA_FIT({1,2,3,4,5}))</f>
        <v/>
      </c>
      <c r="C73" t="inlineStr">
        <is>
          <t>alpha (shape)</t>
        </is>
      </c>
    </row>
    <row r="74">
      <c r="C74" t="inlineStr">
        <is>
          <t>beta (rate)</t>
        </is>
      </c>
    </row>
    <row r="76">
      <c r="A76" s="5" t="inlineStr">
        <is>
          <t>Pareto (alpha=2, xm=1)</t>
        </is>
      </c>
    </row>
    <row r="77">
      <c r="A77" t="inlineStr">
        <is>
          <t>ACT_DIST_PARETO_PDF</t>
        </is>
      </c>
      <c r="B77">
        <f>ACT_DIST_PARETO_PDF(2, 2, 1)</f>
        <v/>
      </c>
      <c r="C77" t="inlineStr">
        <is>
          <t>f(2)</t>
        </is>
      </c>
    </row>
    <row r="78">
      <c r="A78" t="inlineStr">
        <is>
          <t>ACT_DIST_PARETO_CDF</t>
        </is>
      </c>
      <c r="B78">
        <f>ACT_DIST_PARETO_CDF(2, 2, 1)</f>
        <v/>
      </c>
      <c r="C78" t="inlineStr">
        <is>
          <t>F(2) = 0.75</t>
        </is>
      </c>
    </row>
    <row r="79">
      <c r="A79" t="inlineStr">
        <is>
          <t>ACT_DIST_PARETO_INV</t>
        </is>
      </c>
      <c r="B79">
        <f>ACT_DIST_PARETO_INV(0.5, 2, 1)</f>
        <v/>
      </c>
      <c r="C79" t="inlineStr">
        <is>
          <t>Median</t>
        </is>
      </c>
    </row>
    <row r="80">
      <c r="A80" t="inlineStr">
        <is>
          <t>ACT_DIST_PARETO_FIT({1.5,2,2.5,3,4,5}, 1)</t>
        </is>
      </c>
      <c r="B80">
        <f>TRANSPOSE(ACT_DIST_PARETO_FIT({1.5,2,2.5,3,4,5}, 1))</f>
        <v/>
      </c>
      <c r="C80" t="inlineStr">
        <is>
          <t>alpha</t>
        </is>
      </c>
    </row>
    <row r="81">
      <c r="C81" t="inlineStr">
        <is>
          <t>xm</t>
        </is>
      </c>
    </row>
    <row r="83">
      <c r="A83" s="5" t="inlineStr">
        <is>
          <t>Weibull (k=2, lambda=1)</t>
        </is>
      </c>
    </row>
    <row r="84">
      <c r="A84" t="inlineStr">
        <is>
          <t>ACT_DIST_WEIBULL_PDF</t>
        </is>
      </c>
      <c r="B84">
        <f>ACT_DIST_WEIBULL_PDF(0.5, 2, 1)</f>
        <v/>
      </c>
      <c r="C84" t="inlineStr">
        <is>
          <t>f(0.5)</t>
        </is>
      </c>
    </row>
    <row r="85">
      <c r="A85" t="inlineStr">
        <is>
          <t>ACT_DIST_WEIBULL_CDF</t>
        </is>
      </c>
      <c r="B85">
        <f>ACT_DIST_WEIBULL_CDF(0.5, 2, 1)</f>
        <v/>
      </c>
      <c r="C85" t="inlineStr">
        <is>
          <t>F(0.5)</t>
        </is>
      </c>
    </row>
    <row r="86">
      <c r="A86" t="inlineStr">
        <is>
          <t>ACT_DIST_WEIBULL_INV</t>
        </is>
      </c>
      <c r="B86">
        <f>ACT_DIST_WEIBULL_INV(0.5, 2, 1)</f>
        <v/>
      </c>
      <c r="C86" t="inlineStr">
        <is>
          <t>Median</t>
        </is>
      </c>
    </row>
    <row r="87">
      <c r="A87" t="inlineStr">
        <is>
          <t>ACT_DIST_WEIBULL_FIT({0.5,1,1.5,2,2.5})</t>
        </is>
      </c>
      <c r="B87">
        <f>TRANSPOSE(ACT_DIST_WEIBULL_FIT({0.5,1,1.5,2,2.5}))</f>
        <v/>
      </c>
      <c r="C87" t="inlineStr">
        <is>
          <t>k (shape)</t>
        </is>
      </c>
    </row>
    <row r="88">
      <c r="C88" t="inlineStr">
        <is>
          <t>lambda (scale)</t>
        </is>
      </c>
    </row>
    <row r="90">
      <c r="A90" s="5" t="inlineStr">
        <is>
          <t>Beta (alpha=2, beta=5)</t>
        </is>
      </c>
    </row>
    <row r="91">
      <c r="A91" t="inlineStr">
        <is>
          <t>ACT_DIST_BETA_PDF</t>
        </is>
      </c>
      <c r="B91">
        <f>ACT_DIST_BETA_PDF(0.3, 2, 5)</f>
        <v/>
      </c>
      <c r="C91" t="inlineStr">
        <is>
          <t>f(0.3)</t>
        </is>
      </c>
    </row>
    <row r="92">
      <c r="A92" t="inlineStr">
        <is>
          <t>ACT_DIST_BETA_CDF</t>
        </is>
      </c>
      <c r="B92">
        <f>ACT_DIST_BETA_CDF(0.3, 2, 5)</f>
        <v/>
      </c>
      <c r="C92" t="inlineStr">
        <is>
          <t>F(0.3)</t>
        </is>
      </c>
    </row>
    <row r="93">
      <c r="A93" t="inlineStr">
        <is>
          <t>ACT_DIST_BETA_INV</t>
        </is>
      </c>
      <c r="B93">
        <f>ACT_DIST_BETA_INV(0.5, 2, 5)</f>
        <v/>
      </c>
      <c r="C93" t="inlineStr">
        <is>
          <t>Median</t>
        </is>
      </c>
    </row>
    <row r="94">
      <c r="A94" t="inlineStr">
        <is>
          <t>ACT_DIST_BETA_FIT({0.1,0.2,0.3,0.4})</t>
        </is>
      </c>
      <c r="B94">
        <f>TRANSPOSE(ACT_DIST_BETA_FIT({0.1,0.2,0.3,0.4}))</f>
        <v/>
      </c>
      <c r="C94" t="inlineStr">
        <is>
          <t>alpha</t>
        </is>
      </c>
    </row>
    <row r="95">
      <c r="C95" t="inlineStr">
        <is>
          <t>beta</t>
        </is>
      </c>
    </row>
    <row r="97">
      <c r="A97" s="5" t="inlineStr">
        <is>
          <t>Exponential (lambda=0.5)</t>
        </is>
      </c>
    </row>
    <row r="98">
      <c r="A98" t="inlineStr">
        <is>
          <t>ACT_DIST_EXP_PDF</t>
        </is>
      </c>
      <c r="B98">
        <f>ACT_DIST_EXP_PDF(1, 0.5)</f>
        <v/>
      </c>
      <c r="C98" t="inlineStr">
        <is>
          <t>f(1)</t>
        </is>
      </c>
    </row>
    <row r="99">
      <c r="A99" t="inlineStr">
        <is>
          <t>ACT_DIST_EXP_CDF</t>
        </is>
      </c>
      <c r="B99">
        <f>ACT_DIST_EXP_CDF(1, 0.5)</f>
        <v/>
      </c>
      <c r="C99" t="inlineStr">
        <is>
          <t>F(1)</t>
        </is>
      </c>
    </row>
    <row r="100">
      <c r="A100" t="inlineStr">
        <is>
          <t>ACT_DIST_EXP_INV</t>
        </is>
      </c>
      <c r="B100">
        <f>ACT_DIST_EXP_INV(0.5, 0.5)</f>
        <v/>
      </c>
      <c r="C100" t="inlineStr">
        <is>
          <t>Median</t>
        </is>
      </c>
    </row>
    <row r="101">
      <c r="A101" t="inlineStr">
        <is>
          <t>ACT_DIST_EXP_FIT({1,2,3,4,5})</t>
        </is>
      </c>
      <c r="B101">
        <f>ACT_DIST_EXP_FIT({1,2,3,4,5})</f>
        <v/>
      </c>
      <c r="C101" t="inlineStr">
        <is>
          <t>lambda</t>
        </is>
      </c>
    </row>
    <row r="103">
      <c r="A103" s="5" t="inlineStr">
        <is>
          <t>GPD (xi=0.5, sigma=1)</t>
        </is>
      </c>
    </row>
    <row r="104">
      <c r="A104" t="inlineStr">
        <is>
          <t>ACT_DIST_GPD_PDF</t>
        </is>
      </c>
      <c r="B104">
        <f>ACT_DIST_GPD_PDF(1, 0.5, 1)</f>
        <v/>
      </c>
      <c r="C104" t="inlineStr">
        <is>
          <t>f(1)</t>
        </is>
      </c>
    </row>
    <row r="105">
      <c r="A105" t="inlineStr">
        <is>
          <t>ACT_DIST_GPD_CDF</t>
        </is>
      </c>
      <c r="B105">
        <f>ACT_DIST_GPD_CDF(1, 0.5, 1)</f>
        <v/>
      </c>
      <c r="C105" t="inlineStr">
        <is>
          <t>F(1)</t>
        </is>
      </c>
    </row>
    <row r="106">
      <c r="A106" t="inlineStr">
        <is>
          <t>ACT_DIST_GPD_INV</t>
        </is>
      </c>
      <c r="B106">
        <f>ACT_DIST_GPD_INV(0.5, 0.5, 1)</f>
        <v/>
      </c>
      <c r="C106" t="inlineStr">
        <is>
          <t>Median</t>
        </is>
      </c>
    </row>
    <row r="107">
      <c r="A107" t="inlineStr">
        <is>
          <t>ACT_DIST_GPD_FIT({1,2,3,4,5,6,7,8,9,10,12,15})</t>
        </is>
      </c>
      <c r="B107">
        <f>TRANSPOSE(ACT_DIST_GPD_FIT({1,2,3,4,5,6,7,8,9,10,12,15}))</f>
        <v/>
      </c>
      <c r="C107" t="inlineStr">
        <is>
          <t>xi (shape)</t>
        </is>
      </c>
    </row>
    <row r="108">
      <c r="C108" t="inlineStr">
        <is>
          <t>sigma (scale)</t>
        </is>
      </c>
    </row>
    <row r="110">
      <c r="A110" s="5" t="inlineStr">
        <is>
          <t>Burr XII (c=2, k=3, lambda=1)</t>
        </is>
      </c>
    </row>
    <row r="111">
      <c r="A111" t="inlineStr">
        <is>
          <t>ACT_DIST_BURR_PDF</t>
        </is>
      </c>
      <c r="B111">
        <f>ACT_DIST_BURR_PDF(1, 2, 3, 1)</f>
        <v/>
      </c>
      <c r="C111" t="inlineStr">
        <is>
          <t>f(1)</t>
        </is>
      </c>
    </row>
    <row r="112">
      <c r="A112" t="inlineStr">
        <is>
          <t>ACT_DIST_BURR_CDF</t>
        </is>
      </c>
      <c r="B112">
        <f>ACT_DIST_BURR_CDF(1, 2, 3, 1)</f>
        <v/>
      </c>
      <c r="C112" t="inlineStr">
        <is>
          <t>F(1)</t>
        </is>
      </c>
    </row>
    <row r="113">
      <c r="A113" t="inlineStr">
        <is>
          <t>ACT_DIST_BURR_INV</t>
        </is>
      </c>
      <c r="B113">
        <f>ACT_DIST_BURR_INV(0.5, 2, 3, 1)</f>
        <v/>
      </c>
      <c r="C113" t="inlineStr">
        <is>
          <t>Median</t>
        </is>
      </c>
    </row>
    <row r="114">
      <c r="A114" t="inlineStr">
        <is>
          <t>ACT_DIST_BURR_FIT({0.5,1,1.5,2,3})</t>
        </is>
      </c>
      <c r="B114">
        <f>TRANSPOSE(ACT_DIST_BURR_FIT({0.5,1,1.5,2,3}))</f>
        <v/>
      </c>
      <c r="C114" t="inlineStr">
        <is>
          <t>c</t>
        </is>
      </c>
    </row>
    <row r="115">
      <c r="C115" t="inlineStr">
        <is>
          <t>k</t>
        </is>
      </c>
    </row>
    <row r="116">
      <c r="C116" t="inlineStr">
        <is>
          <t>lambda</t>
        </is>
      </c>
    </row>
    <row r="118">
      <c r="A118" s="5" t="inlineStr">
        <is>
          <t>Normal Distribution (mu=0, sigma=1)</t>
        </is>
      </c>
    </row>
    <row r="119">
      <c r="A119" t="inlineStr">
        <is>
          <t>ACT_DIST_NORMAL_PDF</t>
        </is>
      </c>
      <c r="B119">
        <f>ACT_DIST_NORMAL_PDF(0, 0, 1)</f>
        <v/>
      </c>
      <c r="C119" t="inlineStr">
        <is>
          <t>phi(0) = 0.3989</t>
        </is>
      </c>
    </row>
    <row r="120">
      <c r="A120" t="inlineStr">
        <is>
          <t>ACT_DIST_NORMAL_CDF</t>
        </is>
      </c>
      <c r="B120">
        <f>ACT_DIST_NORMAL_CDF(0, 0, 1)</f>
        <v/>
      </c>
      <c r="C120" t="inlineStr">
        <is>
          <t>Phi(0) = 0.5</t>
        </is>
      </c>
    </row>
    <row r="121">
      <c r="A121" t="inlineStr">
        <is>
          <t>ACT_DIST_NORMAL_INV</t>
        </is>
      </c>
      <c r="B121">
        <f>ACT_DIST_NORMAL_INV(0.975, 0, 1)</f>
        <v/>
      </c>
      <c r="C121" t="inlineStr">
        <is>
          <t>97.5th percentile = 1.96</t>
        </is>
      </c>
    </row>
    <row r="123">
      <c r="A123" s="5" t="inlineStr">
        <is>
          <t>Inverse Gaussian (mu=1, lambda=2)</t>
        </is>
      </c>
    </row>
    <row r="124">
      <c r="A124" t="inlineStr">
        <is>
          <t>ACT_DIST_INVGAUSS_PDF</t>
        </is>
      </c>
      <c r="B124">
        <f>ACT_DIST_INVGAUSS_PDF(1, 1, 2)</f>
        <v/>
      </c>
      <c r="C124" t="inlineStr">
        <is>
          <t>f(1)</t>
        </is>
      </c>
    </row>
    <row r="125">
      <c r="A125" t="inlineStr">
        <is>
          <t>ACT_DIST_INVGAUSS_CDF</t>
        </is>
      </c>
      <c r="B125">
        <f>ACT_DIST_INVGAUSS_CDF(1, 1, 2)</f>
        <v/>
      </c>
      <c r="C125" t="inlineStr">
        <is>
          <t>F(1)</t>
        </is>
      </c>
    </row>
    <row r="126">
      <c r="A126" t="inlineStr">
        <is>
          <t>ACT_DIST_INVGAUSS_INV</t>
        </is>
      </c>
      <c r="B126">
        <f>ACT_DIST_INVGAUSS_INV(0.5, 1, 2)</f>
        <v/>
      </c>
      <c r="C126" t="inlineStr">
        <is>
          <t>Median</t>
        </is>
      </c>
    </row>
    <row r="128">
      <c r="A128" s="5" t="inlineStr">
        <is>
          <t>Loglogistic (alpha=2, beta=1)</t>
        </is>
      </c>
    </row>
    <row r="129">
      <c r="A129" t="inlineStr">
        <is>
          <t>ACT_DIST_LOGLOGISTIC_PDF</t>
        </is>
      </c>
      <c r="B129">
        <f>ACT_DIST_LOGLOGISTIC_PDF(1, 2, 1)</f>
        <v/>
      </c>
      <c r="C129" t="inlineStr">
        <is>
          <t>f(1)</t>
        </is>
      </c>
    </row>
    <row r="130">
      <c r="A130" t="inlineStr">
        <is>
          <t>ACT_DIST_LOGLOGISTIC_CDF</t>
        </is>
      </c>
      <c r="B130">
        <f>ACT_DIST_LOGLOGISTIC_CDF(1, 2, 1)</f>
        <v/>
      </c>
      <c r="C130" t="inlineStr">
        <is>
          <t>F(1)</t>
        </is>
      </c>
    </row>
    <row r="131">
      <c r="A131" t="inlineStr">
        <is>
          <t>ACT_DIST_LOGLOGISTIC_INV</t>
        </is>
      </c>
      <c r="B131">
        <f>ACT_DIST_LOGLOGISTIC_INV(0.5, 2, 1)</f>
        <v/>
      </c>
      <c r="C131" t="inlineStr">
        <is>
          <t>Median</t>
        </is>
      </c>
    </row>
    <row r="133">
      <c r="A133" s="5" t="inlineStr">
        <is>
          <t>Lomax / Pareto II (alpha=2, lambda=1)</t>
        </is>
      </c>
    </row>
    <row r="134">
      <c r="A134" t="inlineStr">
        <is>
          <t>ACT_DIST_LOMAX_PDF</t>
        </is>
      </c>
      <c r="B134">
        <f>ACT_DIST_LOMAX_PDF(1, 2, 1)</f>
        <v/>
      </c>
      <c r="C134" t="inlineStr">
        <is>
          <t>f(1)</t>
        </is>
      </c>
    </row>
    <row r="135">
      <c r="A135" t="inlineStr">
        <is>
          <t>ACT_DIST_LOMAX_CDF</t>
        </is>
      </c>
      <c r="B135">
        <f>ACT_DIST_LOMAX_CDF(1, 2, 1)</f>
        <v/>
      </c>
      <c r="C135" t="inlineStr">
        <is>
          <t>F(1) = 0.75</t>
        </is>
      </c>
    </row>
    <row r="136">
      <c r="A136" t="inlineStr">
        <is>
          <t>ACT_DIST_LOMAX_INV</t>
        </is>
      </c>
      <c r="B136">
        <f>ACT_DIST_LOMAX_INV(0.5, 2, 1)</f>
        <v/>
      </c>
      <c r="C136" t="inlineStr">
        <is>
          <t>Median</t>
        </is>
      </c>
    </row>
    <row r="138">
      <c r="A138" s="5" t="inlineStr">
        <is>
          <t>Pareto III (mu=0, sigma=1, gamma=2)</t>
        </is>
      </c>
    </row>
    <row r="139">
      <c r="A139" t="inlineStr">
        <is>
          <t>ACT_DIST_PARETO3_PDF</t>
        </is>
      </c>
      <c r="B139">
        <f>ACT_DIST_PARETO3_PDF(1, 0, 1, 2)</f>
        <v/>
      </c>
      <c r="C139" t="inlineStr">
        <is>
          <t>f(1)</t>
        </is>
      </c>
    </row>
    <row r="140">
      <c r="A140" t="inlineStr">
        <is>
          <t>ACT_DIST_PARETO3_CDF</t>
        </is>
      </c>
      <c r="B140">
        <f>ACT_DIST_PARETO3_CDF(1, 0, 1, 2)</f>
        <v/>
      </c>
      <c r="C140" t="inlineStr">
        <is>
          <t>F(1)</t>
        </is>
      </c>
    </row>
    <row r="141">
      <c r="A141" t="inlineStr">
        <is>
          <t>ACT_DIST_PARETO3_INV</t>
        </is>
      </c>
      <c r="B141">
        <f>ACT_DIST_PARETO3_INV(0.5, 0, 1, 2)</f>
        <v/>
      </c>
      <c r="C141" t="inlineStr">
        <is>
          <t>Median</t>
        </is>
      </c>
    </row>
    <row r="142">
      <c r="A142" t="inlineStr">
        <is>
          <t>ACT_DIST_PARETO3_MEAN</t>
        </is>
      </c>
      <c r="B142">
        <f>ACT_DIST_PARETO3_MEAN(0, 1, 2)</f>
        <v/>
      </c>
      <c r="C142" t="inlineStr">
        <is>
          <t>Mean</t>
        </is>
      </c>
    </row>
    <row r="144">
      <c r="A144" s="5" t="inlineStr">
        <is>
          <t>Pareto IV (mu=0, sigma=1, gamma=2, alpha=3)</t>
        </is>
      </c>
    </row>
    <row r="145">
      <c r="A145" t="inlineStr">
        <is>
          <t>ACT_DIST_PARETO4_PDF</t>
        </is>
      </c>
      <c r="B145">
        <f>ACT_DIST_PARETO4_PDF(1, 0, 1, 2, 3)</f>
        <v/>
      </c>
      <c r="C145" t="inlineStr">
        <is>
          <t>f(1)</t>
        </is>
      </c>
    </row>
    <row r="146">
      <c r="A146" t="inlineStr">
        <is>
          <t>ACT_DIST_PARETO4_CDF</t>
        </is>
      </c>
      <c r="B146">
        <f>ACT_DIST_PARETO4_CDF(1, 0, 1, 2, 3)</f>
        <v/>
      </c>
      <c r="C146" t="inlineStr">
        <is>
          <t>F(1)</t>
        </is>
      </c>
    </row>
    <row r="147">
      <c r="A147" t="inlineStr">
        <is>
          <t>ACT_DIST_PARETO4_INV</t>
        </is>
      </c>
      <c r="B147">
        <f>ACT_DIST_PARETO4_INV(0.5, 0, 1, 2, 3)</f>
        <v/>
      </c>
      <c r="C147" t="inlineStr">
        <is>
          <t>Median</t>
        </is>
      </c>
    </row>
    <row r="149">
      <c r="A149" s="5" t="inlineStr">
        <is>
          <t>Fackler Composite Distributions</t>
        </is>
      </c>
    </row>
    <row r="150">
      <c r="A150" t="inlineStr">
        <is>
          <t>ACT_DIST_LNPARETO_PDF</t>
        </is>
      </c>
      <c r="B150">
        <f>ACT_DIST_LNPARETO_PDF(5, 0, 1, 10)</f>
        <v/>
      </c>
      <c r="C150" t="inlineStr">
        <is>
          <t>LN-Pareto PDF at x=5, mu=0, sigma=1, theta=10</t>
        </is>
      </c>
    </row>
    <row r="151">
      <c r="A151" t="inlineStr">
        <is>
          <t>ACT_DIST_LNPARETO_CDF</t>
        </is>
      </c>
      <c r="B151">
        <f>ACT_DIST_LNPARETO_CDF(5, 0, 1, 10)</f>
        <v/>
      </c>
      <c r="C151" t="inlineStr">
        <is>
          <t>LN-Pareto CDF</t>
        </is>
      </c>
    </row>
    <row r="152">
      <c r="A152" t="inlineStr">
        <is>
          <t>ACT_DIST_LNPARETO_ALPHA</t>
        </is>
      </c>
      <c r="B152">
        <f>ACT_DIST_LNPARETO_ALPHA(0, 1, 10)</f>
        <v/>
      </c>
      <c r="C152" t="inlineStr">
        <is>
          <t>Derived tail index alpha</t>
        </is>
      </c>
    </row>
    <row r="153">
      <c r="A153" t="inlineStr">
        <is>
          <t>ACT_DIST_EXPPARETO_PDF</t>
        </is>
      </c>
      <c r="B153">
        <f>ACT_DIST_EXPPARETO_PDF(5, 0.5, 10)</f>
        <v/>
      </c>
      <c r="C153" t="inlineStr">
        <is>
          <t>Exp-Pareto PDF at x=5, rate=0.5, theta=10</t>
        </is>
      </c>
    </row>
    <row r="154">
      <c r="A154" t="inlineStr">
        <is>
          <t>ACT_DIST_EXPPARETO_CDF</t>
        </is>
      </c>
      <c r="B154">
        <f>ACT_DIST_EXPPARETO_CDF(5, 0.5, 10)</f>
        <v/>
      </c>
      <c r="C154" t="inlineStr">
        <is>
          <t>Exp-Pareto CDF</t>
        </is>
      </c>
    </row>
    <row r="155">
      <c r="A155" t="inlineStr">
        <is>
          <t>ACT_DIST_EXPPARETO_ALPHA</t>
        </is>
      </c>
      <c r="B155">
        <f>ACT_DIST_EXPPARETO_ALPHA(0.5, 10)</f>
        <v/>
      </c>
      <c r="C155" t="inlineStr">
        <is>
          <t>alpha = theta * rate = 5</t>
        </is>
      </c>
    </row>
    <row r="156">
      <c r="A156" t="inlineStr">
        <is>
          <t>ACT_DIST_POWPARETO_PDF</t>
        </is>
      </c>
      <c r="B156">
        <f>ACT_DIST_POWPARETO_PDF(5, 2, 0.5, 10)</f>
        <v/>
      </c>
      <c r="C156" t="inlineStr">
        <is>
          <t>Power-Pareto PDF at x=5, alpha=2, beta=0.5, theta=10</t>
        </is>
      </c>
    </row>
    <row r="157">
      <c r="A157" t="inlineStr">
        <is>
          <t>ACT_DIST_POWPARETO_CDF</t>
        </is>
      </c>
      <c r="B157">
        <f>ACT_DIST_POWPARETO_CDF(5, 2, 0.5, 10)</f>
        <v/>
      </c>
      <c r="C157" t="inlineStr">
        <is>
          <t>Power-Pareto CDF</t>
        </is>
      </c>
    </row>
    <row r="159">
      <c r="A159" s="2" t="inlineStr">
        <is>
          <t>LIMITED EXPECTED VALUE (LEV)</t>
        </is>
      </c>
    </row>
    <row r="161">
      <c r="A161" s="5" t="inlineStr">
        <is>
          <t>Poisson LEV (lambda=5, limit=5)</t>
        </is>
      </c>
    </row>
    <row r="162">
      <c r="A162" t="inlineStr">
        <is>
          <t>ACT_DIST_POISSON_LEV</t>
        </is>
      </c>
      <c r="B162">
        <f>ACT_DIST_POISSON_LEV(5, 5)</f>
        <v/>
      </c>
      <c r="C162" t="inlineStr">
        <is>
          <t>E[min(X,5)] for Poisson(5)</t>
        </is>
      </c>
    </row>
    <row r="164">
      <c r="A164" s="5" t="inlineStr">
        <is>
          <t>Negative Binomial LEV (r=5, p=0.3, limit=10)</t>
        </is>
      </c>
    </row>
    <row r="165">
      <c r="A165" t="inlineStr">
        <is>
          <t>ACT_DIST_NEGBIN_LEV</t>
        </is>
      </c>
      <c r="B165">
        <f>ACT_DIST_NEGBIN_LEV(10, 5, 0.3)</f>
        <v/>
      </c>
      <c r="C165" t="inlineStr">
        <is>
          <t>E[min(X,10)] for NegBin</t>
        </is>
      </c>
    </row>
    <row r="167">
      <c r="A167" s="5" t="inlineStr">
        <is>
          <t>Exponential LEV (lambda=0.5, limit=2)</t>
        </is>
      </c>
    </row>
    <row r="168">
      <c r="A168" t="inlineStr">
        <is>
          <t>ACT_DIST_EXP_LEV</t>
        </is>
      </c>
      <c r="B168">
        <f>ACT_DIST_EXP_LEV(2, 0.5)</f>
        <v/>
      </c>
      <c r="C168" t="inlineStr">
        <is>
          <t>E[min(X,2)] = 1.2642</t>
        </is>
      </c>
    </row>
    <row r="170">
      <c r="A170" s="5" t="inlineStr">
        <is>
          <t>Lognormal LEV (mu=0, sigma=1, limit=2)</t>
        </is>
      </c>
    </row>
    <row r="171">
      <c r="A171" t="inlineStr">
        <is>
          <t>ACT_DIST_LOGNORM_LEV</t>
        </is>
      </c>
      <c r="B171">
        <f>ACT_DIST_LOGNORM_LEV(2, 0, 1)</f>
        <v/>
      </c>
      <c r="C171" t="inlineStr">
        <is>
          <t>E[min(X,2)] = 1.1139</t>
        </is>
      </c>
    </row>
    <row r="173">
      <c r="A173" s="5" t="inlineStr">
        <is>
          <t>Gamma LEV (alpha=2, beta=1, limit=2)</t>
        </is>
      </c>
    </row>
    <row r="174">
      <c r="A174" t="inlineStr">
        <is>
          <t>ACT_DIST_GAMMA_LEV</t>
        </is>
      </c>
      <c r="B174">
        <f>ACT_DIST_GAMMA_LEV(2, 2, 1)</f>
        <v/>
      </c>
      <c r="C174" t="inlineStr">
        <is>
          <t>E[min(X,2)] = 1.4587</t>
        </is>
      </c>
    </row>
    <row r="176">
      <c r="A176" s="5" t="inlineStr">
        <is>
          <t>Pareto LEV (alpha=2, xm=1, limit=2)</t>
        </is>
      </c>
    </row>
    <row r="177">
      <c r="A177" t="inlineStr">
        <is>
          <t>ACT_DIST_PARETO_LEV</t>
        </is>
      </c>
      <c r="B177">
        <f>ACT_DIST_PARETO_LEV(2, 2, 1)</f>
        <v/>
      </c>
      <c r="C177" t="inlineStr">
        <is>
          <t>E[min(X,2)] = 1.5</t>
        </is>
      </c>
    </row>
    <row r="179">
      <c r="A179" s="5" t="inlineStr">
        <is>
          <t>Lomax LEV (alpha=2, lambda=1, limit=2)</t>
        </is>
      </c>
    </row>
    <row r="180">
      <c r="A180" t="inlineStr">
        <is>
          <t>ACT_DIST_LOMAX_LEV</t>
        </is>
      </c>
      <c r="B180">
        <f>ACT_DIST_LOMAX_LEV(2, 2, 1)</f>
        <v/>
      </c>
      <c r="C180" t="inlineStr">
        <is>
          <t>E[min(X,2)] = 0.6667</t>
        </is>
      </c>
    </row>
    <row r="182">
      <c r="A182" s="5" t="inlineStr">
        <is>
          <t>GPD LEV (xi=0.5, sigma=1, limit=2)</t>
        </is>
      </c>
    </row>
    <row r="183">
      <c r="A183" t="inlineStr">
        <is>
          <t>ACT_DIST_GPD_LEV</t>
        </is>
      </c>
      <c r="B183">
        <f>ACT_DIST_GPD_LEV(2, 0.5, 1)</f>
        <v/>
      </c>
      <c r="C183" t="inlineStr">
        <is>
          <t>E[min(X,2)] = 1.0</t>
        </is>
      </c>
    </row>
    <row r="185">
      <c r="A185" s="5" t="inlineStr">
        <is>
          <t>Weibull LEV (k=2, lambda=1, limit=1)</t>
        </is>
      </c>
    </row>
    <row r="186">
      <c r="A186" t="inlineStr">
        <is>
          <t>ACT_DIST_WEIBULL_LEV</t>
        </is>
      </c>
      <c r="B186">
        <f>ACT_DIST_WEIBULL_LEV(1, 2, 1)</f>
        <v/>
      </c>
      <c r="C186" t="inlineStr">
        <is>
          <t>E[min(X,1)] = 0.7468</t>
        </is>
      </c>
    </row>
    <row r="188">
      <c r="A188" s="5" t="inlineStr">
        <is>
          <t>Beta LEV (alpha=2, beta=5, limit=0.5)</t>
        </is>
      </c>
    </row>
    <row r="189">
      <c r="A189" t="inlineStr">
        <is>
          <t>ACT_DIST_BETA_LEV</t>
        </is>
      </c>
      <c r="B189">
        <f>ACT_DIST_BETA_LEV(0.5, 2, 5)</f>
        <v/>
      </c>
      <c r="C189" t="inlineStr">
        <is>
          <t>E[min(X,0.5)] = 0.2757</t>
        </is>
      </c>
    </row>
    <row r="191">
      <c r="A191" s="5" t="inlineStr">
        <is>
          <t>Burr XII LEV (c=2, k=3, lambda=1, limit=1)</t>
        </is>
      </c>
    </row>
    <row r="192">
      <c r="A192" t="inlineStr">
        <is>
          <t>ACT_DIST_BURR_LEV</t>
        </is>
      </c>
      <c r="B192">
        <f>ACT_DIST_BURR_LEV(1, 2, 3, 1)</f>
        <v/>
      </c>
      <c r="C192" t="inlineStr">
        <is>
          <t>E[min(X,1)] = 0.5445</t>
        </is>
      </c>
    </row>
    <row r="194">
      <c r="A194" s="5" t="inlineStr">
        <is>
          <t>Inverse Gaussian LEV (mu=1, lambda=2, limit=1)</t>
        </is>
      </c>
    </row>
    <row r="195">
      <c r="A195" t="inlineStr">
        <is>
          <t>ACT_DIST_INVGAUSS_LEV</t>
        </is>
      </c>
      <c r="B195">
        <f>ACT_DIST_INVGAUSS_LEV(1, 1, 2)</f>
        <v/>
      </c>
      <c r="C195" t="inlineStr">
        <is>
          <t>E[min(X,1)]</t>
        </is>
      </c>
    </row>
    <row r="197">
      <c r="A197" s="5" t="inlineStr">
        <is>
          <t>Loglogistic LEV (alpha=2, beta=1, limit=2)</t>
        </is>
      </c>
    </row>
    <row r="198">
      <c r="A198" t="inlineStr">
        <is>
          <t>ACT_DIST_LOGLOGISTIC_LEV</t>
        </is>
      </c>
      <c r="B198">
        <f>ACT_DIST_LOGLOGISTIC_LEV(2, 2, 1)</f>
        <v/>
      </c>
      <c r="C198" t="inlineStr">
        <is>
          <t>E[min(X,2)]</t>
        </is>
      </c>
    </row>
    <row r="200">
      <c r="A200" s="2" t="inlineStr">
        <is>
          <t>EXPOSURE CURVES</t>
        </is>
      </c>
    </row>
    <row r="202">
      <c r="A202" t="inlineStr">
        <is>
          <t>ACT_EXPOSURE_MBBEFD</t>
        </is>
      </c>
      <c r="B202">
        <f>ACT_EXPOSURE_MBBEFD(0.5, 2, 3)</f>
        <v/>
      </c>
      <c r="C202" t="inlineStr">
        <is>
          <t>MBBEFD at d=0.5, b=2, g=3</t>
        </is>
      </c>
    </row>
    <row r="203">
      <c r="A203" t="inlineStr">
        <is>
          <t>ACT_EXPOSURE_SWISSRE</t>
        </is>
      </c>
      <c r="B203">
        <f>ACT_EXPOSURE_SWISSRE(0.5, 1)</f>
        <v/>
      </c>
      <c r="C203" t="inlineStr">
        <is>
          <t>Swiss Re curve 1 (light)</t>
        </is>
      </c>
    </row>
    <row r="204">
      <c r="A204" t="inlineStr">
        <is>
          <t>ACT_EXPOSURE_SWISSRE</t>
        </is>
      </c>
      <c r="B204">
        <f>ACT_EXPOSURE_SWISSRE(0.5, 3)</f>
        <v/>
      </c>
      <c r="C204" t="inlineStr">
        <is>
          <t>Swiss Re curve 3 (medium)</t>
        </is>
      </c>
    </row>
    <row r="205">
      <c r="A205" t="inlineStr">
        <is>
          <t>ACT_EXPOSURE_SWISSRE</t>
        </is>
      </c>
      <c r="B205">
        <f>ACT_EXPOSURE_SWISSRE(0.5, 5)</f>
        <v/>
      </c>
      <c r="C205" t="inlineStr">
        <is>
          <t>Swiss Re curve 5 (heavy)</t>
        </is>
      </c>
    </row>
    <row r="206">
      <c r="A206" t="inlineStr">
        <is>
          <t>ACT_EXPOSURE_LLOYDS</t>
        </is>
      </c>
      <c r="B206">
        <f>ACT_EXPOSURE_LLOYDS(0.5, 1)</f>
        <v/>
      </c>
      <c r="C206" t="inlineStr">
        <is>
          <t>Lloyd's Y1 curve</t>
        </is>
      </c>
    </row>
    <row r="207">
      <c r="A207" t="inlineStr">
        <is>
          <t>ACT_EXPOSURE_LLOYDS</t>
        </is>
      </c>
      <c r="B207">
        <f>ACT_EXPOSURE_LLOYDS(0.5, 2)</f>
        <v/>
      </c>
      <c r="C207" t="inlineStr">
        <is>
          <t>Lloyd's Y2 curve</t>
        </is>
      </c>
    </row>
    <row r="208">
      <c r="A208" t="inlineStr">
        <is>
          <t>ACT_EXPOSURE_LLOYDS</t>
        </is>
      </c>
      <c r="B208">
        <f>ACT_EXPOSURE_LLOYDS(0.5, 3)</f>
        <v/>
      </c>
      <c r="C208" t="inlineStr">
        <is>
          <t>Lloyd's Y3 curve</t>
        </is>
      </c>
    </row>
    <row r="209">
      <c r="A209" t="inlineStr">
        <is>
          <t>ACT_EXPOSURE_LLOYDS</t>
        </is>
      </c>
      <c r="B209">
        <f>ACT_EXPOSURE_LLOYDS(0.5, 4)</f>
        <v/>
      </c>
      <c r="C209" t="inlineStr">
        <is>
          <t>Lloyd's Y4 curve</t>
        </is>
      </c>
    </row>
    <row r="210">
      <c r="A210" t="inlineStr">
        <is>
          <t>ACT_EXPOSURE_POWER</t>
        </is>
      </c>
      <c r="B210">
        <f>ACT_EXPOSURE_POWER(0.5, 2)</f>
        <v/>
      </c>
      <c r="C210" t="inlineStr">
        <is>
          <t>Power curve n=2</t>
        </is>
      </c>
    </row>
    <row r="211">
      <c r="A211" t="inlineStr">
        <is>
          <t>ACT_EXPOSURE_INVERSE_POWER</t>
        </is>
      </c>
      <c r="B211">
        <f>ACT_EXPOSURE_INVERSE_POWER(0.5, 2)</f>
        <v/>
      </c>
      <c r="C211" t="inlineStr">
        <is>
          <t>Inverse power n=2</t>
        </is>
      </c>
    </row>
    <row r="212">
      <c r="A212" t="inlineStr">
        <is>
          <t>ACT_EXPOSURE_PARETO</t>
        </is>
      </c>
      <c r="B212">
        <f>ACT_EXPOSURE_PARETO(0.5, 2)</f>
        <v/>
      </c>
      <c r="C212" t="inlineStr">
        <is>
          <t>Pareto exposure alpha=2</t>
        </is>
      </c>
    </row>
    <row r="213">
      <c r="A213" t="inlineStr">
        <is>
          <t>ACT_EXPOSURE_RIEBESELL</t>
        </is>
      </c>
      <c r="B213">
        <f>ACT_EXPOSURE_RIEBESELL(0.5, 0.8)</f>
        <v/>
      </c>
      <c r="C213" t="inlineStr">
        <is>
          <t>Riebesell c=0.8</t>
        </is>
      </c>
    </row>
    <row r="214">
      <c r="A214" t="inlineStr">
        <is>
          <t>ACT_EXPOSURE_RIEBESELL_INV</t>
        </is>
      </c>
      <c r="B214">
        <f>ACT_EXPOSURE_RIEBESELL_INV(0.7, 0.8)</f>
        <v/>
      </c>
      <c r="C214" t="inlineStr">
        <is>
          <t>Inverse Riebesell</t>
        </is>
      </c>
    </row>
    <row r="216">
      <c r="A216" s="2" t="inlineStr">
        <is>
          <t>REINSURANCE</t>
        </is>
      </c>
    </row>
    <row r="218">
      <c r="A218" t="inlineStr">
        <is>
          <t>ACT_XOL_LAYER_LOSS</t>
        </is>
      </c>
      <c r="B218">
        <f>ACT_XOL_LAYER_LOSS(5000000, 1000000, 4000000)</f>
        <v/>
      </c>
      <c r="C218" t="inlineStr">
        <is>
          <t>Layer loss: 5M ground-up, 4M xs 1M</t>
        </is>
      </c>
    </row>
    <row r="219">
      <c r="A219" t="inlineStr">
        <is>
          <t>ACT_XOL_EXPECTED_LOSS</t>
        </is>
      </c>
      <c r="B219">
        <f>ACT_XOL_EXPECTED_LOSS(1000000, 4000000, 2, 100000, 0.1)</f>
        <v/>
      </c>
      <c r="C219" t="inlineStr">
        <is>
          <t>Expected layer loss</t>
        </is>
      </c>
    </row>
    <row r="220">
      <c r="A220" t="inlineStr">
        <is>
          <t>ACT_ILF_PARETO</t>
        </is>
      </c>
      <c r="B220">
        <f>ACT_ILF_PARETO(2000000, 1000000, 2)</f>
        <v/>
      </c>
      <c r="C220" t="inlineStr">
        <is>
          <t>ILF at 2M, base 1M, alpha=2</t>
        </is>
      </c>
    </row>
    <row r="221">
      <c r="A221" t="inlineStr">
        <is>
          <t>ACT_EXPOSURE_LAYER_RATE</t>
        </is>
      </c>
      <c r="B221">
        <f>ACT_EXPOSURE_LAYER_RATE(0.1, 0.5, 0.05, 2, 3)</f>
        <v/>
      </c>
      <c r="C221" t="inlineStr">
        <is>
          <t>Rate on line</t>
        </is>
      </c>
    </row>
    <row r="223">
      <c r="A223" s="2" t="inlineStr">
        <is>
          <t>CAT MODELING</t>
        </is>
      </c>
    </row>
    <row r="225">
      <c r="A225" t="inlineStr">
        <is>
          <t>ACT_CAT_ELT_TO_YLT</t>
        </is>
      </c>
      <c r="B225">
        <f>INDEX(ACT_CAT_ELT_TO_YLT({0.01,0.02,0.05,0.1}, {1000000,500000,200000,50000}, 100, 42), 1, 1)</f>
        <v/>
      </c>
      <c r="C225" t="inlineStr">
        <is>
          <t>ELT to YLT simulation (array)</t>
        </is>
      </c>
    </row>
    <row r="226">
      <c r="A226" t="inlineStr">
        <is>
          <t>ACT_CAT_YLT_OEP_CURVE</t>
        </is>
      </c>
      <c r="B226">
        <f>INDEX(ACT_CAT_YLT_OEP_CURVE({500000,200000,0,100000,300000}), 1, 1)</f>
        <v/>
      </c>
      <c r="C226" t="inlineStr">
        <is>
          <t>OEP curve from annual max losses (array)</t>
        </is>
      </c>
    </row>
    <row r="227">
      <c r="A227" t="inlineStr">
        <is>
          <t>ACT_CAT_YLT_AEP_CURVE</t>
        </is>
      </c>
      <c r="B227">
        <f>INDEX(ACT_CAT_YLT_AEP_CURVE({500000,200000,0,100000,300000}), 1, 1)</f>
        <v/>
      </c>
      <c r="C227" t="inlineStr">
        <is>
          <t>AEP curve from annual aggregate losses (array)</t>
        </is>
      </c>
    </row>
    <row r="228">
      <c r="A228" t="inlineStr">
        <is>
          <t>ACT_CAT_OEP_CURVE_RP</t>
        </is>
      </c>
      <c r="B228">
        <f>INDEX(ACT_CAT_OEP_CURVE_RP({500000,200000,0,100000,300000}, {5,10,25}), 1, 1)</f>
        <v/>
      </c>
      <c r="C228" t="inlineStr">
        <is>
          <t>OEP at specific return periods (array)</t>
        </is>
      </c>
    </row>
    <row r="229">
      <c r="A229" t="inlineStr">
        <is>
          <t>ACT_CAT_AEP_CURVE_RP</t>
        </is>
      </c>
      <c r="B229">
        <f>INDEX(ACT_CAT_AEP_CURVE_RP({500000,200000,0,100000,300000}, {5,10,25}), 1, 1)</f>
        <v/>
      </c>
      <c r="C229" t="inlineStr">
        <is>
          <t>AEP at specific return periods (array)</t>
        </is>
      </c>
    </row>
    <row r="231">
      <c r="A231" s="2" t="inlineStr">
        <is>
          <t>RISK METRICS</t>
        </is>
      </c>
    </row>
    <row r="233">
      <c r="A233" t="inlineStr">
        <is>
          <t>ACT_VAR_FROM_SAMPLES</t>
        </is>
      </c>
      <c r="B233">
        <f>ACT_VAR_FROM_SAMPLES({100,200,300,400,500,600,700,800,900,1000}, 0.95)</f>
        <v/>
      </c>
      <c r="C233" t="inlineStr">
        <is>
          <t>95th percentile VaR</t>
        </is>
      </c>
    </row>
    <row r="234">
      <c r="A234" t="inlineStr">
        <is>
          <t>ACT_TVAR_FROM_SAMPLES</t>
        </is>
      </c>
      <c r="B234">
        <f>ACT_TVAR_FROM_SAMPLES({100,200,300,400,500,600,700,800,900,1000}, 0.95)</f>
        <v/>
      </c>
      <c r="C234" t="inlineStr">
        <is>
          <t>95th percentile TVaR</t>
        </is>
      </c>
    </row>
    <row r="236">
      <c r="A236" s="5" t="inlineStr">
        <is>
          <t>Return Period Functions</t>
        </is>
      </c>
    </row>
    <row r="237">
      <c r="A237" t="inlineStr">
        <is>
          <t>ACT_RETURN_PERIOD_LOSS</t>
        </is>
      </c>
      <c r="B237">
        <f>ACT_RETURN_PERIOD_LOSS({100,50,25,10,5}, {1000000,2000000,3000000,5000000,10000000}, 20, "LOG")</f>
        <v/>
      </c>
      <c r="C237" t="inlineStr">
        <is>
          <t>20-year loss</t>
        </is>
      </c>
    </row>
    <row r="238">
      <c r="A238" t="inlineStr">
        <is>
          <t>ACT_RETURN_PERIOD_TABLE</t>
        </is>
      </c>
      <c r="B238">
        <f>INDEX(ACT_RETURN_PERIOD_TABLE({100,50,25,10,5}, {1000000,2000000,3000000,5000000,10000000}, {10,25,50,100}), 1, 1)</f>
        <v/>
      </c>
      <c r="C238" t="inlineStr">
        <is>
          <t>RP table (array)</t>
        </is>
      </c>
    </row>
    <row r="239">
      <c r="A239" t="inlineStr">
        <is>
          <t>ACT_AAL_FROM_OEP</t>
        </is>
      </c>
      <c r="B239">
        <f>ACT_AAL_FROM_OEP({100,50,25,10,5}, {1000000,2000000,3000000,5000000,10000000})</f>
        <v/>
      </c>
      <c r="C239" t="inlineStr">
        <is>
          <t>AAL from OEP curve</t>
        </is>
      </c>
    </row>
    <row r="241">
      <c r="A241" s="2" t="inlineStr">
        <is>
          <t>INTERPOLATION</t>
        </is>
      </c>
    </row>
    <row r="243">
      <c r="A243" t="inlineStr">
        <is>
          <t>ACT_INTERP</t>
        </is>
      </c>
      <c r="B243">
        <f>ACT_INTERP({1,2,3,4,5}, {10,20,35,55,80}, 2.5, "LINEAR")</f>
        <v/>
      </c>
      <c r="C243" t="inlineStr">
        <is>
          <t>Linear interpolation</t>
        </is>
      </c>
    </row>
    <row r="244">
      <c r="A244" t="inlineStr">
        <is>
          <t>ACT_INTERP</t>
        </is>
      </c>
      <c r="B244">
        <f>ACT_INTERP({1,2,3,4,5}, {10,20,35,55,80}, 0.5, "FLAT")</f>
        <v/>
      </c>
      <c r="C244" t="inlineStr">
        <is>
          <t>Flat extrapolation</t>
        </is>
      </c>
    </row>
    <row r="245">
      <c r="A245" t="inlineStr">
        <is>
          <t>ACT_INTERP</t>
        </is>
      </c>
      <c r="B245">
        <f>ACT_INTERP({1,2,3,4,5}, {10,20,35,55,80}, 6, "GRADIENT")</f>
        <v/>
      </c>
      <c r="C245" t="inlineStr">
        <is>
          <t>Gradient extrapolation</t>
        </is>
      </c>
    </row>
    <row r="246">
      <c r="A246" t="inlineStr">
        <is>
          <t>ACT_INTERP_LOG</t>
        </is>
      </c>
      <c r="B246">
        <f>ACT_INTERP_LOG({1,2,3,4,5}, {10,20,35,55,80}, 2.5)</f>
        <v/>
      </c>
      <c r="C246" t="inlineStr">
        <is>
          <t>Log-linear interpolation</t>
        </is>
      </c>
    </row>
    <row r="247">
      <c r="A247" t="inlineStr">
        <is>
          <t>ACT_INTERP2D</t>
        </is>
      </c>
      <c r="B247">
        <f>ACT_INTERP2D({1,2,3}, {10,20,30}, {100,200,300;110,220,330;120,240,360}, 1.5, 15)</f>
        <v/>
      </c>
      <c r="C247" t="inlineStr">
        <is>
          <t>2D bilinear interpolation</t>
        </is>
      </c>
    </row>
    <row r="249">
      <c r="A249" s="2" t="inlineStr">
        <is>
          <t>COPULAS - Gaussian</t>
        </is>
      </c>
    </row>
    <row r="251">
      <c r="A251" t="inlineStr">
        <is>
          <t>ACT_COPULA_GAUSSIAN</t>
        </is>
      </c>
      <c r="B251">
        <f>INDEX(ACT_COPULA_GAUSSIAN({1,0.5;0.5,1}, 5, 42), 1, 1)</f>
        <v/>
      </c>
      <c r="C251" t="inlineStr">
        <is>
          <t>Gaussian copula samples (array)</t>
        </is>
      </c>
    </row>
    <row r="252">
      <c r="A252" t="inlineStr">
        <is>
          <t>ACT_COPULA_GAUSSIAN_SINGLE</t>
        </is>
      </c>
      <c r="B252">
        <f>INDEX(ACT_COPULA_GAUSSIAN_SINGLE({1,0.5;0.5,1}, 42), 1, 1)</f>
        <v/>
      </c>
      <c r="C252" t="inlineStr">
        <is>
          <t>Single Gaussian sample</t>
        </is>
      </c>
    </row>
    <row r="254">
      <c r="A254" s="2" t="inlineStr">
        <is>
          <t>COPULAS - Student-t</t>
        </is>
      </c>
    </row>
    <row r="255">
      <c r="A255" t="inlineStr">
        <is>
          <t>ACT_COPULA_STUDENT_T</t>
        </is>
      </c>
      <c r="B255">
        <f>INDEX(ACT_COPULA_STUDENT_T({1,0.5;0.5,1}, 5, 5, 42), 1, 1)</f>
        <v/>
      </c>
      <c r="C255" t="inlineStr">
        <is>
          <t>Student-t copula (array)</t>
        </is>
      </c>
    </row>
    <row r="256">
      <c r="A256" t="inlineStr">
        <is>
          <t>ACT_COPULA_STUDENT_T_SINGLE</t>
        </is>
      </c>
      <c r="B256">
        <f>INDEX(ACT_COPULA_STUDENT_T_SINGLE({1,0.5;0.5,1}, 5, 42), 1, 1)</f>
        <v/>
      </c>
      <c r="C256" t="inlineStr">
        <is>
          <t>Single Student-t sample</t>
        </is>
      </c>
    </row>
    <row r="258">
      <c r="A258" s="2" t="inlineStr">
        <is>
          <t>COPULAS - Clayton (lower tail)</t>
        </is>
      </c>
    </row>
    <row r="259">
      <c r="A259" t="inlineStr">
        <is>
          <t>ACT_COPULA_CLAYTON</t>
        </is>
      </c>
      <c r="B259">
        <f>INDEX(ACT_COPULA_CLAYTON(2, 5, 42), 1, 1)</f>
        <v/>
      </c>
      <c r="C259" t="inlineStr">
        <is>
          <t>Clayton copula (array)</t>
        </is>
      </c>
    </row>
    <row r="260">
      <c r="A260" t="inlineStr">
        <is>
          <t>ACT_COPULA_CLAYTON_SINGLE</t>
        </is>
      </c>
      <c r="B260">
        <f>INDEX(ACT_COPULA_CLAYTON_SINGLE(2, 42), 1, 1)</f>
        <v/>
      </c>
      <c r="C260" t="inlineStr">
        <is>
          <t>Single Clayton sample</t>
        </is>
      </c>
    </row>
    <row r="261">
      <c r="A261" t="inlineStr">
        <is>
          <t>ACT_COPULA_CLAYTON_CDF</t>
        </is>
      </c>
      <c r="B261">
        <f>ACT_COPULA_CLAYTON_CDF(0.5, 0.5, 2)</f>
        <v/>
      </c>
      <c r="C261" t="inlineStr">
        <is>
          <t>Clayton CDF</t>
        </is>
      </c>
    </row>
    <row r="263">
      <c r="A263" s="2" t="inlineStr">
        <is>
          <t>COPULAS - Frank (symmetric)</t>
        </is>
      </c>
    </row>
    <row r="264">
      <c r="A264" t="inlineStr">
        <is>
          <t>ACT_COPULA_FRANK</t>
        </is>
      </c>
      <c r="B264">
        <f>INDEX(ACT_COPULA_FRANK(5, 5, 42), 1, 1)</f>
        <v/>
      </c>
      <c r="C264" t="inlineStr">
        <is>
          <t>Frank copula (array)</t>
        </is>
      </c>
    </row>
    <row r="265">
      <c r="A265" t="inlineStr">
        <is>
          <t>ACT_COPULA_FRANK_SINGLE</t>
        </is>
      </c>
      <c r="B265">
        <f>INDEX(ACT_COPULA_FRANK_SINGLE(5, 42), 1, 1)</f>
        <v/>
      </c>
      <c r="C265" t="inlineStr">
        <is>
          <t>Single Frank sample</t>
        </is>
      </c>
    </row>
    <row r="266">
      <c r="A266" t="inlineStr">
        <is>
          <t>ACT_COPULA_FRANK_CDF</t>
        </is>
      </c>
      <c r="B266">
        <f>ACT_COPULA_FRANK_CDF(0.5, 0.5, 5)</f>
        <v/>
      </c>
      <c r="C266" t="inlineStr">
        <is>
          <t>Frank CDF</t>
        </is>
      </c>
    </row>
    <row r="268">
      <c r="A268" s="2" t="inlineStr">
        <is>
          <t>COPULAS - Gumbel (upper tail)</t>
        </is>
      </c>
    </row>
    <row r="269">
      <c r="A269" t="inlineStr">
        <is>
          <t>ACT_COPULA_GUMBEL</t>
        </is>
      </c>
      <c r="B269">
        <f>INDEX(ACT_COPULA_GUMBEL(2, 5, 42), 1, 1)</f>
        <v/>
      </c>
      <c r="C269" t="inlineStr">
        <is>
          <t>Gumbel copula (array)</t>
        </is>
      </c>
    </row>
    <row r="270">
      <c r="A270" t="inlineStr">
        <is>
          <t>ACT_COPULA_GUMBEL_SINGLE</t>
        </is>
      </c>
      <c r="B270">
        <f>INDEX(ACT_COPULA_GUMBEL_SINGLE(2, 42), 1, 1)</f>
        <v/>
      </c>
      <c r="C270" t="inlineStr">
        <is>
          <t>Single Gumbel sample</t>
        </is>
      </c>
    </row>
    <row r="271">
      <c r="A271" t="inlineStr">
        <is>
          <t>ACT_COPULA_GUMBEL_CDF</t>
        </is>
      </c>
      <c r="B271">
        <f>ACT_COPULA_GUMBEL_CDF(0.5, 0.5, 2)</f>
        <v/>
      </c>
      <c r="C271" t="inlineStr">
        <is>
          <t>Gumbel CDF</t>
        </is>
      </c>
    </row>
    <row r="273">
      <c r="A273" s="2" t="inlineStr">
        <is>
          <t>COPULAS - Utilities</t>
        </is>
      </c>
    </row>
    <row r="274">
      <c r="A274" t="inlineStr">
        <is>
          <t>ACT_COPULA_TAU_TO_THETA</t>
        </is>
      </c>
      <c r="B274">
        <f>ACT_COPULA_TAU_TO_THETA(0.5, "CLAYTON")</f>
        <v/>
      </c>
      <c r="C274" t="inlineStr">
        <is>
          <t>Kendall tau -&gt; theta</t>
        </is>
      </c>
    </row>
    <row r="275">
      <c r="A275" t="inlineStr">
        <is>
          <t>ACT_COPULA_TAIL_LOWER</t>
        </is>
      </c>
      <c r="B275">
        <f>ACT_COPULA_TAIL_LOWER("CLAYTON", 2)</f>
        <v/>
      </c>
      <c r="C275" t="inlineStr">
        <is>
          <t>Lower tail dependence</t>
        </is>
      </c>
    </row>
    <row r="276">
      <c r="A276" t="inlineStr">
        <is>
          <t>ACT_COPULA_TAIL_UPPER</t>
        </is>
      </c>
      <c r="B276">
        <f>ACT_COPULA_TAIL_UPPER("GUMBEL", 2)</f>
        <v/>
      </c>
      <c r="C276" t="inlineStr">
        <is>
          <t>Upper tail dependence</t>
        </is>
      </c>
    </row>
    <row r="277">
      <c r="A277" t="inlineStr">
        <is>
          <t>ACT_COPULA_TAIL_LOWER</t>
        </is>
      </c>
      <c r="B277">
        <f>ACT_COPULA_TAIL_LOWER("STUDENT_T", 0.5, 5)</f>
        <v/>
      </c>
      <c r="C277" t="inlineStr">
        <is>
          <t>Student-t lower tail</t>
        </is>
      </c>
    </row>
    <row r="278">
      <c r="A278" t="inlineStr">
        <is>
          <t>ACT_COPULA_TAIL_UPPER</t>
        </is>
      </c>
      <c r="B278">
        <f>ACT_COPULA_TAIL_UPPER("STUDENT_T", 0.5, 5)</f>
        <v/>
      </c>
      <c r="C278" t="inlineStr">
        <is>
          <t>Student-t upper tail</t>
        </is>
      </c>
    </row>
    <row r="280">
      <c r="A280" s="2" t="inlineStr">
        <is>
          <t>CHAIN LADDER - See dedicated sheet</t>
        </is>
      </c>
    </row>
    <row r="282">
      <c r="A282" t="inlineStr">
        <is>
          <t>(Chain ladder functions tested in 'Chain Ladder' sheet with triangle data)</t>
        </is>
      </c>
    </row>
    <row r="283">
      <c r="A283" t="inlineStr">
        <is>
          <t>ACT_CL_FACTORS - Development factors (array)</t>
        </is>
      </c>
    </row>
    <row r="284">
      <c r="A284" t="inlineStr">
        <is>
          <t>ACT_CL_LATEST - Latest diagonal (array)</t>
        </is>
      </c>
    </row>
    <row r="285">
      <c r="A285" t="inlineStr">
        <is>
          <t>ACT_CL_ULTIMATE - Projected ultimates (array)</t>
        </is>
      </c>
    </row>
    <row r="286">
      <c r="A286" t="inlineStr">
        <is>
          <t>ACT_CL_IBNR - IBNR reserves (array)</t>
        </is>
      </c>
    </row>
    <row r="287">
      <c r="A287" t="inlineStr">
        <is>
          <t>ACT_BF_ULTIMATE - Bornhuetter-Ferguson (array)</t>
        </is>
      </c>
    </row>
    <row r="288">
      <c r="A288" t="inlineStr">
        <is>
          <t>ACT_MACK_FACTOR_SE - Factor std errors (array)</t>
        </is>
      </c>
    </row>
    <row r="289">
      <c r="A289" t="inlineStr">
        <is>
          <t>ACT_MACK_RESERVE_SE - Reserve std errors (array)</t>
        </is>
      </c>
    </row>
    <row r="290">
      <c r="A290" t="inlineStr">
        <is>
          <t>ACT_CL_BOOTSTRAP - Bootstrap total (array)</t>
        </is>
      </c>
    </row>
    <row r="291">
      <c r="A291" t="inlineStr">
        <is>
          <t>ACT_CL_BOOTSTRAP_ORIGIN - Bootstrap by AY (array)</t>
        </is>
      </c>
    </row>
    <row r="292">
      <c r="A292" t="inlineStr">
        <is>
          <t>ACT_CAPECOD_ULTIMATE - Cape Cod (array)</t>
        </is>
      </c>
    </row>
    <row r="293">
      <c r="A293" t="inlineStr">
        <is>
          <t>ACT_CAPECOD_ELR - Cape Cod ELR</t>
        </is>
      </c>
    </row>
    <row r="294">
      <c r="A294" t="inlineStr">
        <is>
          <t>ACT_TRIANGLE_TO_INCREMENTAL - Cum-&gt;Inc (array)</t>
        </is>
      </c>
    </row>
    <row r="295">
      <c r="A295" t="inlineStr">
        <is>
          <t>ACT_INCREMENTAL_TO_CUMULATIVE - Inc-&gt;Cum (array)</t>
        </is>
      </c>
    </row>
    <row r="296">
      <c r="A296" t="inlineStr">
        <is>
          <t>ACT_TRIANGLE_DIAGONAL - Extract diagonal (array)</t>
        </is>
      </c>
    </row>
    <row r="297">
      <c r="A297" t="inlineStr">
        <is>
          <t>ACT_TRIANGLE_LINK_RATIOS - Link ratios (array)</t>
        </is>
      </c>
    </row>
    <row r="298">
      <c r="A298" t="inlineStr">
        <is>
          <t>ACT_CL_CALENDAR_ADJUST - Calendar adjust (array)</t>
        </is>
      </c>
    </row>
    <row r="299">
      <c r="A299" t="inlineStr">
        <is>
          <t>ACT_CL_CALENDAR_TOTALS - Calendar totals (array)</t>
        </is>
      </c>
    </row>
    <row r="300">
      <c r="A300" t="inlineStr">
        <is>
          <t>ACT_CL_WEIGHTED_AVERAGE - Weighted avg (array)</t>
        </is>
      </c>
    </row>
    <row r="302">
      <c r="A302" s="2" t="inlineStr">
        <is>
          <t>VERSION INFO</t>
        </is>
      </c>
    </row>
    <row r="304">
      <c r="A304" t="inlineStr">
        <is>
          <t>ACT_VERSION</t>
        </is>
      </c>
      <c r="B304">
        <f>ACT_VERSION()</f>
        <v/>
      </c>
      <c r="C304" t="inlineStr">
        <is>
          <t>Current version</t>
        </is>
      </c>
    </row>
    <row r="305">
      <c r="A305" t="inlineStr">
        <is>
          <t>ACT_BUILD_DATE</t>
        </is>
      </c>
      <c r="B305">
        <f>ACT_BUILD_DATE()</f>
        <v/>
      </c>
      <c r="C305" t="inlineStr">
        <is>
          <t>Build date</t>
        </is>
      </c>
    </row>
    <row r="306">
      <c r="A306" t="inlineStr">
        <is>
          <t>ACT_GITHUB_URL</t>
        </is>
      </c>
      <c r="B306">
        <f>ACT_GITHUB_URL()</f>
        <v/>
      </c>
      <c r="C306" t="inlineStr">
        <is>
          <t>GitHub URL</t>
        </is>
      </c>
    </row>
    <row r="307">
      <c r="A307" t="inlineStr">
        <is>
          <t>ACT_COMMIT_COUNT</t>
        </is>
      </c>
      <c r="B307">
        <f>ACT_COMMIT_COUNT()</f>
        <v/>
      </c>
      <c r="C307" t="inlineStr">
        <is>
          <t>Number of commits</t>
        </is>
      </c>
    </row>
    <row r="308">
      <c r="A308" t="inlineStr">
        <is>
          <t>ACT_COMMIT_INFO</t>
        </is>
      </c>
      <c r="B308">
        <f>ACT_COMMIT_INFO(1, "hash")</f>
        <v/>
      </c>
      <c r="C308" t="inlineStr">
        <is>
          <t>Latest commit hash</t>
        </is>
      </c>
    </row>
    <row r="309">
      <c r="A309" t="inlineStr">
        <is>
          <t>ACT_COMMIT_INFO</t>
        </is>
      </c>
      <c r="B309">
        <f>ACT_COMMIT_INFO(1, "date")</f>
        <v/>
      </c>
      <c r="C309" t="inlineStr">
        <is>
          <t>Latest commit date</t>
        </is>
      </c>
    </row>
    <row r="310">
      <c r="A310" t="inlineStr">
        <is>
          <t>ACT_COMMIT_INFO</t>
        </is>
      </c>
      <c r="B310">
        <f>ACT_COMMIT_INFO(1, "message")</f>
        <v/>
      </c>
      <c r="C310" t="inlineStr">
        <is>
          <t>Latest commit message</t>
        </is>
      </c>
    </row>
    <row r="311">
      <c r="A311" t="inlineStr">
        <is>
          <t>ACT_COMMIT_HISTORY</t>
        </is>
      </c>
      <c r="B311">
        <f>INDEX(ACT_COMMIT_HISTORY(), 1, 1)</f>
        <v/>
      </c>
      <c r="C311" t="inlineStr">
        <is>
          <t>Full history (array)</t>
        </is>
      </c>
    </row>
    <row r="313">
      <c r="A313" s="2" t="inlineStr">
        <is>
          <t>Aggregate Claims (Panjer Recursion)</t>
        </is>
      </c>
    </row>
    <row r="314">
      <c r="A314" t="inlineStr">
        <is>
          <t>ACT_DISCRETIZE_EXPONENTIAL(1, 0.5, 10)</t>
        </is>
      </c>
      <c r="B314">
        <f>ACT_DISCRETIZE_EXPONENTIAL(1, 0.5, 10)</f>
        <v/>
      </c>
    </row>
    <row r="315">
      <c r="A315" t="inlineStr">
        <is>
          <t>ACT_DISCRETIZE_GAMMA(2, 1, 0.5, 10)</t>
        </is>
      </c>
      <c r="B315">
        <f>ACT_DISCRETIZE_GAMMA(2, 1, 0.5, 10)</f>
        <v/>
      </c>
    </row>
    <row r="316">
      <c r="A316" t="inlineStr">
        <is>
          <t>ACT_DISCRETIZE_LOGNORMAL(0, 1, 0.5, 10)</t>
        </is>
      </c>
      <c r="B316">
        <f>ACT_DISCRETIZE_LOGNORMAL(0, 1, 0.5, 10)</f>
        <v/>
      </c>
    </row>
    <row r="318">
      <c r="A318" t="inlineStr">
        <is>
          <t>ACT_PANJER_POISSON(2, {0.5,0.5}, 5)</t>
        </is>
      </c>
      <c r="B318">
        <f>ACT_PANJER_POISSON(2, {0.5,0.5}, 5)</f>
        <v/>
      </c>
    </row>
    <row r="319">
      <c r="A319" t="inlineStr">
        <is>
          <t>ACT_PANJER_NEGBIN(2, 0.5, {0.5,0.5}, 5)</t>
        </is>
      </c>
      <c r="B319">
        <f>ACT_PANJER_NEGBIN(2, 0.5, {0.5,0.5}, 5)</f>
        <v/>
      </c>
    </row>
    <row r="320">
      <c r="A320" t="inlineStr">
        <is>
          <t>ACT_PANJER_BINOMIAL(5, 0.3, {0.5,0.5}, 5)</t>
        </is>
      </c>
      <c r="B320">
        <f>ACT_PANJER_BINOMIAL(5, 0.3, {0.5,0.5}, 5)</f>
        <v/>
      </c>
    </row>
    <row r="322">
      <c r="A322" t="inlineStr">
        <is>
          <t>ACT_AGGREGATE_MEAN(pmf, 1)</t>
        </is>
      </c>
      <c r="B322">
        <f>ACT_AGGREGATE_MEAN(ACT_PANJER_POISSON(2, {0.5,0.5}, 5), 1)</f>
        <v/>
      </c>
    </row>
    <row r="323">
      <c r="A323" t="inlineStr">
        <is>
          <t>ACT_AGGREGATE_STDEV(pmf, 1)</t>
        </is>
      </c>
      <c r="B323">
        <f>ACT_AGGREGATE_STDEV(ACT_PANJER_POISSON(2, {0.5,0.5}, 5), 1)</f>
        <v/>
      </c>
    </row>
    <row r="324">
      <c r="A324" t="inlineStr">
        <is>
          <t>ACT_AGGREGATE_VAR_STAT(pmf, 1)</t>
        </is>
      </c>
      <c r="B324">
        <f>ACT_AGGREGATE_VAR_STAT(ACT_PANJER_POISSON(2, {0.5,0.5}, 5), 1)</f>
        <v/>
      </c>
    </row>
    <row r="325">
      <c r="A325" t="inlineStr">
        <is>
          <t>ACT_AGGREGATE_CDF(2, pmf, 1)</t>
        </is>
      </c>
      <c r="B325">
        <f>ACT_AGGREGATE_CDF(2, ACT_PANJER_POISSON(2, {0.5,0.5}, 5), 1)</f>
        <v/>
      </c>
    </row>
    <row r="326">
      <c r="A326" t="inlineStr">
        <is>
          <t>ACT_AGGREGATE_VAR(0.95, pmf, 1)</t>
        </is>
      </c>
      <c r="B326">
        <f>ACT_AGGREGATE_VAR(0.95, ACT_PANJER_POISSON(2, {0.5,0.5}, 5), 1)</f>
        <v/>
      </c>
    </row>
    <row r="327">
      <c r="A327" t="inlineStr">
        <is>
          <t>ACT_AGGREGATE_TVAR(0.95, pmf, 1)</t>
        </is>
      </c>
      <c r="B327">
        <f>ACT_AGGREGATE_TVAR(0.95, ACT_PANJER_POISSON(2, {0.5,0.5}, 5), 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3"/>
    <col width="20" customWidth="1" min="4" max="4"/>
    <col width="5" customWidth="1" min="5" max="5"/>
    <col width="15" customWidth="1" min="6" max="6"/>
  </cols>
  <sheetData>
    <row r="1" ht="18.75" customHeight="1">
      <c r="A1" s="1" t="inlineStr">
        <is>
          <t>Statistical Distributions</t>
        </is>
      </c>
    </row>
    <row r="3">
      <c r="A3" s="6" t="inlineStr">
        <is>
          <t>PDF = Probability Density Function, CDF = Cumulative Distribution Function</t>
        </is>
      </c>
    </row>
    <row r="5">
      <c r="A5" s="6" t="inlineStr">
        <is>
          <t>NORMAL DISTRIBUTION (mu=0, sigma=1)</t>
        </is>
      </c>
    </row>
    <row r="6">
      <c r="A6" s="3" t="inlineStr">
        <is>
          <t>x</t>
        </is>
      </c>
      <c r="B6" s="3" t="inlineStr">
        <is>
          <t>PDF</t>
        </is>
      </c>
      <c r="C6" s="3" t="inlineStr">
        <is>
          <t>CDF</t>
        </is>
      </c>
      <c r="D6" s="3" t="inlineStr">
        <is>
          <t>Notes</t>
        </is>
      </c>
    </row>
    <row r="7">
      <c r="A7" s="7" t="n">
        <v>-3</v>
      </c>
      <c r="B7" s="7">
        <f>ACT_DIST_NORMAL_PDF(A7, 0, 1)</f>
        <v/>
      </c>
      <c r="C7" s="7">
        <f>ACT_DIST_NORMAL_CDF(A7, 0, 1)</f>
        <v/>
      </c>
      <c r="D7" s="7" t="n"/>
    </row>
    <row r="8">
      <c r="A8" s="7" t="n">
        <v>-2</v>
      </c>
      <c r="B8" s="7">
        <f>ACT_DIST_NORMAL_PDF(A8, 0, 1)</f>
        <v/>
      </c>
      <c r="C8" s="7">
        <f>ACT_DIST_NORMAL_CDF(A8, 0, 1)</f>
        <v/>
      </c>
      <c r="D8" s="7" t="n"/>
    </row>
    <row r="9">
      <c r="A9" s="7" t="n">
        <v>-1</v>
      </c>
      <c r="B9" s="7">
        <f>ACT_DIST_NORMAL_PDF(A9, 0, 1)</f>
        <v/>
      </c>
      <c r="C9" s="7">
        <f>ACT_DIST_NORMAL_CDF(A9, 0, 1)</f>
        <v/>
      </c>
      <c r="D9" s="7" t="n"/>
    </row>
    <row r="10">
      <c r="A10" s="7" t="n">
        <v>-0.5</v>
      </c>
      <c r="B10" s="7">
        <f>ACT_DIST_NORMAL_PDF(A10, 0, 1)</f>
        <v/>
      </c>
      <c r="C10" s="7">
        <f>ACT_DIST_NORMAL_CDF(A10, 0, 1)</f>
        <v/>
      </c>
      <c r="D10" s="7" t="n"/>
    </row>
    <row r="11">
      <c r="A11" s="7" t="n">
        <v>0</v>
      </c>
      <c r="B11" s="7">
        <f>ACT_DIST_NORMAL_PDF(A11, 0, 1)</f>
        <v/>
      </c>
      <c r="C11" s="7">
        <f>ACT_DIST_NORMAL_CDF(A11, 0, 1)</f>
        <v/>
      </c>
      <c r="D11" s="7" t="inlineStr">
        <is>
          <t>Mean</t>
        </is>
      </c>
    </row>
    <row r="12">
      <c r="A12" s="7" t="n">
        <v>0.5</v>
      </c>
      <c r="B12" s="7">
        <f>ACT_DIST_NORMAL_PDF(A12, 0, 1)</f>
        <v/>
      </c>
      <c r="C12" s="7">
        <f>ACT_DIST_NORMAL_CDF(A12, 0, 1)</f>
        <v/>
      </c>
      <c r="D12" s="7" t="n"/>
    </row>
    <row r="13">
      <c r="A13" s="7" t="n">
        <v>1</v>
      </c>
      <c r="B13" s="7">
        <f>ACT_DIST_NORMAL_PDF(A13, 0, 1)</f>
        <v/>
      </c>
      <c r="C13" s="7">
        <f>ACT_DIST_NORMAL_CDF(A13, 0, 1)</f>
        <v/>
      </c>
      <c r="D13" s="7" t="n"/>
    </row>
    <row r="14">
      <c r="A14" s="7" t="n">
        <v>2</v>
      </c>
      <c r="B14" s="7">
        <f>ACT_DIST_NORMAL_PDF(A14, 0, 1)</f>
        <v/>
      </c>
      <c r="C14" s="7">
        <f>ACT_DIST_NORMAL_CDF(A14, 0, 1)</f>
        <v/>
      </c>
      <c r="D14" s="7" t="n"/>
    </row>
    <row r="15">
      <c r="A15" s="7" t="n">
        <v>3</v>
      </c>
      <c r="B15" s="7">
        <f>ACT_DIST_NORMAL_PDF(A15, 0, 1)</f>
        <v/>
      </c>
      <c r="C15" s="7">
        <f>ACT_DIST_NORMAL_CDF(A15, 0, 1)</f>
        <v/>
      </c>
      <c r="D15" s="7" t="n"/>
    </row>
    <row r="20">
      <c r="A20" s="6" t="inlineStr">
        <is>
          <t>POISSON DISTRIBUTION (lambda=5)</t>
        </is>
      </c>
    </row>
    <row r="21">
      <c r="A21" s="3" t="inlineStr">
        <is>
          <t>k</t>
        </is>
      </c>
      <c r="B21" s="3" t="inlineStr">
        <is>
          <t>PDF</t>
        </is>
      </c>
      <c r="C21" s="3" t="inlineStr">
        <is>
          <t>CDF</t>
        </is>
      </c>
      <c r="D21" s="3" t="inlineStr">
        <is>
          <t>Notes</t>
        </is>
      </c>
    </row>
    <row r="22">
      <c r="A22" s="7" t="n">
        <v>0</v>
      </c>
      <c r="B22" s="7">
        <f>ACT_DIST_POISSON_PDF(A22, 5)</f>
        <v/>
      </c>
      <c r="C22" s="7">
        <f>ACT_DIST_POISSON_CDF(A22, 5)</f>
        <v/>
      </c>
      <c r="D22" s="7" t="n"/>
    </row>
    <row r="23">
      <c r="A23" s="7" t="n">
        <v>1</v>
      </c>
      <c r="B23" s="7">
        <f>ACT_DIST_POISSON_PDF(A23, 5)</f>
        <v/>
      </c>
      <c r="C23" s="7">
        <f>ACT_DIST_POISSON_CDF(A23, 5)</f>
        <v/>
      </c>
      <c r="D23" s="7" t="n"/>
    </row>
    <row r="24">
      <c r="A24" s="7" t="n">
        <v>2</v>
      </c>
      <c r="B24" s="7">
        <f>ACT_DIST_POISSON_PDF(A24, 5)</f>
        <v/>
      </c>
      <c r="C24" s="7">
        <f>ACT_DIST_POISSON_CDF(A24, 5)</f>
        <v/>
      </c>
      <c r="D24" s="7" t="n"/>
    </row>
    <row r="25">
      <c r="A25" s="7" t="n">
        <v>3</v>
      </c>
      <c r="B25" s="7">
        <f>ACT_DIST_POISSON_PDF(A25, 5)</f>
        <v/>
      </c>
      <c r="C25" s="7">
        <f>ACT_DIST_POISSON_CDF(A25, 5)</f>
        <v/>
      </c>
      <c r="D25" s="7" t="n"/>
    </row>
    <row r="26">
      <c r="A26" s="7" t="n">
        <v>4</v>
      </c>
      <c r="B26" s="7">
        <f>ACT_DIST_POISSON_PDF(A26, 5)</f>
        <v/>
      </c>
      <c r="C26" s="7">
        <f>ACT_DIST_POISSON_CDF(A26, 5)</f>
        <v/>
      </c>
      <c r="D26" s="7" t="n"/>
    </row>
    <row r="27">
      <c r="A27" s="7" t="n">
        <v>5</v>
      </c>
      <c r="B27" s="7">
        <f>ACT_DIST_POISSON_PDF(A27, 5)</f>
        <v/>
      </c>
      <c r="C27" s="7">
        <f>ACT_DIST_POISSON_CDF(A27, 5)</f>
        <v/>
      </c>
      <c r="D27" s="7" t="inlineStr">
        <is>
          <t>Mode</t>
        </is>
      </c>
    </row>
    <row r="28">
      <c r="A28" s="7" t="n">
        <v>6</v>
      </c>
      <c r="B28" s="7">
        <f>ACT_DIST_POISSON_PDF(A28, 5)</f>
        <v/>
      </c>
      <c r="C28" s="7">
        <f>ACT_DIST_POISSON_CDF(A28, 5)</f>
        <v/>
      </c>
      <c r="D28" s="7" t="n"/>
    </row>
    <row r="29">
      <c r="A29" s="7" t="n">
        <v>7</v>
      </c>
      <c r="B29" s="7">
        <f>ACT_DIST_POISSON_PDF(A29, 5)</f>
        <v/>
      </c>
      <c r="C29" s="7">
        <f>ACT_DIST_POISSON_CDF(A29, 5)</f>
        <v/>
      </c>
      <c r="D29" s="7" t="n"/>
    </row>
    <row r="30">
      <c r="A30" s="7" t="n">
        <v>8</v>
      </c>
      <c r="B30" s="7">
        <f>ACT_DIST_POISSON_PDF(A30, 5)</f>
        <v/>
      </c>
      <c r="C30" s="7">
        <f>ACT_DIST_POISSON_CDF(A30, 5)</f>
        <v/>
      </c>
      <c r="D30" s="7" t="n"/>
    </row>
    <row r="31">
      <c r="A31" s="7" t="n">
        <v>9</v>
      </c>
      <c r="B31" s="7">
        <f>ACT_DIST_POISSON_PDF(A31, 5)</f>
        <v/>
      </c>
      <c r="C31" s="7">
        <f>ACT_DIST_POISSON_CDF(A31, 5)</f>
        <v/>
      </c>
      <c r="D31" s="7" t="n"/>
    </row>
    <row r="32">
      <c r="A32" s="7" t="n">
        <v>10</v>
      </c>
      <c r="B32" s="7">
        <f>ACT_DIST_POISSON_PDF(A32, 5)</f>
        <v/>
      </c>
      <c r="C32" s="7">
        <f>ACT_DIST_POISSON_CDF(A32, 5)</f>
        <v/>
      </c>
      <c r="D32" s="7" t="n"/>
    </row>
    <row r="35">
      <c r="A35" s="6" t="inlineStr">
        <is>
          <t>NEGATIVE BINOMIAL DISTRIBUTION (r=5, p=0.3)</t>
        </is>
      </c>
    </row>
    <row r="36">
      <c r="A36" s="3" t="inlineStr">
        <is>
          <t>k</t>
        </is>
      </c>
      <c r="B36" s="3" t="inlineStr">
        <is>
          <t>PDF</t>
        </is>
      </c>
      <c r="C36" s="3" t="inlineStr">
        <is>
          <t>CDF</t>
        </is>
      </c>
      <c r="D36" s="3" t="inlineStr">
        <is>
          <t>Notes</t>
        </is>
      </c>
    </row>
    <row r="37">
      <c r="A37" s="7" t="n">
        <v>0</v>
      </c>
      <c r="B37" s="7">
        <f>ACT_DIST_NEGBIN_PDF(A37, 5, 0.3)</f>
        <v/>
      </c>
      <c r="C37" s="7">
        <f>ACT_DIST_NEGBIN_CDF(A37, 5, 0.3)</f>
        <v/>
      </c>
      <c r="D37" s="7" t="n"/>
    </row>
    <row r="38">
      <c r="A38" s="7" t="n">
        <v>1</v>
      </c>
      <c r="B38" s="7">
        <f>ACT_DIST_NEGBIN_PDF(A38, 5, 0.3)</f>
        <v/>
      </c>
      <c r="C38" s="7">
        <f>ACT_DIST_NEGBIN_CDF(A38, 5, 0.3)</f>
        <v/>
      </c>
      <c r="D38" s="7" t="n"/>
    </row>
    <row r="39">
      <c r="A39" s="7" t="n">
        <v>2</v>
      </c>
      <c r="B39" s="7">
        <f>ACT_DIST_NEGBIN_PDF(A39, 5, 0.3)</f>
        <v/>
      </c>
      <c r="C39" s="7">
        <f>ACT_DIST_NEGBIN_CDF(A39, 5, 0.3)</f>
        <v/>
      </c>
      <c r="D39" s="7" t="n"/>
    </row>
    <row r="40">
      <c r="A40" s="7" t="n">
        <v>3</v>
      </c>
      <c r="B40" s="7">
        <f>ACT_DIST_NEGBIN_PDF(A40, 5, 0.3)</f>
        <v/>
      </c>
      <c r="C40" s="7">
        <f>ACT_DIST_NEGBIN_CDF(A40, 5, 0.3)</f>
        <v/>
      </c>
      <c r="D40" s="7" t="n"/>
    </row>
    <row r="41">
      <c r="A41" s="7" t="n">
        <v>4</v>
      </c>
      <c r="B41" s="7">
        <f>ACT_DIST_NEGBIN_PDF(A41, 5, 0.3)</f>
        <v/>
      </c>
      <c r="C41" s="7">
        <f>ACT_DIST_NEGBIN_CDF(A41, 5, 0.3)</f>
        <v/>
      </c>
      <c r="D41" s="7" t="n"/>
    </row>
    <row r="42">
      <c r="A42" s="7" t="n">
        <v>5</v>
      </c>
      <c r="B42" s="7">
        <f>ACT_DIST_NEGBIN_PDF(A42, 5, 0.3)</f>
        <v/>
      </c>
      <c r="C42" s="7">
        <f>ACT_DIST_NEGBIN_CDF(A42, 5, 0.3)</f>
        <v/>
      </c>
      <c r="D42" s="7" t="n"/>
    </row>
    <row r="43">
      <c r="A43" s="7" t="n">
        <v>6</v>
      </c>
      <c r="B43" s="7">
        <f>ACT_DIST_NEGBIN_PDF(A43, 5, 0.3)</f>
        <v/>
      </c>
      <c r="C43" s="7">
        <f>ACT_DIST_NEGBIN_CDF(A43, 5, 0.3)</f>
        <v/>
      </c>
      <c r="D43" s="7" t="n"/>
    </row>
    <row r="44">
      <c r="A44" s="7" t="n">
        <v>7</v>
      </c>
      <c r="B44" s="7">
        <f>ACT_DIST_NEGBIN_PDF(A44, 5, 0.3)</f>
        <v/>
      </c>
      <c r="C44" s="7">
        <f>ACT_DIST_NEGBIN_CDF(A44, 5, 0.3)</f>
        <v/>
      </c>
      <c r="D44" s="7" t="n"/>
    </row>
    <row r="45">
      <c r="A45" s="7" t="n">
        <v>8</v>
      </c>
      <c r="B45" s="7">
        <f>ACT_DIST_NEGBIN_PDF(A45, 5, 0.3)</f>
        <v/>
      </c>
      <c r="C45" s="7">
        <f>ACT_DIST_NEGBIN_CDF(A45, 5, 0.3)</f>
        <v/>
      </c>
      <c r="D45" s="7" t="n"/>
    </row>
    <row r="46">
      <c r="A46" s="7" t="n">
        <v>9</v>
      </c>
      <c r="B46" s="7">
        <f>ACT_DIST_NEGBIN_PDF(A46, 5, 0.3)</f>
        <v/>
      </c>
      <c r="C46" s="7">
        <f>ACT_DIST_NEGBIN_CDF(A46, 5, 0.3)</f>
        <v/>
      </c>
      <c r="D46" s="7" t="n"/>
    </row>
    <row r="47">
      <c r="A47" s="7" t="n">
        <v>10</v>
      </c>
      <c r="B47" s="7">
        <f>ACT_DIST_NEGBIN_PDF(A47, 5, 0.3)</f>
        <v/>
      </c>
      <c r="C47" s="7">
        <f>ACT_DIST_NEGBIN_CDF(A47, 5, 0.3)</f>
        <v/>
      </c>
      <c r="D47" s="7" t="n"/>
    </row>
    <row r="48">
      <c r="A48" s="7" t="n">
        <v>11</v>
      </c>
      <c r="B48" s="7">
        <f>ACT_DIST_NEGBIN_PDF(A48, 5, 0.3)</f>
        <v/>
      </c>
      <c r="C48" s="7">
        <f>ACT_DIST_NEGBIN_CDF(A48, 5, 0.3)</f>
        <v/>
      </c>
      <c r="D48" s="7" t="n"/>
    </row>
    <row r="50">
      <c r="A50" s="6" t="inlineStr">
        <is>
          <t>LOGNORMAL DISTRIBUTION (mu=0, sigma=1)</t>
        </is>
      </c>
    </row>
    <row r="51">
      <c r="A51" s="3" t="inlineStr">
        <is>
          <t>x</t>
        </is>
      </c>
      <c r="B51" s="3" t="inlineStr">
        <is>
          <t>PDF</t>
        </is>
      </c>
      <c r="C51" s="3" t="inlineStr">
        <is>
          <t>CDF</t>
        </is>
      </c>
      <c r="D51" s="3" t="inlineStr">
        <is>
          <t>Notes</t>
        </is>
      </c>
    </row>
    <row r="52">
      <c r="A52" s="7" t="n">
        <v>0.1</v>
      </c>
      <c r="B52" s="7">
        <f>ACT_DIST_LOGNORM_PDF(A52, 0, 1)</f>
        <v/>
      </c>
      <c r="C52" s="7">
        <f>ACT_DIST_LOGNORM_CDF(A52, 0, 1)</f>
        <v/>
      </c>
      <c r="D52" s="7" t="n"/>
    </row>
    <row r="53">
      <c r="A53" s="7" t="n">
        <v>0.25</v>
      </c>
      <c r="B53" s="7">
        <f>ACT_DIST_LOGNORM_PDF(A53, 0, 1)</f>
        <v/>
      </c>
      <c r="C53" s="7">
        <f>ACT_DIST_LOGNORM_CDF(A53, 0, 1)</f>
        <v/>
      </c>
      <c r="D53" s="7" t="n"/>
    </row>
    <row r="54">
      <c r="A54" s="7" t="n">
        <v>0.5</v>
      </c>
      <c r="B54" s="7">
        <f>ACT_DIST_LOGNORM_PDF(A54, 0, 1)</f>
        <v/>
      </c>
      <c r="C54" s="7">
        <f>ACT_DIST_LOGNORM_CDF(A54, 0, 1)</f>
        <v/>
      </c>
      <c r="D54" s="7" t="n"/>
    </row>
    <row r="55">
      <c r="A55" s="7" t="n">
        <v>0.75</v>
      </c>
      <c r="B55" s="7">
        <f>ACT_DIST_LOGNORM_PDF(A55, 0, 1)</f>
        <v/>
      </c>
      <c r="C55" s="7">
        <f>ACT_DIST_LOGNORM_CDF(A55, 0, 1)</f>
        <v/>
      </c>
      <c r="D55" s="7" t="n"/>
    </row>
    <row r="56">
      <c r="A56" s="7" t="n">
        <v>1</v>
      </c>
      <c r="B56" s="7">
        <f>ACT_DIST_LOGNORM_PDF(A56, 0, 1)</f>
        <v/>
      </c>
      <c r="C56" s="7">
        <f>ACT_DIST_LOGNORM_CDF(A56, 0, 1)</f>
        <v/>
      </c>
      <c r="D56" s="7" t="inlineStr">
        <is>
          <t>Median</t>
        </is>
      </c>
    </row>
    <row r="57">
      <c r="A57" s="7" t="n">
        <v>1.5</v>
      </c>
      <c r="B57" s="7">
        <f>ACT_DIST_LOGNORM_PDF(A57, 0, 1)</f>
        <v/>
      </c>
      <c r="C57" s="7">
        <f>ACT_DIST_LOGNORM_CDF(A57, 0, 1)</f>
        <v/>
      </c>
      <c r="D57" s="7" t="n"/>
    </row>
    <row r="58">
      <c r="A58" s="7" t="n">
        <v>2</v>
      </c>
      <c r="B58" s="7">
        <f>ACT_DIST_LOGNORM_PDF(A58, 0, 1)</f>
        <v/>
      </c>
      <c r="C58" s="7">
        <f>ACT_DIST_LOGNORM_CDF(A58, 0, 1)</f>
        <v/>
      </c>
      <c r="D58" s="7" t="n"/>
    </row>
    <row r="59">
      <c r="A59" s="7" t="n">
        <v>3</v>
      </c>
      <c r="B59" s="7">
        <f>ACT_DIST_LOGNORM_PDF(A59, 0, 1)</f>
        <v/>
      </c>
      <c r="C59" s="7">
        <f>ACT_DIST_LOGNORM_CDF(A59, 0, 1)</f>
        <v/>
      </c>
      <c r="D59" s="7" t="n"/>
    </row>
    <row r="60">
      <c r="A60" s="7" t="n">
        <v>4</v>
      </c>
      <c r="B60" s="7">
        <f>ACT_DIST_LOGNORM_PDF(A60, 0, 1)</f>
        <v/>
      </c>
      <c r="C60" s="7">
        <f>ACT_DIST_LOGNORM_CDF(A60, 0, 1)</f>
        <v/>
      </c>
      <c r="D60" s="7" t="n"/>
    </row>
    <row r="61">
      <c r="A61" s="7" t="n">
        <v>5</v>
      </c>
      <c r="B61" s="7">
        <f>ACT_DIST_LOGNORM_PDF(A61, 0, 1)</f>
        <v/>
      </c>
      <c r="C61" s="7">
        <f>ACT_DIST_LOGNORM_CDF(A61, 0, 1)</f>
        <v/>
      </c>
      <c r="D61" s="7" t="n"/>
    </row>
    <row r="65">
      <c r="A65" s="6" t="inlineStr">
        <is>
          <t>GAMMA DISTRIBUTION (alpha=2, beta=1)</t>
        </is>
      </c>
    </row>
    <row r="66">
      <c r="A66" s="3" t="inlineStr">
        <is>
          <t>x</t>
        </is>
      </c>
      <c r="B66" s="3" t="inlineStr">
        <is>
          <t>PDF</t>
        </is>
      </c>
      <c r="C66" s="3" t="inlineStr">
        <is>
          <t>CDF</t>
        </is>
      </c>
      <c r="D66" s="3" t="inlineStr">
        <is>
          <t>Notes</t>
        </is>
      </c>
    </row>
    <row r="67">
      <c r="A67" s="7" t="n">
        <v>0</v>
      </c>
      <c r="B67" s="7">
        <f>ACT_DIST_GAMMA_PDF(A67, 2, 1)</f>
        <v/>
      </c>
      <c r="C67" s="7">
        <f>ACT_DIST_GAMMA_CDF(A67, 2, 1)</f>
        <v/>
      </c>
      <c r="D67" s="7" t="n"/>
    </row>
    <row r="68">
      <c r="A68" s="7" t="n">
        <v>0.5</v>
      </c>
      <c r="B68" s="7">
        <f>ACT_DIST_GAMMA_PDF(A68, 2, 1)</f>
        <v/>
      </c>
      <c r="C68" s="7">
        <f>ACT_DIST_GAMMA_CDF(A68, 2, 1)</f>
        <v/>
      </c>
      <c r="D68" s="7" t="n"/>
    </row>
    <row r="69">
      <c r="A69" s="7" t="n">
        <v>1</v>
      </c>
      <c r="B69" s="7">
        <f>ACT_DIST_GAMMA_PDF(A69, 2, 1)</f>
        <v/>
      </c>
      <c r="C69" s="7">
        <f>ACT_DIST_GAMMA_CDF(A69, 2, 1)</f>
        <v/>
      </c>
      <c r="D69" s="7" t="n"/>
    </row>
    <row r="70">
      <c r="A70" s="7" t="n">
        <v>1.5</v>
      </c>
      <c r="B70" s="7">
        <f>ACT_DIST_GAMMA_PDF(A70, 2, 1)</f>
        <v/>
      </c>
      <c r="C70" s="7">
        <f>ACT_DIST_GAMMA_CDF(A70, 2, 1)</f>
        <v/>
      </c>
      <c r="D70" s="7" t="n"/>
    </row>
    <row r="71">
      <c r="A71" s="7" t="n">
        <v>2</v>
      </c>
      <c r="B71" s="7">
        <f>ACT_DIST_GAMMA_PDF(A71, 2, 1)</f>
        <v/>
      </c>
      <c r="C71" s="7">
        <f>ACT_DIST_GAMMA_CDF(A71, 2, 1)</f>
        <v/>
      </c>
      <c r="D71" s="7" t="inlineStr">
        <is>
          <t>Mean</t>
        </is>
      </c>
    </row>
    <row r="72">
      <c r="A72" s="7" t="n">
        <v>3</v>
      </c>
      <c r="B72" s="7">
        <f>ACT_DIST_GAMMA_PDF(A72, 2, 1)</f>
        <v/>
      </c>
      <c r="C72" s="7">
        <f>ACT_DIST_GAMMA_CDF(A72, 2, 1)</f>
        <v/>
      </c>
      <c r="D72" s="7" t="n"/>
    </row>
    <row r="73">
      <c r="A73" s="7" t="n">
        <v>4</v>
      </c>
      <c r="B73" s="7">
        <f>ACT_DIST_GAMMA_PDF(A73, 2, 1)</f>
        <v/>
      </c>
      <c r="C73" s="7">
        <f>ACT_DIST_GAMMA_CDF(A73, 2, 1)</f>
        <v/>
      </c>
      <c r="D73" s="7" t="n"/>
    </row>
    <row r="74">
      <c r="A74" s="7" t="n">
        <v>5</v>
      </c>
      <c r="B74" s="7">
        <f>ACT_DIST_GAMMA_PDF(A74, 2, 1)</f>
        <v/>
      </c>
      <c r="C74" s="7">
        <f>ACT_DIST_GAMMA_CDF(A74, 2, 1)</f>
        <v/>
      </c>
      <c r="D74" s="7" t="n"/>
    </row>
    <row r="75">
      <c r="A75" s="7" t="n">
        <v>6</v>
      </c>
      <c r="B75" s="7">
        <f>ACT_DIST_GAMMA_PDF(A75, 2, 1)</f>
        <v/>
      </c>
      <c r="C75" s="7">
        <f>ACT_DIST_GAMMA_CDF(A75, 2, 1)</f>
        <v/>
      </c>
      <c r="D75" s="7" t="n"/>
    </row>
    <row r="80">
      <c r="A80" s="6" t="inlineStr">
        <is>
          <t>EXPONENTIAL DISTRIBUTION (lambda=1)</t>
        </is>
      </c>
    </row>
    <row r="81">
      <c r="A81" s="3" t="inlineStr">
        <is>
          <t>x</t>
        </is>
      </c>
      <c r="B81" s="3" t="inlineStr">
        <is>
          <t>PDF</t>
        </is>
      </c>
      <c r="C81" s="3" t="inlineStr">
        <is>
          <t>CDF</t>
        </is>
      </c>
      <c r="D81" s="3" t="inlineStr">
        <is>
          <t>Notes</t>
        </is>
      </c>
    </row>
    <row r="82">
      <c r="A82" s="7" t="n">
        <v>0</v>
      </c>
      <c r="B82" s="7">
        <f>ACT_DIST_EXP_PDF(A82, 1)</f>
        <v/>
      </c>
      <c r="C82" s="7">
        <f>ACT_DIST_EXP_CDF(A82, 1)</f>
        <v/>
      </c>
      <c r="D82" s="7" t="n"/>
    </row>
    <row r="83">
      <c r="A83" s="7" t="n">
        <v>0.5</v>
      </c>
      <c r="B83" s="7">
        <f>ACT_DIST_EXP_PDF(A83, 1)</f>
        <v/>
      </c>
      <c r="C83" s="7">
        <f>ACT_DIST_EXP_CDF(A83, 1)</f>
        <v/>
      </c>
      <c r="D83" s="7" t="n"/>
    </row>
    <row r="84">
      <c r="A84" s="7" t="n">
        <v>1</v>
      </c>
      <c r="B84" s="7">
        <f>ACT_DIST_EXP_PDF(A84, 1)</f>
        <v/>
      </c>
      <c r="C84" s="7">
        <f>ACT_DIST_EXP_CDF(A84, 1)</f>
        <v/>
      </c>
      <c r="D84" s="7" t="inlineStr">
        <is>
          <t>Mean</t>
        </is>
      </c>
    </row>
    <row r="85">
      <c r="A85" s="7" t="n">
        <v>1.5</v>
      </c>
      <c r="B85" s="7">
        <f>ACT_DIST_EXP_PDF(A85, 1)</f>
        <v/>
      </c>
      <c r="C85" s="7">
        <f>ACT_DIST_EXP_CDF(A85, 1)</f>
        <v/>
      </c>
      <c r="D85" s="7" t="n"/>
    </row>
    <row r="86">
      <c r="A86" s="7" t="n">
        <v>2</v>
      </c>
      <c r="B86" s="7">
        <f>ACT_DIST_EXP_PDF(A86, 1)</f>
        <v/>
      </c>
      <c r="C86" s="7">
        <f>ACT_DIST_EXP_CDF(A86, 1)</f>
        <v/>
      </c>
      <c r="D86" s="7" t="n"/>
    </row>
    <row r="87">
      <c r="A87" s="7" t="n">
        <v>2.5</v>
      </c>
      <c r="B87" s="7">
        <f>ACT_DIST_EXP_PDF(A87, 1)</f>
        <v/>
      </c>
      <c r="C87" s="7">
        <f>ACT_DIST_EXP_CDF(A87, 1)</f>
        <v/>
      </c>
      <c r="D87" s="7" t="n"/>
    </row>
    <row r="88">
      <c r="A88" s="7" t="n">
        <v>3</v>
      </c>
      <c r="B88" s="7">
        <f>ACT_DIST_EXP_PDF(A88, 1)</f>
        <v/>
      </c>
      <c r="C88" s="7">
        <f>ACT_DIST_EXP_CDF(A88, 1)</f>
        <v/>
      </c>
      <c r="D88" s="7" t="n"/>
    </row>
    <row r="89">
      <c r="A89" s="7" t="n">
        <v>4</v>
      </c>
      <c r="B89" s="7">
        <f>ACT_DIST_EXP_PDF(A89, 1)</f>
        <v/>
      </c>
      <c r="C89" s="7">
        <f>ACT_DIST_EXP_CDF(A89, 1)</f>
        <v/>
      </c>
      <c r="D89" s="7" t="n"/>
    </row>
    <row r="90">
      <c r="A90" s="7" t="n">
        <v>5</v>
      </c>
      <c r="B90" s="7">
        <f>ACT_DIST_EXP_PDF(A90, 1)</f>
        <v/>
      </c>
      <c r="C90" s="7">
        <f>ACT_DIST_EXP_CDF(A90, 1)</f>
        <v/>
      </c>
      <c r="D90" s="7" t="n"/>
    </row>
    <row r="95">
      <c r="A95" s="6" t="inlineStr">
        <is>
          <t>WEIBULL DISTRIBUTION (k=2, lambda=1)</t>
        </is>
      </c>
    </row>
    <row r="96">
      <c r="A96" s="3" t="inlineStr">
        <is>
          <t>x</t>
        </is>
      </c>
      <c r="B96" s="3" t="inlineStr">
        <is>
          <t>PDF</t>
        </is>
      </c>
      <c r="C96" s="3" t="inlineStr">
        <is>
          <t>CDF</t>
        </is>
      </c>
      <c r="D96" s="3" t="inlineStr">
        <is>
          <t>Notes</t>
        </is>
      </c>
    </row>
    <row r="97">
      <c r="A97" s="7" t="n">
        <v>0</v>
      </c>
      <c r="B97" s="7">
        <f>ACT_DIST_WEIBULL_PDF(A97, 2, 1)</f>
        <v/>
      </c>
      <c r="C97" s="7">
        <f>ACT_DIST_WEIBULL_CDF(A97, 2, 1)</f>
        <v/>
      </c>
      <c r="D97" s="7" t="n"/>
    </row>
    <row r="98">
      <c r="A98" s="7" t="n">
        <v>0.25</v>
      </c>
      <c r="B98" s="7">
        <f>ACT_DIST_WEIBULL_PDF(A98, 2, 1)</f>
        <v/>
      </c>
      <c r="C98" s="7">
        <f>ACT_DIST_WEIBULL_CDF(A98, 2, 1)</f>
        <v/>
      </c>
      <c r="D98" s="7" t="n"/>
    </row>
    <row r="99">
      <c r="A99" s="7" t="n">
        <v>0.5</v>
      </c>
      <c r="B99" s="7">
        <f>ACT_DIST_WEIBULL_PDF(A99, 2, 1)</f>
        <v/>
      </c>
      <c r="C99" s="7">
        <f>ACT_DIST_WEIBULL_CDF(A99, 2, 1)</f>
        <v/>
      </c>
      <c r="D99" s="7" t="n"/>
    </row>
    <row r="100">
      <c r="A100" s="7" t="n">
        <v>0.75</v>
      </c>
      <c r="B100" s="7">
        <f>ACT_DIST_WEIBULL_PDF(A100, 2, 1)</f>
        <v/>
      </c>
      <c r="C100" s="7">
        <f>ACT_DIST_WEIBULL_CDF(A100, 2, 1)</f>
        <v/>
      </c>
      <c r="D100" s="7" t="n"/>
    </row>
    <row r="101">
      <c r="A101" s="7" t="n">
        <v>1</v>
      </c>
      <c r="B101" s="7">
        <f>ACT_DIST_WEIBULL_PDF(A101, 2, 1)</f>
        <v/>
      </c>
      <c r="C101" s="7">
        <f>ACT_DIST_WEIBULL_CDF(A101, 2, 1)</f>
        <v/>
      </c>
      <c r="D101" s="7" t="n"/>
    </row>
    <row r="102">
      <c r="A102" s="7" t="n">
        <v>1.5</v>
      </c>
      <c r="B102" s="7">
        <f>ACT_DIST_WEIBULL_PDF(A102, 2, 1)</f>
        <v/>
      </c>
      <c r="C102" s="7">
        <f>ACT_DIST_WEIBULL_CDF(A102, 2, 1)</f>
        <v/>
      </c>
      <c r="D102" s="7" t="n"/>
    </row>
    <row r="103">
      <c r="A103" s="7" t="n">
        <v>2</v>
      </c>
      <c r="B103" s="7">
        <f>ACT_DIST_WEIBULL_PDF(A103, 2, 1)</f>
        <v/>
      </c>
      <c r="C103" s="7">
        <f>ACT_DIST_WEIBULL_CDF(A103, 2, 1)</f>
        <v/>
      </c>
      <c r="D103" s="7" t="n"/>
    </row>
    <row r="104">
      <c r="A104" s="7" t="n">
        <v>2.5</v>
      </c>
      <c r="B104" s="7">
        <f>ACT_DIST_WEIBULL_PDF(A104, 2, 1)</f>
        <v/>
      </c>
      <c r="C104" s="7">
        <f>ACT_DIST_WEIBULL_CDF(A104, 2, 1)</f>
        <v/>
      </c>
      <c r="D104" s="7" t="n"/>
    </row>
    <row r="105">
      <c r="A105" s="7" t="n">
        <v>3</v>
      </c>
      <c r="B105" s="7">
        <f>ACT_DIST_WEIBULL_PDF(A105, 2, 1)</f>
        <v/>
      </c>
      <c r="C105" s="7">
        <f>ACT_DIST_WEIBULL_CDF(A105, 2, 1)</f>
        <v/>
      </c>
      <c r="D105" s="7" t="n"/>
    </row>
    <row r="110">
      <c r="A110" s="6" t="inlineStr">
        <is>
          <t>BETA DISTRIBUTION (alpha=2, beta=5)</t>
        </is>
      </c>
    </row>
    <row r="111">
      <c r="A111" s="3" t="inlineStr">
        <is>
          <t>x</t>
        </is>
      </c>
      <c r="B111" s="3" t="inlineStr">
        <is>
          <t>PDF</t>
        </is>
      </c>
      <c r="C111" s="3" t="inlineStr">
        <is>
          <t>CDF</t>
        </is>
      </c>
      <c r="D111" s="3" t="inlineStr">
        <is>
          <t>Notes</t>
        </is>
      </c>
    </row>
    <row r="112">
      <c r="A112" s="7" t="n">
        <v>0</v>
      </c>
      <c r="B112" s="7">
        <f>ACT_DIST_BETA_PDF(A112, 2, 5)</f>
        <v/>
      </c>
      <c r="C112" s="7">
        <f>ACT_DIST_BETA_CDF(A112, 2, 5)</f>
        <v/>
      </c>
      <c r="D112" s="7" t="n"/>
    </row>
    <row r="113">
      <c r="A113" s="7" t="n">
        <v>0.1</v>
      </c>
      <c r="B113" s="7">
        <f>ACT_DIST_BETA_PDF(A113, 2, 5)</f>
        <v/>
      </c>
      <c r="C113" s="7">
        <f>ACT_DIST_BETA_CDF(A113, 2, 5)</f>
        <v/>
      </c>
      <c r="D113" s="7" t="n"/>
    </row>
    <row r="114">
      <c r="A114" s="7" t="n">
        <v>0.2</v>
      </c>
      <c r="B114" s="7">
        <f>ACT_DIST_BETA_PDF(A114, 2, 5)</f>
        <v/>
      </c>
      <c r="C114" s="7">
        <f>ACT_DIST_BETA_CDF(A114, 2, 5)</f>
        <v/>
      </c>
      <c r="D114" s="7" t="n"/>
    </row>
    <row r="115">
      <c r="A115" s="7" t="n">
        <v>0.3</v>
      </c>
      <c r="B115" s="7">
        <f>ACT_DIST_BETA_PDF(A115, 2, 5)</f>
        <v/>
      </c>
      <c r="C115" s="7">
        <f>ACT_DIST_BETA_CDF(A115, 2, 5)</f>
        <v/>
      </c>
      <c r="D115" s="7" t="n"/>
    </row>
    <row r="116">
      <c r="A116" s="7" t="n">
        <v>0.4</v>
      </c>
      <c r="B116" s="7">
        <f>ACT_DIST_BETA_PDF(A116, 2, 5)</f>
        <v/>
      </c>
      <c r="C116" s="7">
        <f>ACT_DIST_BETA_CDF(A116, 2, 5)</f>
        <v/>
      </c>
      <c r="D116" s="7" t="n"/>
    </row>
    <row r="117">
      <c r="A117" s="7" t="n">
        <v>0.5</v>
      </c>
      <c r="B117" s="7">
        <f>ACT_DIST_BETA_PDF(A117, 2, 5)</f>
        <v/>
      </c>
      <c r="C117" s="7">
        <f>ACT_DIST_BETA_CDF(A117, 2, 5)</f>
        <v/>
      </c>
      <c r="D117" s="7" t="n"/>
    </row>
    <row r="118">
      <c r="A118" s="7" t="n">
        <v>0.6</v>
      </c>
      <c r="B118" s="7">
        <f>ACT_DIST_BETA_PDF(A118, 2, 5)</f>
        <v/>
      </c>
      <c r="C118" s="7">
        <f>ACT_DIST_BETA_CDF(A118, 2, 5)</f>
        <v/>
      </c>
      <c r="D118" s="7" t="n"/>
    </row>
    <row r="119">
      <c r="A119" s="7" t="n">
        <v>0.7</v>
      </c>
      <c r="B119" s="7">
        <f>ACT_DIST_BETA_PDF(A119, 2, 5)</f>
        <v/>
      </c>
      <c r="C119" s="7">
        <f>ACT_DIST_BETA_CDF(A119, 2, 5)</f>
        <v/>
      </c>
      <c r="D119" s="7" t="n"/>
    </row>
    <row r="120">
      <c r="A120" s="7" t="n">
        <v>0.8</v>
      </c>
      <c r="B120" s="7">
        <f>ACT_DIST_BETA_PDF(A120, 2, 5)</f>
        <v/>
      </c>
      <c r="C120" s="7">
        <f>ACT_DIST_BETA_CDF(A120, 2, 5)</f>
        <v/>
      </c>
      <c r="D120" s="7" t="n"/>
    </row>
    <row r="121">
      <c r="A121" s="7" t="n">
        <v>0.9</v>
      </c>
      <c r="B121" s="7">
        <f>ACT_DIST_BETA_PDF(A121, 2, 5)</f>
        <v/>
      </c>
      <c r="C121" s="7">
        <f>ACT_DIST_BETA_CDF(A121, 2, 5)</f>
        <v/>
      </c>
      <c r="D121" s="7" t="n"/>
    </row>
    <row r="122">
      <c r="A122" s="7" t="n">
        <v>1</v>
      </c>
      <c r="B122" s="7">
        <f>ACT_DIST_BETA_PDF(A122, 2, 5)</f>
        <v/>
      </c>
      <c r="C122" s="7">
        <f>ACT_DIST_BETA_CDF(A122, 2, 5)</f>
        <v/>
      </c>
      <c r="D122" s="7" t="n"/>
    </row>
    <row r="125">
      <c r="A125" s="6" t="inlineStr">
        <is>
          <t>PARETO TYPE I DISTRIBUTION (alpha=2, xm=1)</t>
        </is>
      </c>
    </row>
    <row r="126">
      <c r="A126" s="3" t="inlineStr">
        <is>
          <t>x</t>
        </is>
      </c>
      <c r="B126" s="3" t="inlineStr">
        <is>
          <t>PDF</t>
        </is>
      </c>
      <c r="C126" s="3" t="inlineStr">
        <is>
          <t>CDF</t>
        </is>
      </c>
      <c r="D126" s="3" t="inlineStr">
        <is>
          <t>Notes</t>
        </is>
      </c>
    </row>
    <row r="127">
      <c r="A127" s="7" t="n">
        <v>1</v>
      </c>
      <c r="B127" s="7">
        <f>ACT_DIST_PARETO_PDF(A127, 2, 1)</f>
        <v/>
      </c>
      <c r="C127" s="7">
        <f>ACT_DIST_PARETO_CDF(A127, 2, 1)</f>
        <v/>
      </c>
      <c r="D127" s="7" t="inlineStr">
        <is>
          <t>Minimum (xm)</t>
        </is>
      </c>
    </row>
    <row r="128">
      <c r="A128" s="7" t="n">
        <v>1.5</v>
      </c>
      <c r="B128" s="7">
        <f>ACT_DIST_PARETO_PDF(A128, 2, 1)</f>
        <v/>
      </c>
      <c r="C128" s="7">
        <f>ACT_DIST_PARETO_CDF(A128, 2, 1)</f>
        <v/>
      </c>
      <c r="D128" s="7" t="n"/>
    </row>
    <row r="129">
      <c r="A129" s="7" t="n">
        <v>2</v>
      </c>
      <c r="B129" s="7">
        <f>ACT_DIST_PARETO_PDF(A129, 2, 1)</f>
        <v/>
      </c>
      <c r="C129" s="7">
        <f>ACT_DIST_PARETO_CDF(A129, 2, 1)</f>
        <v/>
      </c>
      <c r="D129" s="7" t="n"/>
    </row>
    <row r="130">
      <c r="A130" s="7" t="n">
        <v>3</v>
      </c>
      <c r="B130" s="7">
        <f>ACT_DIST_PARETO_PDF(A130, 2, 1)</f>
        <v/>
      </c>
      <c r="C130" s="7">
        <f>ACT_DIST_PARETO_CDF(A130, 2, 1)</f>
        <v/>
      </c>
      <c r="D130" s="7" t="n"/>
    </row>
    <row r="131">
      <c r="A131" s="7" t="n">
        <v>4</v>
      </c>
      <c r="B131" s="7">
        <f>ACT_DIST_PARETO_PDF(A131, 2, 1)</f>
        <v/>
      </c>
      <c r="C131" s="7">
        <f>ACT_DIST_PARETO_CDF(A131, 2, 1)</f>
        <v/>
      </c>
      <c r="D131" s="7" t="n"/>
    </row>
    <row r="132">
      <c r="A132" s="7" t="n">
        <v>5</v>
      </c>
      <c r="B132" s="7">
        <f>ACT_DIST_PARETO_PDF(A132, 2, 1)</f>
        <v/>
      </c>
      <c r="C132" s="7">
        <f>ACT_DIST_PARETO_CDF(A132, 2, 1)</f>
        <v/>
      </c>
      <c r="D132" s="7" t="n"/>
    </row>
    <row r="133">
      <c r="A133" s="7" t="n">
        <v>7</v>
      </c>
      <c r="B133" s="7">
        <f>ACT_DIST_PARETO_PDF(A133, 2, 1)</f>
        <v/>
      </c>
      <c r="C133" s="7">
        <f>ACT_DIST_PARETO_CDF(A133, 2, 1)</f>
        <v/>
      </c>
      <c r="D133" s="7" t="n"/>
    </row>
    <row r="134">
      <c r="A134" s="7" t="n">
        <v>10</v>
      </c>
      <c r="B134" s="7">
        <f>ACT_DIST_PARETO_PDF(A134, 2, 1)</f>
        <v/>
      </c>
      <c r="C134" s="7">
        <f>ACT_DIST_PARETO_CDF(A134, 2, 1)</f>
        <v/>
      </c>
      <c r="D134" s="7" t="n"/>
    </row>
    <row r="140">
      <c r="A140" s="6" t="inlineStr">
        <is>
          <t>LOMAX (PARETO TYPE II) DISTRIBUTION (alpha=2, lambda=1)</t>
        </is>
      </c>
    </row>
    <row r="141">
      <c r="A141" s="3" t="inlineStr">
        <is>
          <t>x</t>
        </is>
      </c>
      <c r="B141" s="3" t="inlineStr">
        <is>
          <t>PDF</t>
        </is>
      </c>
      <c r="C141" s="3" t="inlineStr">
        <is>
          <t>CDF</t>
        </is>
      </c>
      <c r="D141" s="3" t="inlineStr">
        <is>
          <t>Notes</t>
        </is>
      </c>
    </row>
    <row r="142">
      <c r="A142" s="7" t="n">
        <v>0</v>
      </c>
      <c r="B142" s="7">
        <f>ACT_DIST_LOMAX_PDF(A142, 2, 1)</f>
        <v/>
      </c>
      <c r="C142" s="7">
        <f>ACT_DIST_LOMAX_CDF(A142, 2, 1)</f>
        <v/>
      </c>
      <c r="D142" s="7" t="n"/>
    </row>
    <row r="143">
      <c r="A143" s="7" t="n">
        <v>0.5</v>
      </c>
      <c r="B143" s="7">
        <f>ACT_DIST_LOMAX_PDF(A143, 2, 1)</f>
        <v/>
      </c>
      <c r="C143" s="7">
        <f>ACT_DIST_LOMAX_CDF(A143, 2, 1)</f>
        <v/>
      </c>
      <c r="D143" s="7" t="n"/>
    </row>
    <row r="144">
      <c r="A144" s="7" t="n">
        <v>1</v>
      </c>
      <c r="B144" s="7">
        <f>ACT_DIST_LOMAX_PDF(A144, 2, 1)</f>
        <v/>
      </c>
      <c r="C144" s="7">
        <f>ACT_DIST_LOMAX_CDF(A144, 2, 1)</f>
        <v/>
      </c>
      <c r="D144" s="7" t="n"/>
    </row>
    <row r="145">
      <c r="A145" s="7" t="n">
        <v>2</v>
      </c>
      <c r="B145" s="7">
        <f>ACT_DIST_LOMAX_PDF(A145, 2, 1)</f>
        <v/>
      </c>
      <c r="C145" s="7">
        <f>ACT_DIST_LOMAX_CDF(A145, 2, 1)</f>
        <v/>
      </c>
      <c r="D145" s="7" t="n"/>
    </row>
    <row r="146">
      <c r="A146" s="7" t="n">
        <v>3</v>
      </c>
      <c r="B146" s="7">
        <f>ACT_DIST_LOMAX_PDF(A146, 2, 1)</f>
        <v/>
      </c>
      <c r="C146" s="7">
        <f>ACT_DIST_LOMAX_CDF(A146, 2, 1)</f>
        <v/>
      </c>
      <c r="D146" s="7" t="n"/>
    </row>
    <row r="147">
      <c r="A147" s="7" t="n">
        <v>4</v>
      </c>
      <c r="B147" s="7">
        <f>ACT_DIST_LOMAX_PDF(A147, 2, 1)</f>
        <v/>
      </c>
      <c r="C147" s="7">
        <f>ACT_DIST_LOMAX_CDF(A147, 2, 1)</f>
        <v/>
      </c>
      <c r="D147" s="7" t="n"/>
    </row>
    <row r="148">
      <c r="A148" s="7" t="n">
        <v>5</v>
      </c>
      <c r="B148" s="7">
        <f>ACT_DIST_LOMAX_PDF(A148, 2, 1)</f>
        <v/>
      </c>
      <c r="C148" s="7">
        <f>ACT_DIST_LOMAX_CDF(A148, 2, 1)</f>
        <v/>
      </c>
      <c r="D148" s="7" t="n"/>
    </row>
    <row r="149">
      <c r="A149" s="7" t="n">
        <v>7</v>
      </c>
      <c r="B149" s="7">
        <f>ACT_DIST_LOMAX_PDF(A149, 2, 1)</f>
        <v/>
      </c>
      <c r="C149" s="7">
        <f>ACT_DIST_LOMAX_CDF(A149, 2, 1)</f>
        <v/>
      </c>
      <c r="D149" s="7" t="n"/>
    </row>
    <row r="150">
      <c r="A150" s="7" t="n">
        <v>10</v>
      </c>
      <c r="B150" s="7">
        <f>ACT_DIST_LOMAX_PDF(A150, 2, 1)</f>
        <v/>
      </c>
      <c r="C150" s="7">
        <f>ACT_DIST_LOMAX_CDF(A150, 2, 1)</f>
        <v/>
      </c>
      <c r="D150" s="7" t="n"/>
    </row>
    <row r="155">
      <c r="A155" s="6" t="inlineStr">
        <is>
          <t>GENERALIZED PARETO (GPD) DISTRIBUTION (xi=0.5, sigma=1)</t>
        </is>
      </c>
    </row>
    <row r="156">
      <c r="A156" s="3" t="inlineStr">
        <is>
          <t>x</t>
        </is>
      </c>
      <c r="B156" s="3" t="inlineStr">
        <is>
          <t>PDF</t>
        </is>
      </c>
      <c r="C156" s="3" t="inlineStr">
        <is>
          <t>CDF</t>
        </is>
      </c>
      <c r="D156" s="3" t="inlineStr">
        <is>
          <t>Notes</t>
        </is>
      </c>
    </row>
    <row r="157">
      <c r="A157" s="7" t="n">
        <v>0</v>
      </c>
      <c r="B157" s="7">
        <f>ACT_DIST_GPD_PDF(A157, 0.5, 1)</f>
        <v/>
      </c>
      <c r="C157" s="7">
        <f>ACT_DIST_GPD_CDF(A157, 0.5, 1)</f>
        <v/>
      </c>
      <c r="D157" s="7" t="n"/>
    </row>
    <row r="158">
      <c r="A158" s="7" t="n">
        <v>0.25</v>
      </c>
      <c r="B158" s="7">
        <f>ACT_DIST_GPD_PDF(A158, 0.5, 1)</f>
        <v/>
      </c>
      <c r="C158" s="7">
        <f>ACT_DIST_GPD_CDF(A158, 0.5, 1)</f>
        <v/>
      </c>
      <c r="D158" s="7" t="n"/>
    </row>
    <row r="159">
      <c r="A159" s="7" t="n">
        <v>0.5</v>
      </c>
      <c r="B159" s="7">
        <f>ACT_DIST_GPD_PDF(A159, 0.5, 1)</f>
        <v/>
      </c>
      <c r="C159" s="7">
        <f>ACT_DIST_GPD_CDF(A159, 0.5, 1)</f>
        <v/>
      </c>
      <c r="D159" s="7" t="n"/>
    </row>
    <row r="160">
      <c r="A160" s="7" t="n">
        <v>1</v>
      </c>
      <c r="B160" s="7">
        <f>ACT_DIST_GPD_PDF(A160, 0.5, 1)</f>
        <v/>
      </c>
      <c r="C160" s="7">
        <f>ACT_DIST_GPD_CDF(A160, 0.5, 1)</f>
        <v/>
      </c>
      <c r="D160" s="7" t="n"/>
    </row>
    <row r="161">
      <c r="A161" s="7" t="n">
        <v>1.5</v>
      </c>
      <c r="B161" s="7">
        <f>ACT_DIST_GPD_PDF(A161, 0.5, 1)</f>
        <v/>
      </c>
      <c r="C161" s="7">
        <f>ACT_DIST_GPD_CDF(A161, 0.5, 1)</f>
        <v/>
      </c>
      <c r="D161" s="7" t="n"/>
    </row>
    <row r="162">
      <c r="A162" s="7" t="n">
        <v>2</v>
      </c>
      <c r="B162" s="7">
        <f>ACT_DIST_GPD_PDF(A162, 0.5, 1)</f>
        <v/>
      </c>
      <c r="C162" s="7">
        <f>ACT_DIST_GPD_CDF(A162, 0.5, 1)</f>
        <v/>
      </c>
      <c r="D162" s="7" t="n"/>
    </row>
    <row r="163">
      <c r="A163" s="7" t="n">
        <v>3</v>
      </c>
      <c r="B163" s="7">
        <f>ACT_DIST_GPD_PDF(A163, 0.5, 1)</f>
        <v/>
      </c>
      <c r="C163" s="7">
        <f>ACT_DIST_GPD_CDF(A163, 0.5, 1)</f>
        <v/>
      </c>
      <c r="D163" s="7" t="n"/>
    </row>
    <row r="164">
      <c r="A164" s="7" t="n">
        <v>4</v>
      </c>
      <c r="B164" s="7">
        <f>ACT_DIST_GPD_PDF(A164, 0.5, 1)</f>
        <v/>
      </c>
      <c r="C164" s="7">
        <f>ACT_DIST_GPD_CDF(A164, 0.5, 1)</f>
        <v/>
      </c>
      <c r="D164" s="7" t="n"/>
    </row>
    <row r="165">
      <c r="A165" s="7" t="n">
        <v>5</v>
      </c>
      <c r="B165" s="7">
        <f>ACT_DIST_GPD_PDF(A165, 0.5, 1)</f>
        <v/>
      </c>
      <c r="C165" s="7">
        <f>ACT_DIST_GPD_CDF(A165, 0.5, 1)</f>
        <v/>
      </c>
      <c r="D165" s="7" t="n"/>
    </row>
    <row r="170">
      <c r="A170" s="6" t="inlineStr">
        <is>
          <t>BURR TYPE XII DISTRIBUTION (c=2, k=1, lambda=1)</t>
        </is>
      </c>
    </row>
    <row r="171">
      <c r="A171" s="3" t="inlineStr">
        <is>
          <t>x</t>
        </is>
      </c>
      <c r="B171" s="3" t="inlineStr">
        <is>
          <t>PDF</t>
        </is>
      </c>
      <c r="C171" s="3" t="inlineStr">
        <is>
          <t>CDF</t>
        </is>
      </c>
      <c r="D171" s="3" t="inlineStr">
        <is>
          <t>Notes</t>
        </is>
      </c>
    </row>
    <row r="172">
      <c r="A172" s="7" t="n">
        <v>0</v>
      </c>
      <c r="B172" s="7">
        <f>ACT_DIST_BURR_PDF(A172, 2, 1, 1)</f>
        <v/>
      </c>
      <c r="C172" s="7">
        <f>ACT_DIST_BURR_CDF(A172, 2, 1, 1)</f>
        <v/>
      </c>
      <c r="D172" s="7" t="n"/>
    </row>
    <row r="173">
      <c r="A173" s="7" t="n">
        <v>0.25</v>
      </c>
      <c r="B173" s="7">
        <f>ACT_DIST_BURR_PDF(A173, 2, 1, 1)</f>
        <v/>
      </c>
      <c r="C173" s="7">
        <f>ACT_DIST_BURR_CDF(A173, 2, 1, 1)</f>
        <v/>
      </c>
      <c r="D173" s="7" t="n"/>
    </row>
    <row r="174">
      <c r="A174" s="7" t="n">
        <v>0.5</v>
      </c>
      <c r="B174" s="7">
        <f>ACT_DIST_BURR_PDF(A174, 2, 1, 1)</f>
        <v/>
      </c>
      <c r="C174" s="7">
        <f>ACT_DIST_BURR_CDF(A174, 2, 1, 1)</f>
        <v/>
      </c>
      <c r="D174" s="7" t="n"/>
    </row>
    <row r="175">
      <c r="A175" s="7" t="n">
        <v>1</v>
      </c>
      <c r="B175" s="7">
        <f>ACT_DIST_BURR_PDF(A175, 2, 1, 1)</f>
        <v/>
      </c>
      <c r="C175" s="7">
        <f>ACT_DIST_BURR_CDF(A175, 2, 1, 1)</f>
        <v/>
      </c>
      <c r="D175" s="7" t="n"/>
    </row>
    <row r="176">
      <c r="A176" s="7" t="n">
        <v>1.5</v>
      </c>
      <c r="B176" s="7">
        <f>ACT_DIST_BURR_PDF(A176, 2, 1, 1)</f>
        <v/>
      </c>
      <c r="C176" s="7">
        <f>ACT_DIST_BURR_CDF(A176, 2, 1, 1)</f>
        <v/>
      </c>
      <c r="D176" s="7" t="n"/>
    </row>
    <row r="177">
      <c r="A177" s="7" t="n">
        <v>2</v>
      </c>
      <c r="B177" s="7">
        <f>ACT_DIST_BURR_PDF(A177, 2, 1, 1)</f>
        <v/>
      </c>
      <c r="C177" s="7">
        <f>ACT_DIST_BURR_CDF(A177, 2, 1, 1)</f>
        <v/>
      </c>
      <c r="D177" s="7" t="n"/>
    </row>
    <row r="178">
      <c r="A178" s="7" t="n">
        <v>3</v>
      </c>
      <c r="B178" s="7">
        <f>ACT_DIST_BURR_PDF(A178, 2, 1, 1)</f>
        <v/>
      </c>
      <c r="C178" s="7">
        <f>ACT_DIST_BURR_CDF(A178, 2, 1, 1)</f>
        <v/>
      </c>
      <c r="D178" s="7" t="n"/>
    </row>
    <row r="179">
      <c r="A179" s="7" t="n">
        <v>4</v>
      </c>
      <c r="B179" s="7">
        <f>ACT_DIST_BURR_PDF(A179, 2, 1, 1)</f>
        <v/>
      </c>
      <c r="C179" s="7">
        <f>ACT_DIST_BURR_CDF(A179, 2, 1, 1)</f>
        <v/>
      </c>
      <c r="D179" s="7" t="n"/>
    </row>
    <row r="180">
      <c r="A180" s="7" t="n">
        <v>5</v>
      </c>
      <c r="B180" s="7">
        <f>ACT_DIST_BURR_PDF(A180, 2, 1, 1)</f>
        <v/>
      </c>
      <c r="C180" s="7">
        <f>ACT_DIST_BURR_CDF(A180, 2, 1, 1)</f>
        <v/>
      </c>
      <c r="D180" s="7" t="n"/>
    </row>
    <row r="185">
      <c r="A185" s="6" t="inlineStr">
        <is>
          <t>INVERSE GAUSSIAN (WALD) DISTRIBUTION (mu=2, lambda=3)</t>
        </is>
      </c>
    </row>
    <row r="186">
      <c r="A186" s="3" t="inlineStr">
        <is>
          <t>x</t>
        </is>
      </c>
      <c r="B186" s="3" t="inlineStr">
        <is>
          <t>PDF</t>
        </is>
      </c>
      <c r="C186" s="3" t="inlineStr">
        <is>
          <t>CDF</t>
        </is>
      </c>
      <c r="D186" s="3" t="inlineStr">
        <is>
          <t>Notes</t>
        </is>
      </c>
    </row>
    <row r="187">
      <c r="A187" s="7" t="n">
        <v>0.25</v>
      </c>
      <c r="B187" s="7">
        <f>ACT_DIST_INVGAUSS_PDF(A187, 2, 3)</f>
        <v/>
      </c>
      <c r="C187" s="7">
        <f>ACT_DIST_INVGAUSS_CDF(A187, 2, 3)</f>
        <v/>
      </c>
      <c r="D187" s="7" t="n"/>
    </row>
    <row r="188">
      <c r="A188" s="7" t="n">
        <v>0.5</v>
      </c>
      <c r="B188" s="7">
        <f>ACT_DIST_INVGAUSS_PDF(A188, 2, 3)</f>
        <v/>
      </c>
      <c r="C188" s="7">
        <f>ACT_DIST_INVGAUSS_CDF(A188, 2, 3)</f>
        <v/>
      </c>
      <c r="D188" s="7" t="n"/>
    </row>
    <row r="189">
      <c r="A189" s="7" t="n">
        <v>1</v>
      </c>
      <c r="B189" s="7">
        <f>ACT_DIST_INVGAUSS_PDF(A189, 2, 3)</f>
        <v/>
      </c>
      <c r="C189" s="7">
        <f>ACT_DIST_INVGAUSS_CDF(A189, 2, 3)</f>
        <v/>
      </c>
      <c r="D189" s="7" t="n"/>
    </row>
    <row r="190">
      <c r="A190" s="7" t="n">
        <v>1.5</v>
      </c>
      <c r="B190" s="7">
        <f>ACT_DIST_INVGAUSS_PDF(A190, 2, 3)</f>
        <v/>
      </c>
      <c r="C190" s="7">
        <f>ACT_DIST_INVGAUSS_CDF(A190, 2, 3)</f>
        <v/>
      </c>
      <c r="D190" s="7" t="n"/>
    </row>
    <row r="191">
      <c r="A191" s="7" t="n">
        <v>2</v>
      </c>
      <c r="B191" s="7">
        <f>ACT_DIST_INVGAUSS_PDF(A191, 2, 3)</f>
        <v/>
      </c>
      <c r="C191" s="7">
        <f>ACT_DIST_INVGAUSS_CDF(A191, 2, 3)</f>
        <v/>
      </c>
      <c r="D191" s="7" t="inlineStr">
        <is>
          <t>Mean</t>
        </is>
      </c>
    </row>
    <row r="192">
      <c r="A192" s="7" t="n">
        <v>2.5</v>
      </c>
      <c r="B192" s="7">
        <f>ACT_DIST_INVGAUSS_PDF(A192, 2, 3)</f>
        <v/>
      </c>
      <c r="C192" s="7">
        <f>ACT_DIST_INVGAUSS_CDF(A192, 2, 3)</f>
        <v/>
      </c>
      <c r="D192" s="7" t="n"/>
    </row>
    <row r="193">
      <c r="A193" s="7" t="n">
        <v>3</v>
      </c>
      <c r="B193" s="7">
        <f>ACT_DIST_INVGAUSS_PDF(A193, 2, 3)</f>
        <v/>
      </c>
      <c r="C193" s="7">
        <f>ACT_DIST_INVGAUSS_CDF(A193, 2, 3)</f>
        <v/>
      </c>
      <c r="D193" s="7" t="n"/>
    </row>
    <row r="194">
      <c r="A194" s="7" t="n">
        <v>4</v>
      </c>
      <c r="B194" s="7">
        <f>ACT_DIST_INVGAUSS_PDF(A194, 2, 3)</f>
        <v/>
      </c>
      <c r="C194" s="7">
        <f>ACT_DIST_INVGAUSS_CDF(A194, 2, 3)</f>
        <v/>
      </c>
      <c r="D194" s="7" t="n"/>
    </row>
    <row r="195">
      <c r="A195" s="7" t="n">
        <v>5</v>
      </c>
      <c r="B195" s="7">
        <f>ACT_DIST_INVGAUSS_PDF(A195, 2, 3)</f>
        <v/>
      </c>
      <c r="C195" s="7">
        <f>ACT_DIST_INVGAUSS_CDF(A195, 2, 3)</f>
        <v/>
      </c>
      <c r="D195" s="7" t="n"/>
    </row>
    <row r="200">
      <c r="A200" s="6" t="inlineStr">
        <is>
          <t>LOGLOGISTIC DISTRIBUTION (alpha=2, beta=3)</t>
        </is>
      </c>
    </row>
    <row r="201">
      <c r="A201" s="3" t="inlineStr">
        <is>
          <t>x</t>
        </is>
      </c>
      <c r="B201" s="3" t="inlineStr">
        <is>
          <t>PDF</t>
        </is>
      </c>
      <c r="C201" s="3" t="inlineStr">
        <is>
          <t>CDF</t>
        </is>
      </c>
      <c r="D201" s="3" t="inlineStr">
        <is>
          <t>Notes</t>
        </is>
      </c>
    </row>
    <row r="202">
      <c r="A202" s="7" t="n">
        <v>0.25</v>
      </c>
      <c r="B202" s="7">
        <f>ACT_DIST_LOGLOGISTIC_PDF(A202, 2, 3)</f>
        <v/>
      </c>
      <c r="C202" s="7">
        <f>ACT_DIST_LOGLOGISTIC_CDF(A202, 2, 3)</f>
        <v/>
      </c>
      <c r="D202" s="7" t="n"/>
    </row>
    <row r="203">
      <c r="A203" s="7" t="n">
        <v>0.5</v>
      </c>
      <c r="B203" s="7">
        <f>ACT_DIST_LOGLOGISTIC_PDF(A203, 2, 3)</f>
        <v/>
      </c>
      <c r="C203" s="7">
        <f>ACT_DIST_LOGLOGISTIC_CDF(A203, 2, 3)</f>
        <v/>
      </c>
      <c r="D203" s="7" t="n"/>
    </row>
    <row r="204">
      <c r="A204" s="7" t="n">
        <v>1</v>
      </c>
      <c r="B204" s="7">
        <f>ACT_DIST_LOGLOGISTIC_PDF(A204, 2, 3)</f>
        <v/>
      </c>
      <c r="C204" s="7">
        <f>ACT_DIST_LOGLOGISTIC_CDF(A204, 2, 3)</f>
        <v/>
      </c>
      <c r="D204" s="7" t="n"/>
    </row>
    <row r="205">
      <c r="A205" s="7" t="n">
        <v>1.5</v>
      </c>
      <c r="B205" s="7">
        <f>ACT_DIST_LOGLOGISTIC_PDF(A205, 2, 3)</f>
        <v/>
      </c>
      <c r="C205" s="7">
        <f>ACT_DIST_LOGLOGISTIC_CDF(A205, 2, 3)</f>
        <v/>
      </c>
      <c r="D205" s="7" t="n"/>
    </row>
    <row r="206">
      <c r="A206" s="7" t="n">
        <v>2</v>
      </c>
      <c r="B206" s="7">
        <f>ACT_DIST_LOGLOGISTIC_PDF(A206, 2, 3)</f>
        <v/>
      </c>
      <c r="C206" s="7">
        <f>ACT_DIST_LOGLOGISTIC_CDF(A206, 2, 3)</f>
        <v/>
      </c>
      <c r="D206" s="7" t="inlineStr">
        <is>
          <t>Median</t>
        </is>
      </c>
    </row>
    <row r="207">
      <c r="A207" s="7" t="n">
        <v>3</v>
      </c>
      <c r="B207" s="7">
        <f>ACT_DIST_LOGLOGISTIC_PDF(A207, 2, 3)</f>
        <v/>
      </c>
      <c r="C207" s="7">
        <f>ACT_DIST_LOGLOGISTIC_CDF(A207, 2, 3)</f>
        <v/>
      </c>
      <c r="D207" s="7" t="n"/>
    </row>
    <row r="208">
      <c r="A208" s="7" t="n">
        <v>4</v>
      </c>
      <c r="B208" s="7">
        <f>ACT_DIST_LOGLOGISTIC_PDF(A208, 2, 3)</f>
        <v/>
      </c>
      <c r="C208" s="7">
        <f>ACT_DIST_LOGLOGISTIC_CDF(A208, 2, 3)</f>
        <v/>
      </c>
      <c r="D208" s="7" t="n"/>
    </row>
    <row r="209">
      <c r="A209" s="7" t="n">
        <v>5</v>
      </c>
      <c r="B209" s="7">
        <f>ACT_DIST_LOGLOGISTIC_PDF(A209, 2, 3)</f>
        <v/>
      </c>
      <c r="C209" s="7">
        <f>ACT_DIST_LOGLOGISTIC_CDF(A209, 2, 3)</f>
        <v/>
      </c>
      <c r="D209" s="7" t="n"/>
    </row>
    <row r="210">
      <c r="A210" s="7" t="n">
        <v>7</v>
      </c>
      <c r="B210" s="7">
        <f>ACT_DIST_LOGLOGISTIC_PDF(A210, 2, 3)</f>
        <v/>
      </c>
      <c r="C210" s="7">
        <f>ACT_DIST_LOGLOGISTIC_CDF(A210, 2, 3)</f>
        <v/>
      </c>
      <c r="D210" s="7" t="n"/>
    </row>
    <row r="215">
      <c r="A215" s="6" t="inlineStr">
        <is>
          <t>ZERO-TRUNCATED POISSON (lambda=5)</t>
        </is>
      </c>
    </row>
    <row r="216">
      <c r="A216" s="3" t="inlineStr">
        <is>
          <t>k</t>
        </is>
      </c>
      <c r="B216" s="3" t="inlineStr">
        <is>
          <t>PMF</t>
        </is>
      </c>
      <c r="C216" s="3" t="inlineStr">
        <is>
          <t>CDF</t>
        </is>
      </c>
      <c r="D216" s="3" t="inlineStr">
        <is>
          <t>Notes</t>
        </is>
      </c>
    </row>
    <row r="217">
      <c r="A217" s="7" t="n">
        <v>1</v>
      </c>
      <c r="B217" s="7">
        <f>ACT_DIST_ZTPOISSON_PDF(A217, 5)</f>
        <v/>
      </c>
      <c r="C217" s="7">
        <f>ACT_DIST_ZTPOISSON_CDF(A217, 5)</f>
        <v/>
      </c>
      <c r="D217" s="7" t="n"/>
    </row>
    <row r="218">
      <c r="A218" s="7" t="n">
        <v>2</v>
      </c>
      <c r="B218" s="7">
        <f>ACT_DIST_ZTPOISSON_PDF(A218, 5)</f>
        <v/>
      </c>
      <c r="C218" s="7">
        <f>ACT_DIST_ZTPOISSON_CDF(A218, 5)</f>
        <v/>
      </c>
      <c r="D218" s="7" t="n"/>
    </row>
    <row r="219">
      <c r="A219" s="7" t="n">
        <v>3</v>
      </c>
      <c r="B219" s="7">
        <f>ACT_DIST_ZTPOISSON_PDF(A219, 5)</f>
        <v/>
      </c>
      <c r="C219" s="7">
        <f>ACT_DIST_ZTPOISSON_CDF(A219, 5)</f>
        <v/>
      </c>
      <c r="D219" s="7" t="n"/>
    </row>
    <row r="220">
      <c r="A220" s="7" t="n">
        <v>4</v>
      </c>
      <c r="B220" s="7">
        <f>ACT_DIST_ZTPOISSON_PDF(A220, 5)</f>
        <v/>
      </c>
      <c r="C220" s="7">
        <f>ACT_DIST_ZTPOISSON_CDF(A220, 5)</f>
        <v/>
      </c>
      <c r="D220" s="7" t="n"/>
    </row>
    <row r="221">
      <c r="A221" s="7" t="n">
        <v>5</v>
      </c>
      <c r="B221" s="7">
        <f>ACT_DIST_ZTPOISSON_PDF(A221, 5)</f>
        <v/>
      </c>
      <c r="C221" s="7">
        <f>ACT_DIST_ZTPOISSON_CDF(A221, 5)</f>
        <v/>
      </c>
      <c r="D221" s="7" t="inlineStr">
        <is>
          <t>Mode</t>
        </is>
      </c>
    </row>
    <row r="222">
      <c r="A222" s="7" t="n">
        <v>6</v>
      </c>
      <c r="B222" s="7">
        <f>ACT_DIST_ZTPOISSON_PDF(A222, 5)</f>
        <v/>
      </c>
      <c r="C222" s="7">
        <f>ACT_DIST_ZTPOISSON_CDF(A222, 5)</f>
        <v/>
      </c>
      <c r="D222" s="7" t="n"/>
    </row>
    <row r="223">
      <c r="A223" s="7" t="n">
        <v>7</v>
      </c>
      <c r="B223" s="7">
        <f>ACT_DIST_ZTPOISSON_PDF(A223, 5)</f>
        <v/>
      </c>
      <c r="C223" s="7">
        <f>ACT_DIST_ZTPOISSON_CDF(A223, 5)</f>
        <v/>
      </c>
      <c r="D223" s="7" t="n"/>
    </row>
    <row r="224">
      <c r="A224" s="7" t="n">
        <v>8</v>
      </c>
      <c r="B224" s="7">
        <f>ACT_DIST_ZTPOISSON_PDF(A224, 5)</f>
        <v/>
      </c>
      <c r="C224" s="7">
        <f>ACT_DIST_ZTPOISSON_CDF(A224, 5)</f>
        <v/>
      </c>
      <c r="D224" s="7" t="n"/>
    </row>
    <row r="225">
      <c r="A225" s="7" t="n">
        <v>9</v>
      </c>
      <c r="B225" s="7">
        <f>ACT_DIST_ZTPOISSON_PDF(A225, 5)</f>
        <v/>
      </c>
      <c r="C225" s="7">
        <f>ACT_DIST_ZTPOISSON_CDF(A225, 5)</f>
        <v/>
      </c>
      <c r="D225" s="7" t="n"/>
    </row>
    <row r="226">
      <c r="A226" s="7" t="n">
        <v>10</v>
      </c>
      <c r="B226" s="7">
        <f>ACT_DIST_ZTPOISSON_PDF(A226, 5)</f>
        <v/>
      </c>
      <c r="C226" s="7">
        <f>ACT_DIST_ZTPOISSON_CDF(A226, 5)</f>
        <v/>
      </c>
      <c r="D226" s="7" t="n"/>
    </row>
    <row r="227">
      <c r="A227" s="7" t="inlineStr">
        <is>
          <t>Mean:</t>
        </is>
      </c>
      <c r="B227" s="7">
        <f>ACT_DIST_ZTPOISSON_MEAN(5)</f>
        <v/>
      </c>
      <c r="C227" s="7" t="n"/>
      <c r="D227" s="7" t="inlineStr">
        <is>
          <t>E[X|X&gt;0]</t>
        </is>
      </c>
    </row>
    <row r="230">
      <c r="A230" s="6" t="inlineStr">
        <is>
          <t>ZERO-TRUNCATED NEGATIVE BINOMIAL (r=5, p=0.3)</t>
        </is>
      </c>
    </row>
    <row r="231">
      <c r="A231" s="3" t="inlineStr">
        <is>
          <t>k</t>
        </is>
      </c>
      <c r="B231" s="3" t="inlineStr">
        <is>
          <t>PMF</t>
        </is>
      </c>
      <c r="C231" s="3" t="inlineStr">
        <is>
          <t>CDF</t>
        </is>
      </c>
      <c r="D231" s="3" t="inlineStr">
        <is>
          <t>Notes</t>
        </is>
      </c>
    </row>
    <row r="232">
      <c r="A232" s="7" t="n">
        <v>1</v>
      </c>
      <c r="B232" s="7">
        <f>ACT_DIST_ZTNEGBIN_PDF(A232, 5, 0.3)</f>
        <v/>
      </c>
      <c r="C232" s="7">
        <f>ACT_DIST_ZTNEGBIN_CDF(A232, 5, 0.3)</f>
        <v/>
      </c>
      <c r="D232" s="7" t="n"/>
    </row>
    <row r="233">
      <c r="A233" s="7" t="n">
        <v>2</v>
      </c>
      <c r="B233" s="7">
        <f>ACT_DIST_ZTNEGBIN_PDF(A233, 5, 0.3)</f>
        <v/>
      </c>
      <c r="C233" s="7">
        <f>ACT_DIST_ZTNEGBIN_CDF(A233, 5, 0.3)</f>
        <v/>
      </c>
      <c r="D233" s="7" t="n"/>
    </row>
    <row r="234">
      <c r="A234" s="7" t="n">
        <v>3</v>
      </c>
      <c r="B234" s="7">
        <f>ACT_DIST_ZTNEGBIN_PDF(A234, 5, 0.3)</f>
        <v/>
      </c>
      <c r="C234" s="7">
        <f>ACT_DIST_ZTNEGBIN_CDF(A234, 5, 0.3)</f>
        <v/>
      </c>
      <c r="D234" s="7" t="n"/>
    </row>
    <row r="235">
      <c r="A235" s="7" t="n">
        <v>5</v>
      </c>
      <c r="B235" s="7">
        <f>ACT_DIST_ZTNEGBIN_PDF(A235, 5, 0.3)</f>
        <v/>
      </c>
      <c r="C235" s="7">
        <f>ACT_DIST_ZTNEGBIN_CDF(A235, 5, 0.3)</f>
        <v/>
      </c>
      <c r="D235" s="7" t="n"/>
    </row>
    <row r="236">
      <c r="A236" s="7" t="n">
        <v>7</v>
      </c>
      <c r="B236" s="7">
        <f>ACT_DIST_ZTNEGBIN_PDF(A236, 5, 0.3)</f>
        <v/>
      </c>
      <c r="C236" s="7">
        <f>ACT_DIST_ZTNEGBIN_CDF(A236, 5, 0.3)</f>
        <v/>
      </c>
      <c r="D236" s="7" t="n"/>
    </row>
    <row r="237">
      <c r="A237" s="7" t="n">
        <v>10</v>
      </c>
      <c r="B237" s="7">
        <f>ACT_DIST_ZTNEGBIN_PDF(A237, 5, 0.3)</f>
        <v/>
      </c>
      <c r="C237" s="7">
        <f>ACT_DIST_ZTNEGBIN_CDF(A237, 5, 0.3)</f>
        <v/>
      </c>
      <c r="D237" s="7" t="n"/>
    </row>
    <row r="238">
      <c r="A238" s="7" t="n">
        <v>15</v>
      </c>
      <c r="B238" s="7">
        <f>ACT_DIST_ZTNEGBIN_PDF(A238, 5, 0.3)</f>
        <v/>
      </c>
      <c r="C238" s="7">
        <f>ACT_DIST_ZTNEGBIN_CDF(A238, 5, 0.3)</f>
        <v/>
      </c>
      <c r="D238" s="7" t="n"/>
    </row>
    <row r="239">
      <c r="A239" s="7" t="n">
        <v>20</v>
      </c>
      <c r="B239" s="7">
        <f>ACT_DIST_ZTNEGBIN_PDF(A239, 5, 0.3)</f>
        <v/>
      </c>
      <c r="C239" s="7">
        <f>ACT_DIST_ZTNEGBIN_CDF(A239, 5, 0.3)</f>
        <v/>
      </c>
      <c r="D239" s="7" t="n"/>
    </row>
    <row r="240">
      <c r="A240" s="7" t="n">
        <v>25</v>
      </c>
      <c r="B240" s="7">
        <f>ACT_DIST_ZTNEGBIN_PDF(A240, 5, 0.3)</f>
        <v/>
      </c>
      <c r="C240" s="7">
        <f>ACT_DIST_ZTNEGBIN_CDF(A240, 5, 0.3)</f>
        <v/>
      </c>
      <c r="D240" s="7" t="n"/>
    </row>
    <row r="241">
      <c r="A241" s="7" t="n">
        <v>30</v>
      </c>
      <c r="B241" s="7">
        <f>ACT_DIST_ZTNEGBIN_PDF(A241, 5, 0.3)</f>
        <v/>
      </c>
      <c r="C241" s="7">
        <f>ACT_DIST_ZTNEGBIN_CDF(A241, 5, 0.3)</f>
        <v/>
      </c>
      <c r="D241" s="7" t="n"/>
    </row>
    <row r="242">
      <c r="A242" s="7" t="inlineStr">
        <is>
          <t>Mean:</t>
        </is>
      </c>
      <c r="B242" s="7">
        <f>ACT_DIST_ZTNEGBIN_MEAN(5, 0.3)</f>
        <v/>
      </c>
      <c r="C242" s="7" t="n"/>
      <c r="D242" s="7" t="inlineStr">
        <is>
          <t>E[X|X&gt;0]</t>
        </is>
      </c>
    </row>
    <row r="245">
      <c r="A245" s="6" t="inlineStr">
        <is>
          <t>ZERO-TRUNCATED BINOMIAL (n=10, p=0.3)</t>
        </is>
      </c>
    </row>
    <row r="246">
      <c r="A246" s="3" t="inlineStr">
        <is>
          <t>k</t>
        </is>
      </c>
      <c r="B246" s="3" t="inlineStr">
        <is>
          <t>PMF</t>
        </is>
      </c>
      <c r="C246" s="3" t="inlineStr">
        <is>
          <t>CDF</t>
        </is>
      </c>
      <c r="D246" s="3" t="inlineStr">
        <is>
          <t>Notes</t>
        </is>
      </c>
    </row>
    <row r="247">
      <c r="A247" s="7" t="n">
        <v>1</v>
      </c>
      <c r="B247" s="7">
        <f>ACT_DIST_ZTBINOM_PDF(A247, 10, 0.3)</f>
        <v/>
      </c>
      <c r="C247" s="7">
        <f>ACT_DIST_ZTBINOM_CDF(A247, 10, 0.3)</f>
        <v/>
      </c>
      <c r="D247" s="7" t="n"/>
    </row>
    <row r="248">
      <c r="A248" s="7" t="n">
        <v>2</v>
      </c>
      <c r="B248" s="7">
        <f>ACT_DIST_ZTBINOM_PDF(A248, 10, 0.3)</f>
        <v/>
      </c>
      <c r="C248" s="7">
        <f>ACT_DIST_ZTBINOM_CDF(A248, 10, 0.3)</f>
        <v/>
      </c>
      <c r="D248" s="7" t="n"/>
    </row>
    <row r="249">
      <c r="A249" s="7" t="n">
        <v>3</v>
      </c>
      <c r="B249" s="7">
        <f>ACT_DIST_ZTBINOM_PDF(A249, 10, 0.3)</f>
        <v/>
      </c>
      <c r="C249" s="7">
        <f>ACT_DIST_ZTBINOM_CDF(A249, 10, 0.3)</f>
        <v/>
      </c>
      <c r="D249" s="7" t="n"/>
    </row>
    <row r="250">
      <c r="A250" s="7" t="n">
        <v>4</v>
      </c>
      <c r="B250" s="7">
        <f>ACT_DIST_ZTBINOM_PDF(A250, 10, 0.3)</f>
        <v/>
      </c>
      <c r="C250" s="7">
        <f>ACT_DIST_ZTBINOM_CDF(A250, 10, 0.3)</f>
        <v/>
      </c>
      <c r="D250" s="7" t="n"/>
    </row>
    <row r="251">
      <c r="A251" s="7" t="n">
        <v>5</v>
      </c>
      <c r="B251" s="7">
        <f>ACT_DIST_ZTBINOM_PDF(A251, 10, 0.3)</f>
        <v/>
      </c>
      <c r="C251" s="7">
        <f>ACT_DIST_ZTBINOM_CDF(A251, 10, 0.3)</f>
        <v/>
      </c>
      <c r="D251" s="7" t="n"/>
    </row>
    <row r="252">
      <c r="A252" s="7" t="n">
        <v>6</v>
      </c>
      <c r="B252" s="7">
        <f>ACT_DIST_ZTBINOM_PDF(A252, 10, 0.3)</f>
        <v/>
      </c>
      <c r="C252" s="7">
        <f>ACT_DIST_ZTBINOM_CDF(A252, 10, 0.3)</f>
        <v/>
      </c>
      <c r="D252" s="7" t="n"/>
    </row>
    <row r="253">
      <c r="A253" s="7" t="n">
        <v>7</v>
      </c>
      <c r="B253" s="7">
        <f>ACT_DIST_ZTBINOM_PDF(A253, 10, 0.3)</f>
        <v/>
      </c>
      <c r="C253" s="7">
        <f>ACT_DIST_ZTBINOM_CDF(A253, 10, 0.3)</f>
        <v/>
      </c>
      <c r="D253" s="7" t="n"/>
    </row>
    <row r="254">
      <c r="A254" s="7" t="n">
        <v>8</v>
      </c>
      <c r="B254" s="7">
        <f>ACT_DIST_ZTBINOM_PDF(A254, 10, 0.3)</f>
        <v/>
      </c>
      <c r="C254" s="7">
        <f>ACT_DIST_ZTBINOM_CDF(A254, 10, 0.3)</f>
        <v/>
      </c>
      <c r="D254" s="7" t="n"/>
    </row>
    <row r="255">
      <c r="A255" s="7" t="n">
        <v>9</v>
      </c>
      <c r="B255" s="7">
        <f>ACT_DIST_ZTBINOM_PDF(A255, 10, 0.3)</f>
        <v/>
      </c>
      <c r="C255" s="7">
        <f>ACT_DIST_ZTBINOM_CDF(A255, 10, 0.3)</f>
        <v/>
      </c>
      <c r="D255" s="7" t="n"/>
    </row>
    <row r="256">
      <c r="A256" s="7" t="n">
        <v>10</v>
      </c>
      <c r="B256" s="7">
        <f>ACT_DIST_ZTBINOM_PDF(A256, 10, 0.3)</f>
        <v/>
      </c>
      <c r="C256" s="7">
        <f>ACT_DIST_ZTBINOM_CDF(A256, 10, 0.3)</f>
        <v/>
      </c>
      <c r="D256" s="7" t="inlineStr">
        <is>
          <t>Max</t>
        </is>
      </c>
    </row>
    <row r="257">
      <c r="A257" s="7" t="inlineStr">
        <is>
          <t>Mean:</t>
        </is>
      </c>
      <c r="B257" s="7">
        <f>ACT_DIST_ZTBINOM_MEAN(10, 0.3)</f>
        <v/>
      </c>
      <c r="C257" s="7" t="n"/>
      <c r="D257" s="7" t="inlineStr">
        <is>
          <t>E[X|X&gt;0]</t>
        </is>
      </c>
    </row>
    <row r="260">
      <c r="A260" s="6" t="inlineStr">
        <is>
          <t>ZERO-TRUNCATED GEOMETRIC (p=0.3)</t>
        </is>
      </c>
    </row>
    <row r="261">
      <c r="A261" s="3" t="inlineStr">
        <is>
          <t>k</t>
        </is>
      </c>
      <c r="B261" s="3" t="inlineStr">
        <is>
          <t>PMF</t>
        </is>
      </c>
      <c r="C261" s="3" t="inlineStr">
        <is>
          <t>CDF</t>
        </is>
      </c>
      <c r="D261" s="3" t="inlineStr">
        <is>
          <t>Notes</t>
        </is>
      </c>
    </row>
    <row r="262">
      <c r="A262" s="7" t="n">
        <v>1</v>
      </c>
      <c r="B262" s="7">
        <f>ACT_DIST_ZTGEOM_PDF(A262, 0.3)</f>
        <v/>
      </c>
      <c r="C262" s="7">
        <f>ACT_DIST_ZTGEOM_CDF(A262, 0.3)</f>
        <v/>
      </c>
      <c r="D262" s="7" t="inlineStr">
        <is>
          <t>Mode</t>
        </is>
      </c>
    </row>
    <row r="263">
      <c r="A263" s="7" t="n">
        <v>2</v>
      </c>
      <c r="B263" s="7">
        <f>ACT_DIST_ZTGEOM_PDF(A263, 0.3)</f>
        <v/>
      </c>
      <c r="C263" s="7">
        <f>ACT_DIST_ZTGEOM_CDF(A263, 0.3)</f>
        <v/>
      </c>
      <c r="D263" s="7" t="n"/>
    </row>
    <row r="264">
      <c r="A264" s="7" t="n">
        <v>3</v>
      </c>
      <c r="B264" s="7">
        <f>ACT_DIST_ZTGEOM_PDF(A264, 0.3)</f>
        <v/>
      </c>
      <c r="C264" s="7">
        <f>ACT_DIST_ZTGEOM_CDF(A264, 0.3)</f>
        <v/>
      </c>
      <c r="D264" s="7" t="n"/>
    </row>
    <row r="265">
      <c r="A265" s="7" t="n">
        <v>4</v>
      </c>
      <c r="B265" s="7">
        <f>ACT_DIST_ZTGEOM_PDF(A265, 0.3)</f>
        <v/>
      </c>
      <c r="C265" s="7">
        <f>ACT_DIST_ZTGEOM_CDF(A265, 0.3)</f>
        <v/>
      </c>
      <c r="D265" s="7" t="n"/>
    </row>
    <row r="266">
      <c r="A266" s="7" t="n">
        <v>5</v>
      </c>
      <c r="B266" s="7">
        <f>ACT_DIST_ZTGEOM_PDF(A266, 0.3)</f>
        <v/>
      </c>
      <c r="C266" s="7">
        <f>ACT_DIST_ZTGEOM_CDF(A266, 0.3)</f>
        <v/>
      </c>
      <c r="D266" s="7" t="n"/>
    </row>
    <row r="267">
      <c r="A267" s="7" t="n">
        <v>6</v>
      </c>
      <c r="B267" s="7">
        <f>ACT_DIST_ZTGEOM_PDF(A267, 0.3)</f>
        <v/>
      </c>
      <c r="C267" s="7">
        <f>ACT_DIST_ZTGEOM_CDF(A267, 0.3)</f>
        <v/>
      </c>
      <c r="D267" s="7" t="n"/>
    </row>
    <row r="268">
      <c r="A268" s="7" t="n">
        <v>7</v>
      </c>
      <c r="B268" s="7">
        <f>ACT_DIST_ZTGEOM_PDF(A268, 0.3)</f>
        <v/>
      </c>
      <c r="C268" s="7">
        <f>ACT_DIST_ZTGEOM_CDF(A268, 0.3)</f>
        <v/>
      </c>
      <c r="D268" s="7" t="n"/>
    </row>
    <row r="269">
      <c r="A269" s="7" t="n">
        <v>8</v>
      </c>
      <c r="B269" s="7">
        <f>ACT_DIST_ZTGEOM_PDF(A269, 0.3)</f>
        <v/>
      </c>
      <c r="C269" s="7">
        <f>ACT_DIST_ZTGEOM_CDF(A269, 0.3)</f>
        <v/>
      </c>
      <c r="D269" s="7" t="n"/>
    </row>
    <row r="270">
      <c r="A270" s="7" t="n">
        <v>9</v>
      </c>
      <c r="B270" s="7">
        <f>ACT_DIST_ZTGEOM_PDF(A270, 0.3)</f>
        <v/>
      </c>
      <c r="C270" s="7">
        <f>ACT_DIST_ZTGEOM_CDF(A270, 0.3)</f>
        <v/>
      </c>
      <c r="D270" s="7" t="n"/>
    </row>
    <row r="271">
      <c r="A271" s="7" t="n">
        <v>10</v>
      </c>
      <c r="B271" s="7">
        <f>ACT_DIST_ZTGEOM_PDF(A271, 0.3)</f>
        <v/>
      </c>
      <c r="C271" s="7">
        <f>ACT_DIST_ZTGEOM_CDF(A271, 0.3)</f>
        <v/>
      </c>
      <c r="D271" s="7" t="n"/>
    </row>
    <row r="272">
      <c r="A272" s="7" t="inlineStr">
        <is>
          <t>Mean:</t>
        </is>
      </c>
      <c r="B272" s="7">
        <f>ACT_DIST_ZTGEOM_MEAN(0.3)</f>
        <v/>
      </c>
      <c r="C272" s="7" t="n"/>
      <c r="D272" s="7" t="inlineStr">
        <is>
          <t>E[X|X&gt;0] = 1/p</t>
        </is>
      </c>
    </row>
    <row r="275">
      <c r="A275" s="6" t="inlineStr">
        <is>
          <t>ZERO-MODIFIED POISSON (lambda=5, p0=0.2)</t>
        </is>
      </c>
    </row>
    <row r="276">
      <c r="A276" s="3" t="inlineStr">
        <is>
          <t>k</t>
        </is>
      </c>
      <c r="B276" s="3" t="inlineStr">
        <is>
          <t>PMF</t>
        </is>
      </c>
      <c r="C276" s="3" t="inlineStr">
        <is>
          <t>CDF</t>
        </is>
      </c>
      <c r="D276" s="3" t="inlineStr">
        <is>
          <t>Notes</t>
        </is>
      </c>
    </row>
    <row r="277">
      <c r="A277" s="7" t="n">
        <v>0</v>
      </c>
      <c r="B277" s="7">
        <f>ACT_DIST_ZMPOISSON_PDF(A277, 5, 0.2)</f>
        <v/>
      </c>
      <c r="C277" s="7">
        <f>ACT_DIST_ZMPOISSON_CDF(A277, 5, 0.2)</f>
        <v/>
      </c>
      <c r="D277" s="7" t="inlineStr">
        <is>
          <t>Inflated</t>
        </is>
      </c>
    </row>
    <row r="278">
      <c r="A278" s="7" t="n">
        <v>1</v>
      </c>
      <c r="B278" s="7">
        <f>ACT_DIST_ZMPOISSON_PDF(A278, 5, 0.2)</f>
        <v/>
      </c>
      <c r="C278" s="7">
        <f>ACT_DIST_ZMPOISSON_CDF(A278, 5, 0.2)</f>
        <v/>
      </c>
      <c r="D278" s="7" t="n"/>
    </row>
    <row r="279">
      <c r="A279" s="7" t="n">
        <v>2</v>
      </c>
      <c r="B279" s="7">
        <f>ACT_DIST_ZMPOISSON_PDF(A279, 5, 0.2)</f>
        <v/>
      </c>
      <c r="C279" s="7">
        <f>ACT_DIST_ZMPOISSON_CDF(A279, 5, 0.2)</f>
        <v/>
      </c>
      <c r="D279" s="7" t="n"/>
    </row>
    <row r="280">
      <c r="A280" s="7" t="n">
        <v>3</v>
      </c>
      <c r="B280" s="7">
        <f>ACT_DIST_ZMPOISSON_PDF(A280, 5, 0.2)</f>
        <v/>
      </c>
      <c r="C280" s="7">
        <f>ACT_DIST_ZMPOISSON_CDF(A280, 5, 0.2)</f>
        <v/>
      </c>
      <c r="D280" s="7" t="n"/>
    </row>
    <row r="281">
      <c r="A281" s="7" t="n">
        <v>4</v>
      </c>
      <c r="B281" s="7">
        <f>ACT_DIST_ZMPOISSON_PDF(A281, 5, 0.2)</f>
        <v/>
      </c>
      <c r="C281" s="7">
        <f>ACT_DIST_ZMPOISSON_CDF(A281, 5, 0.2)</f>
        <v/>
      </c>
      <c r="D281" s="7" t="n"/>
    </row>
    <row r="282">
      <c r="A282" s="7" t="n">
        <v>5</v>
      </c>
      <c r="B282" s="7">
        <f>ACT_DIST_ZMPOISSON_PDF(A282, 5, 0.2)</f>
        <v/>
      </c>
      <c r="C282" s="7">
        <f>ACT_DIST_ZMPOISSON_CDF(A282, 5, 0.2)</f>
        <v/>
      </c>
      <c r="D282" s="7" t="n"/>
    </row>
    <row r="283">
      <c r="A283" s="7" t="n">
        <v>6</v>
      </c>
      <c r="B283" s="7">
        <f>ACT_DIST_ZMPOISSON_PDF(A283, 5, 0.2)</f>
        <v/>
      </c>
      <c r="C283" s="7">
        <f>ACT_DIST_ZMPOISSON_CDF(A283, 5, 0.2)</f>
        <v/>
      </c>
      <c r="D283" s="7" t="n"/>
    </row>
    <row r="284">
      <c r="A284" s="7" t="n">
        <v>7</v>
      </c>
      <c r="B284" s="7">
        <f>ACT_DIST_ZMPOISSON_PDF(A284, 5, 0.2)</f>
        <v/>
      </c>
      <c r="C284" s="7">
        <f>ACT_DIST_ZMPOISSON_CDF(A284, 5, 0.2)</f>
        <v/>
      </c>
      <c r="D284" s="7" t="n"/>
    </row>
    <row r="285">
      <c r="A285" s="7" t="n">
        <v>8</v>
      </c>
      <c r="B285" s="7">
        <f>ACT_DIST_ZMPOISSON_PDF(A285, 5, 0.2)</f>
        <v/>
      </c>
      <c r="C285" s="7">
        <f>ACT_DIST_ZMPOISSON_CDF(A285, 5, 0.2)</f>
        <v/>
      </c>
      <c r="D285" s="7" t="n"/>
    </row>
    <row r="286">
      <c r="A286" s="7" t="n">
        <v>9</v>
      </c>
      <c r="B286" s="7">
        <f>ACT_DIST_ZMPOISSON_PDF(A286, 5, 0.2)</f>
        <v/>
      </c>
      <c r="C286" s="7">
        <f>ACT_DIST_ZMPOISSON_CDF(A286, 5, 0.2)</f>
        <v/>
      </c>
      <c r="D286" s="7" t="n"/>
    </row>
    <row r="287">
      <c r="A287" s="7" t="n">
        <v>10</v>
      </c>
      <c r="B287" s="7">
        <f>ACT_DIST_ZMPOISSON_PDF(A287, 5, 0.2)</f>
        <v/>
      </c>
      <c r="C287" s="7">
        <f>ACT_DIST_ZMPOISSON_CDF(A287, 5, 0.2)</f>
        <v/>
      </c>
      <c r="D287" s="7" t="n"/>
    </row>
    <row r="288">
      <c r="A288" s="7" t="inlineStr">
        <is>
          <t>Mean:</t>
        </is>
      </c>
      <c r="B288" s="7">
        <f>ACT_DIST_ZMPOISSON_MEAN(5, 0.2)</f>
        <v/>
      </c>
      <c r="C288" s="7" t="n"/>
      <c r="D288" s="7" t="inlineStr">
        <is>
          <t>(1-p0)*λ</t>
        </is>
      </c>
    </row>
    <row r="289">
      <c r="A289" s="7" t="inlineStr">
        <is>
          <t>Var:</t>
        </is>
      </c>
      <c r="B289" s="7">
        <f>ACT_DIST_ZMPOISSON_VAR(5, 0.2)</f>
        <v/>
      </c>
      <c r="C289" s="7" t="n"/>
      <c r="D289" s="7" t="inlineStr">
        <is>
          <t>(1-p0)*λ*(1+p0*λ)</t>
        </is>
      </c>
    </row>
    <row r="290">
      <c r="A290" s="6" t="inlineStr">
        <is>
          <t>ZERO-MODIFIED NEGATIVE BINOMIAL (r=5, p=0.3, p0=0.2)</t>
        </is>
      </c>
    </row>
    <row r="291">
      <c r="A291" s="3" t="inlineStr">
        <is>
          <t>k</t>
        </is>
      </c>
      <c r="B291" s="3" t="inlineStr">
        <is>
          <t>PMF</t>
        </is>
      </c>
      <c r="C291" s="3" t="inlineStr">
        <is>
          <t>CDF</t>
        </is>
      </c>
      <c r="D291" s="3" t="inlineStr">
        <is>
          <t>Notes</t>
        </is>
      </c>
    </row>
    <row r="292">
      <c r="A292" s="7" t="n">
        <v>0</v>
      </c>
      <c r="B292" s="7">
        <f>ACT_DIST_ZMNEGBIN_PDF(A292, 5, 0.3, 0.2)</f>
        <v/>
      </c>
      <c r="C292" s="7">
        <f>ACT_DIST_ZMNEGBIN_CDF(A292, 5, 0.3, 0.2)</f>
        <v/>
      </c>
      <c r="D292" s="7" t="inlineStr">
        <is>
          <t>Inflated</t>
        </is>
      </c>
    </row>
    <row r="293">
      <c r="A293" s="7" t="n">
        <v>1</v>
      </c>
      <c r="B293" s="7">
        <f>ACT_DIST_ZMNEGBIN_PDF(A293, 5, 0.3, 0.2)</f>
        <v/>
      </c>
      <c r="C293" s="7">
        <f>ACT_DIST_ZMNEGBIN_CDF(A293, 5, 0.3, 0.2)</f>
        <v/>
      </c>
      <c r="D293" s="7" t="n"/>
    </row>
    <row r="294">
      <c r="A294" s="7" t="n">
        <v>2</v>
      </c>
      <c r="B294" s="7">
        <f>ACT_DIST_ZMNEGBIN_PDF(A294, 5, 0.3, 0.2)</f>
        <v/>
      </c>
      <c r="C294" s="7">
        <f>ACT_DIST_ZMNEGBIN_CDF(A294, 5, 0.3, 0.2)</f>
        <v/>
      </c>
      <c r="D294" s="7" t="n"/>
    </row>
    <row r="295">
      <c r="A295" s="7" t="n">
        <v>3</v>
      </c>
      <c r="B295" s="7">
        <f>ACT_DIST_ZMNEGBIN_PDF(A295, 5, 0.3, 0.2)</f>
        <v/>
      </c>
      <c r="C295" s="7">
        <f>ACT_DIST_ZMNEGBIN_CDF(A295, 5, 0.3, 0.2)</f>
        <v/>
      </c>
      <c r="D295" s="7" t="n"/>
    </row>
    <row r="296">
      <c r="A296" s="7" t="n">
        <v>5</v>
      </c>
      <c r="B296" s="7">
        <f>ACT_DIST_ZMNEGBIN_PDF(A296, 5, 0.3, 0.2)</f>
        <v/>
      </c>
      <c r="C296" s="7">
        <f>ACT_DIST_ZMNEGBIN_CDF(A296, 5, 0.3, 0.2)</f>
        <v/>
      </c>
      <c r="D296" s="7" t="n"/>
    </row>
    <row r="297">
      <c r="A297" s="7" t="n">
        <v>7</v>
      </c>
      <c r="B297" s="7">
        <f>ACT_DIST_ZMNEGBIN_PDF(A297, 5, 0.3, 0.2)</f>
        <v/>
      </c>
      <c r="C297" s="7">
        <f>ACT_DIST_ZMNEGBIN_CDF(A297, 5, 0.3, 0.2)</f>
        <v/>
      </c>
      <c r="D297" s="7" t="n"/>
    </row>
    <row r="298">
      <c r="A298" s="7" t="n">
        <v>10</v>
      </c>
      <c r="B298" s="7">
        <f>ACT_DIST_ZMNEGBIN_PDF(A298, 5, 0.3, 0.2)</f>
        <v/>
      </c>
      <c r="C298" s="7">
        <f>ACT_DIST_ZMNEGBIN_CDF(A298, 5, 0.3, 0.2)</f>
        <v/>
      </c>
      <c r="D298" s="7" t="n"/>
    </row>
    <row r="299">
      <c r="A299" s="7" t="n">
        <v>15</v>
      </c>
      <c r="B299" s="7">
        <f>ACT_DIST_ZMNEGBIN_PDF(A299, 5, 0.3, 0.2)</f>
        <v/>
      </c>
      <c r="C299" s="7">
        <f>ACT_DIST_ZMNEGBIN_CDF(A299, 5, 0.3, 0.2)</f>
        <v/>
      </c>
      <c r="D299" s="7" t="n"/>
    </row>
    <row r="300">
      <c r="A300" s="7" t="n">
        <v>20</v>
      </c>
      <c r="B300" s="7">
        <f>ACT_DIST_ZMNEGBIN_PDF(A300, 5, 0.3, 0.2)</f>
        <v/>
      </c>
      <c r="C300" s="7">
        <f>ACT_DIST_ZMNEGBIN_CDF(A300, 5, 0.3, 0.2)</f>
        <v/>
      </c>
      <c r="D300" s="7" t="n"/>
    </row>
    <row r="301">
      <c r="A301" s="7" t="n">
        <v>25</v>
      </c>
      <c r="B301" s="7">
        <f>ACT_DIST_ZMNEGBIN_PDF(A301, 5, 0.3, 0.2)</f>
        <v/>
      </c>
      <c r="C301" s="7">
        <f>ACT_DIST_ZMNEGBIN_CDF(A301, 5, 0.3, 0.2)</f>
        <v/>
      </c>
      <c r="D301" s="7" t="n"/>
    </row>
    <row r="302">
      <c r="A302" s="7" t="inlineStr">
        <is>
          <t>Mean:</t>
        </is>
      </c>
      <c r="B302" s="7">
        <f>ACT_DIST_ZMNEGBIN_MEAN(5, 0.3, 0.2)</f>
        <v/>
      </c>
      <c r="C302" s="7" t="n"/>
      <c r="D302" s="7" t="inlineStr">
        <is>
          <t>(1-p0)*r*(1-p)/p</t>
        </is>
      </c>
    </row>
    <row r="303">
      <c r="A303" s="7" t="inlineStr">
        <is>
          <t>Var:</t>
        </is>
      </c>
      <c r="B303" s="7">
        <f>ACT_DIST_ZMNEGBIN_VAR(5, 0.3, 0.2)</f>
        <v/>
      </c>
      <c r="C303" s="7" t="n"/>
      <c r="D303" s="7" t="n"/>
    </row>
    <row r="305">
      <c r="A305" s="6" t="inlineStr">
        <is>
          <t>PARETO III (mu=1, sigma=2, gamma=3)</t>
        </is>
      </c>
    </row>
    <row r="306">
      <c r="A306" s="3" t="inlineStr">
        <is>
          <t>x</t>
        </is>
      </c>
      <c r="B306" s="3" t="inlineStr">
        <is>
          <t>PDF</t>
        </is>
      </c>
      <c r="C306" s="3" t="inlineStr">
        <is>
          <t>CDF</t>
        </is>
      </c>
      <c r="D306" s="3" t="inlineStr">
        <is>
          <t>Notes</t>
        </is>
      </c>
    </row>
    <row r="307">
      <c r="A307" s="7" t="n">
        <v>1</v>
      </c>
      <c r="B307" s="7">
        <f>ACT_DIST_PARETO3_PDF(A307, 1, 2, 3)</f>
        <v/>
      </c>
      <c r="C307" s="7">
        <f>ACT_DIST_PARETO3_CDF(A307, 1, 2, 3)</f>
        <v/>
      </c>
      <c r="D307" s="7" t="inlineStr">
        <is>
          <t>Location</t>
        </is>
      </c>
    </row>
    <row r="308">
      <c r="A308" s="7" t="n">
        <v>1.5</v>
      </c>
      <c r="B308" s="7">
        <f>ACT_DIST_PARETO3_PDF(A308, 1, 2, 3)</f>
        <v/>
      </c>
      <c r="C308" s="7">
        <f>ACT_DIST_PARETO3_CDF(A308, 1, 2, 3)</f>
        <v/>
      </c>
      <c r="D308" s="7" t="n"/>
    </row>
    <row r="309">
      <c r="A309" s="7" t="n">
        <v>2</v>
      </c>
      <c r="B309" s="7">
        <f>ACT_DIST_PARETO3_PDF(A309, 1, 2, 3)</f>
        <v/>
      </c>
      <c r="C309" s="7">
        <f>ACT_DIST_PARETO3_CDF(A309, 1, 2, 3)</f>
        <v/>
      </c>
      <c r="D309" s="7" t="n"/>
    </row>
    <row r="310">
      <c r="A310" s="7" t="n">
        <v>2.5</v>
      </c>
      <c r="B310" s="7">
        <f>ACT_DIST_PARETO3_PDF(A310, 1, 2, 3)</f>
        <v/>
      </c>
      <c r="C310" s="7">
        <f>ACT_DIST_PARETO3_CDF(A310, 1, 2, 3)</f>
        <v/>
      </c>
      <c r="D310" s="7" t="n"/>
    </row>
    <row r="311">
      <c r="A311" s="7" t="n">
        <v>3</v>
      </c>
      <c r="B311" s="7">
        <f>ACT_DIST_PARETO3_PDF(A311, 1, 2, 3)</f>
        <v/>
      </c>
      <c r="C311" s="7">
        <f>ACT_DIST_PARETO3_CDF(A311, 1, 2, 3)</f>
        <v/>
      </c>
      <c r="D311" s="7" t="n"/>
    </row>
    <row r="312">
      <c r="A312" s="7" t="n">
        <v>4</v>
      </c>
      <c r="B312" s="7">
        <f>ACT_DIST_PARETO3_PDF(A312, 1, 2, 3)</f>
        <v/>
      </c>
      <c r="C312" s="7">
        <f>ACT_DIST_PARETO3_CDF(A312, 1, 2, 3)</f>
        <v/>
      </c>
      <c r="D312" s="7" t="n"/>
    </row>
    <row r="313">
      <c r="A313" s="7" t="n">
        <v>5</v>
      </c>
      <c r="B313" s="7">
        <f>ACT_DIST_PARETO3_PDF(A313, 1, 2, 3)</f>
        <v/>
      </c>
      <c r="C313" s="7">
        <f>ACT_DIST_PARETO3_CDF(A313, 1, 2, 3)</f>
        <v/>
      </c>
      <c r="D313" s="7" t="n"/>
    </row>
    <row r="314">
      <c r="A314" s="7" t="n">
        <v>7</v>
      </c>
      <c r="B314" s="7">
        <f>ACT_DIST_PARETO3_PDF(A314, 1, 2, 3)</f>
        <v/>
      </c>
      <c r="C314" s="7">
        <f>ACT_DIST_PARETO3_CDF(A314, 1, 2, 3)</f>
        <v/>
      </c>
      <c r="D314" s="7" t="n"/>
    </row>
    <row r="315">
      <c r="A315" s="7" t="n">
        <v>10</v>
      </c>
      <c r="B315" s="7">
        <f>ACT_DIST_PARETO3_PDF(A315, 1, 2, 3)</f>
        <v/>
      </c>
      <c r="C315" s="7">
        <f>ACT_DIST_PARETO3_CDF(A315, 1, 2, 3)</f>
        <v/>
      </c>
      <c r="D315" s="7" t="n"/>
    </row>
    <row r="316">
      <c r="A316" s="7" t="inlineStr">
        <is>
          <t>Mean:</t>
        </is>
      </c>
      <c r="B316" s="7">
        <f>ACT_DIST_PARETO3_MEAN(1, 2, 3)</f>
        <v/>
      </c>
      <c r="C316" s="7" t="n"/>
      <c r="D316" s="7" t="inlineStr">
        <is>
          <t>μ + σ/(γ-1)</t>
        </is>
      </c>
    </row>
    <row r="320">
      <c r="A320" s="6" t="inlineStr">
        <is>
          <t>PARETO IV (mu=0, sigma=2, gamma=0.5, alpha=3)</t>
        </is>
      </c>
    </row>
    <row r="321">
      <c r="A321" s="3" t="inlineStr">
        <is>
          <t>x</t>
        </is>
      </c>
      <c r="B321" s="3" t="inlineStr">
        <is>
          <t>PDF</t>
        </is>
      </c>
      <c r="C321" s="3" t="inlineStr">
        <is>
          <t>CDF</t>
        </is>
      </c>
      <c r="D321" s="3" t="inlineStr">
        <is>
          <t>Notes</t>
        </is>
      </c>
    </row>
    <row r="322">
      <c r="A322" s="7" t="n">
        <v>0.1</v>
      </c>
      <c r="B322" s="7">
        <f>ACT_DIST_PARETO4_PDF(A322, 0, 2, 0.5, 3)</f>
        <v/>
      </c>
      <c r="C322" s="7">
        <f>ACT_DIST_PARETO4_CDF(A322, 0, 2, 0.5, 3)</f>
        <v/>
      </c>
      <c r="D322" s="7" t="n"/>
    </row>
    <row r="323">
      <c r="A323" s="7" t="n">
        <v>0.5</v>
      </c>
      <c r="B323" s="7">
        <f>ACT_DIST_PARETO4_PDF(A323, 0, 2, 0.5, 3)</f>
        <v/>
      </c>
      <c r="C323" s="7">
        <f>ACT_DIST_PARETO4_CDF(A323, 0, 2, 0.5, 3)</f>
        <v/>
      </c>
      <c r="D323" s="7" t="n"/>
    </row>
    <row r="324">
      <c r="A324" s="7" t="n">
        <v>1</v>
      </c>
      <c r="B324" s="7">
        <f>ACT_DIST_PARETO4_PDF(A324, 0, 2, 0.5, 3)</f>
        <v/>
      </c>
      <c r="C324" s="7">
        <f>ACT_DIST_PARETO4_CDF(A324, 0, 2, 0.5, 3)</f>
        <v/>
      </c>
      <c r="D324" s="7" t="n"/>
    </row>
    <row r="325">
      <c r="A325" s="7" t="n">
        <v>1.5</v>
      </c>
      <c r="B325" s="7">
        <f>ACT_DIST_PARETO4_PDF(A325, 0, 2, 0.5, 3)</f>
        <v/>
      </c>
      <c r="C325" s="7">
        <f>ACT_DIST_PARETO4_CDF(A325, 0, 2, 0.5, 3)</f>
        <v/>
      </c>
      <c r="D325" s="7" t="n"/>
    </row>
    <row r="326">
      <c r="A326" s="7" t="n">
        <v>2</v>
      </c>
      <c r="B326" s="7">
        <f>ACT_DIST_PARETO4_PDF(A326, 0, 2, 0.5, 3)</f>
        <v/>
      </c>
      <c r="C326" s="7">
        <f>ACT_DIST_PARETO4_CDF(A326, 0, 2, 0.5, 3)</f>
        <v/>
      </c>
      <c r="D326" s="7" t="n"/>
    </row>
    <row r="327">
      <c r="A327" s="7" t="n">
        <v>3</v>
      </c>
      <c r="B327" s="7">
        <f>ACT_DIST_PARETO4_PDF(A327, 0, 2, 0.5, 3)</f>
        <v/>
      </c>
      <c r="C327" s="7">
        <f>ACT_DIST_PARETO4_CDF(A327, 0, 2, 0.5, 3)</f>
        <v/>
      </c>
      <c r="D327" s="7" t="n"/>
    </row>
    <row r="328">
      <c r="A328" s="7" t="n">
        <v>4</v>
      </c>
      <c r="B328" s="7">
        <f>ACT_DIST_PARETO4_PDF(A328, 0, 2, 0.5, 3)</f>
        <v/>
      </c>
      <c r="C328" s="7">
        <f>ACT_DIST_PARETO4_CDF(A328, 0, 2, 0.5, 3)</f>
        <v/>
      </c>
      <c r="D328" s="7" t="n"/>
    </row>
    <row r="329">
      <c r="A329" s="7" t="n">
        <v>5</v>
      </c>
      <c r="B329" s="7">
        <f>ACT_DIST_PARETO4_PDF(A329, 0, 2, 0.5, 3)</f>
        <v/>
      </c>
      <c r="C329" s="7">
        <f>ACT_DIST_PARETO4_CDF(A329, 0, 2, 0.5, 3)</f>
        <v/>
      </c>
      <c r="D329" s="7" t="n"/>
    </row>
    <row r="335">
      <c r="A335" s="6" t="inlineStr">
        <is>
          <t>LOGNORMAL-PARETO COMPOSITE (mu=0, sigma=1, theta=2)</t>
        </is>
      </c>
    </row>
    <row r="336">
      <c r="A336" s="3" t="inlineStr">
        <is>
          <t>x</t>
        </is>
      </c>
      <c r="B336" s="3" t="inlineStr">
        <is>
          <t>PDF</t>
        </is>
      </c>
      <c r="C336" s="3" t="inlineStr">
        <is>
          <t>CDF</t>
        </is>
      </c>
      <c r="D336" s="3" t="inlineStr">
        <is>
          <t>Notes</t>
        </is>
      </c>
    </row>
    <row r="337">
      <c r="A337" s="7" t="n">
        <v>0.1</v>
      </c>
      <c r="B337" s="7">
        <f>ACT_DIST_LNPARETO_PDF(A337, 0, 1, 2)</f>
        <v/>
      </c>
      <c r="C337" s="7">
        <f>ACT_DIST_LNPARETO_CDF(A337, 0, 1, 2)</f>
        <v/>
      </c>
      <c r="D337" s="7" t="n"/>
    </row>
    <row r="338">
      <c r="A338" s="7" t="n">
        <v>0.5</v>
      </c>
      <c r="B338" s="7">
        <f>ACT_DIST_LNPARETO_PDF(A338, 0, 1, 2)</f>
        <v/>
      </c>
      <c r="C338" s="7">
        <f>ACT_DIST_LNPARETO_CDF(A338, 0, 1, 2)</f>
        <v/>
      </c>
      <c r="D338" s="7" t="n"/>
    </row>
    <row r="339">
      <c r="A339" s="7" t="n">
        <v>1</v>
      </c>
      <c r="B339" s="7">
        <f>ACT_DIST_LNPARETO_PDF(A339, 0, 1, 2)</f>
        <v/>
      </c>
      <c r="C339" s="7">
        <f>ACT_DIST_LNPARETO_CDF(A339, 0, 1, 2)</f>
        <v/>
      </c>
      <c r="D339" s="7" t="n"/>
    </row>
    <row r="340">
      <c r="A340" s="7" t="n">
        <v>1.5</v>
      </c>
      <c r="B340" s="7">
        <f>ACT_DIST_LNPARETO_PDF(A340, 0, 1, 2)</f>
        <v/>
      </c>
      <c r="C340" s="7">
        <f>ACT_DIST_LNPARETO_CDF(A340, 0, 1, 2)</f>
        <v/>
      </c>
      <c r="D340" s="7" t="n"/>
    </row>
    <row r="341">
      <c r="A341" s="7" t="n">
        <v>2</v>
      </c>
      <c r="B341" s="7">
        <f>ACT_DIST_LNPARETO_PDF(A341, 0, 1, 2)</f>
        <v/>
      </c>
      <c r="C341" s="7">
        <f>ACT_DIST_LNPARETO_CDF(A341, 0, 1, 2)</f>
        <v/>
      </c>
      <c r="D341" s="7" t="inlineStr">
        <is>
          <t>Threshold</t>
        </is>
      </c>
    </row>
    <row r="342">
      <c r="A342" s="7" t="n">
        <v>3</v>
      </c>
      <c r="B342" s="7">
        <f>ACT_DIST_LNPARETO_PDF(A342, 0, 1, 2)</f>
        <v/>
      </c>
      <c r="C342" s="7">
        <f>ACT_DIST_LNPARETO_CDF(A342, 0, 1, 2)</f>
        <v/>
      </c>
      <c r="D342" s="7" t="n"/>
    </row>
    <row r="343">
      <c r="A343" s="7" t="n">
        <v>4</v>
      </c>
      <c r="B343" s="7">
        <f>ACT_DIST_LNPARETO_PDF(A343, 0, 1, 2)</f>
        <v/>
      </c>
      <c r="C343" s="7">
        <f>ACT_DIST_LNPARETO_CDF(A343, 0, 1, 2)</f>
        <v/>
      </c>
      <c r="D343" s="7" t="n"/>
    </row>
    <row r="344">
      <c r="A344" s="7" t="n">
        <v>5</v>
      </c>
      <c r="B344" s="7">
        <f>ACT_DIST_LNPARETO_PDF(A344, 0, 1, 2)</f>
        <v/>
      </c>
      <c r="C344" s="7">
        <f>ACT_DIST_LNPARETO_CDF(A344, 0, 1, 2)</f>
        <v/>
      </c>
      <c r="D344" s="7" t="n"/>
    </row>
    <row r="345">
      <c r="A345" s="7" t="n">
        <v>7</v>
      </c>
      <c r="B345" s="7">
        <f>ACT_DIST_LNPARETO_PDF(A345, 0, 1, 2)</f>
        <v/>
      </c>
      <c r="C345" s="7">
        <f>ACT_DIST_LNPARETO_CDF(A345, 0, 1, 2)</f>
        <v/>
      </c>
      <c r="D345" s="7" t="n"/>
    </row>
    <row r="346">
      <c r="A346" s="7" t="n">
        <v>10</v>
      </c>
      <c r="B346" s="7">
        <f>ACT_DIST_LNPARETO_PDF(A346, 0, 1, 2)</f>
        <v/>
      </c>
      <c r="C346" s="7">
        <f>ACT_DIST_LNPARETO_CDF(A346, 0, 1, 2)</f>
        <v/>
      </c>
      <c r="D346" s="7" t="n"/>
    </row>
    <row r="350">
      <c r="A350" s="6" t="inlineStr">
        <is>
          <t>EXPONENTIAL-PARETO COMPOSITE (rate=0.5, theta=2)</t>
        </is>
      </c>
    </row>
    <row r="351">
      <c r="A351" s="3" t="inlineStr">
        <is>
          <t>x</t>
        </is>
      </c>
      <c r="B351" s="3" t="inlineStr">
        <is>
          <t>PDF</t>
        </is>
      </c>
      <c r="C351" s="3" t="inlineStr">
        <is>
          <t>CDF</t>
        </is>
      </c>
      <c r="D351" s="3" t="inlineStr">
        <is>
          <t>Notes</t>
        </is>
      </c>
    </row>
    <row r="352">
      <c r="A352" s="7" t="n">
        <v>0</v>
      </c>
      <c r="B352" s="7">
        <f>ACT_DIST_EXPPARETO_PDF(A352, 0.5, 2)</f>
        <v/>
      </c>
      <c r="C352" s="7">
        <f>ACT_DIST_EXPPARETO_CDF(A352, 0.5, 2)</f>
        <v/>
      </c>
      <c r="D352" s="7" t="n"/>
    </row>
    <row r="353">
      <c r="A353" s="7" t="n">
        <v>0.5</v>
      </c>
      <c r="B353" s="7">
        <f>ACT_DIST_EXPPARETO_PDF(A353, 0.5, 2)</f>
        <v/>
      </c>
      <c r="C353" s="7">
        <f>ACT_DIST_EXPPARETO_CDF(A353, 0.5, 2)</f>
        <v/>
      </c>
      <c r="D353" s="7" t="n"/>
    </row>
    <row r="354">
      <c r="A354" s="7" t="n">
        <v>1</v>
      </c>
      <c r="B354" s="7">
        <f>ACT_DIST_EXPPARETO_PDF(A354, 0.5, 2)</f>
        <v/>
      </c>
      <c r="C354" s="7">
        <f>ACT_DIST_EXPPARETO_CDF(A354, 0.5, 2)</f>
        <v/>
      </c>
      <c r="D354" s="7" t="n"/>
    </row>
    <row r="355">
      <c r="A355" s="7" t="n">
        <v>1.5</v>
      </c>
      <c r="B355" s="7">
        <f>ACT_DIST_EXPPARETO_PDF(A355, 0.5, 2)</f>
        <v/>
      </c>
      <c r="C355" s="7">
        <f>ACT_DIST_EXPPARETO_CDF(A355, 0.5, 2)</f>
        <v/>
      </c>
      <c r="D355" s="7" t="n"/>
    </row>
    <row r="356">
      <c r="A356" s="7" t="n">
        <v>2</v>
      </c>
      <c r="B356" s="7">
        <f>ACT_DIST_EXPPARETO_PDF(A356, 0.5, 2)</f>
        <v/>
      </c>
      <c r="C356" s="7">
        <f>ACT_DIST_EXPPARETO_CDF(A356, 0.5, 2)</f>
        <v/>
      </c>
      <c r="D356" s="7" t="inlineStr">
        <is>
          <t>Threshold</t>
        </is>
      </c>
    </row>
    <row r="357">
      <c r="A357" s="7" t="n">
        <v>3</v>
      </c>
      <c r="B357" s="7">
        <f>ACT_DIST_EXPPARETO_PDF(A357, 0.5, 2)</f>
        <v/>
      </c>
      <c r="C357" s="7">
        <f>ACT_DIST_EXPPARETO_CDF(A357, 0.5, 2)</f>
        <v/>
      </c>
      <c r="D357" s="7" t="n"/>
    </row>
    <row r="358">
      <c r="A358" s="7" t="n">
        <v>4</v>
      </c>
      <c r="B358" s="7">
        <f>ACT_DIST_EXPPARETO_PDF(A358, 0.5, 2)</f>
        <v/>
      </c>
      <c r="C358" s="7">
        <f>ACT_DIST_EXPPARETO_CDF(A358, 0.5, 2)</f>
        <v/>
      </c>
      <c r="D358" s="7" t="n"/>
    </row>
    <row r="359">
      <c r="A359" s="7" t="n">
        <v>5</v>
      </c>
      <c r="B359" s="7">
        <f>ACT_DIST_EXPPARETO_PDF(A359, 0.5, 2)</f>
        <v/>
      </c>
      <c r="C359" s="7">
        <f>ACT_DIST_EXPPARETO_CDF(A359, 0.5, 2)</f>
        <v/>
      </c>
      <c r="D359" s="7" t="n"/>
    </row>
    <row r="360">
      <c r="A360" s="7" t="n">
        <v>7</v>
      </c>
      <c r="B360" s="7">
        <f>ACT_DIST_EXPPARETO_PDF(A360, 0.5, 2)</f>
        <v/>
      </c>
      <c r="C360" s="7">
        <f>ACT_DIST_EXPPARETO_CDF(A360, 0.5, 2)</f>
        <v/>
      </c>
      <c r="D360" s="7" t="n"/>
    </row>
    <row r="361">
      <c r="A361" s="7" t="n">
        <v>10</v>
      </c>
      <c r="B361" s="7">
        <f>ACT_DIST_EXPPARETO_PDF(A361, 0.5, 2)</f>
        <v/>
      </c>
      <c r="C361" s="7">
        <f>ACT_DIST_EXPPARETO_CDF(A361, 0.5, 2)</f>
        <v/>
      </c>
      <c r="D361" s="7" t="n"/>
    </row>
    <row r="365">
      <c r="A365" s="6" t="inlineStr">
        <is>
          <t>POWER-PARETO COMPOSITE (alpha=2, beta=3, theta=1)</t>
        </is>
      </c>
    </row>
    <row r="366">
      <c r="A366" s="3" t="inlineStr">
        <is>
          <t>x</t>
        </is>
      </c>
      <c r="B366" s="3" t="inlineStr">
        <is>
          <t>PDF</t>
        </is>
      </c>
      <c r="C366" s="3" t="inlineStr">
        <is>
          <t>CDF</t>
        </is>
      </c>
      <c r="D366" s="3" t="inlineStr">
        <is>
          <t>Notes</t>
        </is>
      </c>
    </row>
    <row r="367">
      <c r="A367" s="7" t="n">
        <v>0</v>
      </c>
      <c r="B367" s="7">
        <f>ACT_DIST_POWPARETO_PDF(A367, 2, 3, 1)</f>
        <v/>
      </c>
      <c r="C367" s="7">
        <f>ACT_DIST_POWPARETO_CDF(A367, 2, 3, 1)</f>
        <v/>
      </c>
      <c r="D367" s="7" t="n"/>
    </row>
    <row r="368">
      <c r="A368" s="7" t="n">
        <v>0.25</v>
      </c>
      <c r="B368" s="7">
        <f>ACT_DIST_POWPARETO_PDF(A368, 2, 3, 1)</f>
        <v/>
      </c>
      <c r="C368" s="7">
        <f>ACT_DIST_POWPARETO_CDF(A368, 2, 3, 1)</f>
        <v/>
      </c>
      <c r="D368" s="7" t="n"/>
    </row>
    <row r="369">
      <c r="A369" s="7" t="n">
        <v>0.5</v>
      </c>
      <c r="B369" s="7">
        <f>ACT_DIST_POWPARETO_PDF(A369, 2, 3, 1)</f>
        <v/>
      </c>
      <c r="C369" s="7">
        <f>ACT_DIST_POWPARETO_CDF(A369, 2, 3, 1)</f>
        <v/>
      </c>
      <c r="D369" s="7" t="n"/>
    </row>
    <row r="370">
      <c r="A370" s="7" t="n">
        <v>0.75</v>
      </c>
      <c r="B370" s="7">
        <f>ACT_DIST_POWPARETO_PDF(A370, 2, 3, 1)</f>
        <v/>
      </c>
      <c r="C370" s="7">
        <f>ACT_DIST_POWPARETO_CDF(A370, 2, 3, 1)</f>
        <v/>
      </c>
      <c r="D370" s="7" t="n"/>
    </row>
    <row r="371">
      <c r="A371" s="7" t="n">
        <v>1</v>
      </c>
      <c r="B371" s="7">
        <f>ACT_DIST_POWPARETO_PDF(A371, 2, 3, 1)</f>
        <v/>
      </c>
      <c r="C371" s="7">
        <f>ACT_DIST_POWPARETO_CDF(A371, 2, 3, 1)</f>
        <v/>
      </c>
      <c r="D371" s="7" t="inlineStr">
        <is>
          <t>Threshold</t>
        </is>
      </c>
    </row>
    <row r="372">
      <c r="A372" s="7" t="n">
        <v>1.5</v>
      </c>
      <c r="B372" s="7">
        <f>ACT_DIST_POWPARETO_PDF(A372, 2, 3, 1)</f>
        <v/>
      </c>
      <c r="C372" s="7">
        <f>ACT_DIST_POWPARETO_CDF(A372, 2, 3, 1)</f>
        <v/>
      </c>
      <c r="D372" s="7" t="n"/>
    </row>
    <row r="373">
      <c r="A373" s="7" t="n">
        <v>2</v>
      </c>
      <c r="B373" s="7">
        <f>ACT_DIST_POWPARETO_PDF(A373, 2, 3, 1)</f>
        <v/>
      </c>
      <c r="C373" s="7">
        <f>ACT_DIST_POWPARETO_CDF(A373, 2, 3, 1)</f>
        <v/>
      </c>
      <c r="D373" s="7" t="n"/>
    </row>
    <row r="374">
      <c r="A374" s="7" t="n">
        <v>3</v>
      </c>
      <c r="B374" s="7">
        <f>ACT_DIST_POWPARETO_PDF(A374, 2, 3, 1)</f>
        <v/>
      </c>
      <c r="C374" s="7">
        <f>ACT_DIST_POWPARETO_CDF(A374, 2, 3, 1)</f>
        <v/>
      </c>
      <c r="D374" s="7" t="n"/>
    </row>
    <row r="375">
      <c r="A375" s="7" t="n">
        <v>4</v>
      </c>
      <c r="B375" s="7">
        <f>ACT_DIST_POWPARETO_PDF(A375, 2, 3, 1)</f>
        <v/>
      </c>
      <c r="C375" s="7">
        <f>ACT_DIST_POWPARETO_CDF(A375, 2, 3, 1)</f>
        <v/>
      </c>
      <c r="D375" s="7" t="n"/>
    </row>
    <row r="376">
      <c r="A376" s="7" t="n">
        <v>5</v>
      </c>
      <c r="B376" s="7">
        <f>ACT_DIST_POWPARETO_PDF(A376, 2, 3, 1)</f>
        <v/>
      </c>
      <c r="C376" s="7">
        <f>ACT_DIST_POWPARETO_CDF(A376, 2, 3, 1)</f>
        <v/>
      </c>
      <c r="D376" s="7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4"/>
    <col width="30" customWidth="1" min="5" max="5"/>
    <col width="15" customWidth="1" min="6" max="6"/>
  </cols>
  <sheetData>
    <row r="1" ht="18.75" customHeight="1">
      <c r="A1" s="1" t="inlineStr">
        <is>
          <t>Exposure Curves</t>
        </is>
      </c>
    </row>
    <row r="3">
      <c r="A3" s="6" t="inlineStr">
        <is>
          <t>Exposure curves relate damage ratio (d) to expected loss ratio G(d)</t>
        </is>
      </c>
    </row>
    <row r="5">
      <c r="A5" s="6" t="inlineStr">
        <is>
          <t>MBBEFD CURVES (b=2, g=3) - Swiss Re parameterization</t>
        </is>
      </c>
    </row>
    <row r="6">
      <c r="A6" s="3" t="inlineStr">
        <is>
          <t>d</t>
        </is>
      </c>
      <c r="B6" s="3" t="inlineStr">
        <is>
          <t>G(d)</t>
        </is>
      </c>
      <c r="C6" s="3" t="inlineStr">
        <is>
          <t>Notes</t>
        </is>
      </c>
    </row>
    <row r="7">
      <c r="A7" s="7" t="n">
        <v>0</v>
      </c>
      <c r="B7" s="7">
        <f>ACT_EXPOSURE_MBBEFD(A7, 2, 3)</f>
        <v/>
      </c>
      <c r="C7" s="7" t="n"/>
    </row>
    <row r="8">
      <c r="A8" s="7" t="n">
        <v>0.1</v>
      </c>
      <c r="B8" s="7">
        <f>ACT_EXPOSURE_MBBEFD(A8, 2, 3)</f>
        <v/>
      </c>
      <c r="C8" s="7" t="n"/>
    </row>
    <row r="9">
      <c r="A9" s="7" t="n">
        <v>0.2</v>
      </c>
      <c r="B9" s="7">
        <f>ACT_EXPOSURE_MBBEFD(A9, 2, 3)</f>
        <v/>
      </c>
      <c r="C9" s="7" t="n"/>
    </row>
    <row r="10">
      <c r="A10" s="7" t="n">
        <v>0.3</v>
      </c>
      <c r="B10" s="7">
        <f>ACT_EXPOSURE_MBBEFD(A10, 2, 3)</f>
        <v/>
      </c>
      <c r="C10" s="7" t="n"/>
    </row>
    <row r="11">
      <c r="A11" s="7" t="n">
        <v>0.4</v>
      </c>
      <c r="B11" s="7">
        <f>ACT_EXPOSURE_MBBEFD(A11, 2, 3)</f>
        <v/>
      </c>
      <c r="C11" s="7" t="n"/>
    </row>
    <row r="12">
      <c r="A12" s="7" t="n">
        <v>0.5</v>
      </c>
      <c r="B12" s="7">
        <f>ACT_EXPOSURE_MBBEFD(A12, 2, 3)</f>
        <v/>
      </c>
      <c r="C12" s="7" t="n"/>
    </row>
    <row r="13">
      <c r="A13" s="7" t="n">
        <v>0.6</v>
      </c>
      <c r="B13" s="7">
        <f>ACT_EXPOSURE_MBBEFD(A13, 2, 3)</f>
        <v/>
      </c>
      <c r="C13" s="7" t="n"/>
    </row>
    <row r="14">
      <c r="A14" s="7" t="n">
        <v>0.7</v>
      </c>
      <c r="B14" s="7">
        <f>ACT_EXPOSURE_MBBEFD(A14, 2, 3)</f>
        <v/>
      </c>
      <c r="C14" s="7" t="n"/>
    </row>
    <row r="15">
      <c r="A15" s="7" t="n">
        <v>0.8</v>
      </c>
      <c r="B15" s="7">
        <f>ACT_EXPOSURE_MBBEFD(A15, 2, 3)</f>
        <v/>
      </c>
      <c r="C15" s="7" t="n"/>
    </row>
    <row r="16">
      <c r="A16" s="7" t="n">
        <v>0.9</v>
      </c>
      <c r="B16" s="7">
        <f>ACT_EXPOSURE_MBBEFD(A16, 2, 3)</f>
        <v/>
      </c>
      <c r="C16" s="7" t="n"/>
    </row>
    <row r="17">
      <c r="A17" s="7" t="n">
        <v>1</v>
      </c>
      <c r="B17" s="7">
        <f>ACT_EXPOSURE_MBBEFD(A17, 2, 3)</f>
        <v/>
      </c>
      <c r="C17" s="7" t="n"/>
    </row>
    <row r="19">
      <c r="A19" s="6" t="inlineStr">
        <is>
          <t>SWISS RE CURVES COMPARISON (all curves)</t>
        </is>
      </c>
    </row>
    <row r="20">
      <c r="A20" s="3" t="inlineStr">
        <is>
          <t>d</t>
        </is>
      </c>
      <c r="B20" s="3" t="inlineStr">
        <is>
          <t>Curve 1</t>
        </is>
      </c>
      <c r="C20" s="3" t="inlineStr">
        <is>
          <t>Curve 2</t>
        </is>
      </c>
      <c r="D20" s="3" t="inlineStr">
        <is>
          <t>Curve 3</t>
        </is>
      </c>
      <c r="E20" s="3" t="inlineStr">
        <is>
          <t>Curve 4</t>
        </is>
      </c>
      <c r="F20" s="3" t="inlineStr">
        <is>
          <t>Curve 5</t>
        </is>
      </c>
    </row>
    <row r="21">
      <c r="A21" s="4" t="n">
        <v>0</v>
      </c>
      <c r="B21" s="4">
        <f>ACT_EXPOSURE_SWISSRE(A21, 1)</f>
        <v/>
      </c>
      <c r="C21" s="4">
        <f>ACT_EXPOSURE_SWISSRE(A21, 2)</f>
        <v/>
      </c>
      <c r="D21" s="4">
        <f>ACT_EXPOSURE_SWISSRE(A21, 3)</f>
        <v/>
      </c>
      <c r="E21" s="4">
        <f>ACT_EXPOSURE_SWISSRE(A21, 4)</f>
        <v/>
      </c>
      <c r="F21" s="4">
        <f>ACT_EXPOSURE_SWISSRE(A21, 5)</f>
        <v/>
      </c>
    </row>
    <row r="22">
      <c r="A22" s="4" t="n">
        <v>0.1</v>
      </c>
      <c r="B22" s="4">
        <f>ACT_EXPOSURE_SWISSRE(A22, 1)</f>
        <v/>
      </c>
      <c r="C22" s="4">
        <f>ACT_EXPOSURE_SWISSRE(A22, 2)</f>
        <v/>
      </c>
      <c r="D22" s="4">
        <f>ACT_EXPOSURE_SWISSRE(A22, 3)</f>
        <v/>
      </c>
      <c r="E22" s="4">
        <f>ACT_EXPOSURE_SWISSRE(A22, 4)</f>
        <v/>
      </c>
      <c r="F22" s="4">
        <f>ACT_EXPOSURE_SWISSRE(A22, 5)</f>
        <v/>
      </c>
    </row>
    <row r="23">
      <c r="A23" s="4" t="n">
        <v>0.2</v>
      </c>
      <c r="B23" s="4">
        <f>ACT_EXPOSURE_SWISSRE(A23, 1)</f>
        <v/>
      </c>
      <c r="C23" s="4">
        <f>ACT_EXPOSURE_SWISSRE(A23, 2)</f>
        <v/>
      </c>
      <c r="D23" s="4">
        <f>ACT_EXPOSURE_SWISSRE(A23, 3)</f>
        <v/>
      </c>
      <c r="E23" s="4">
        <f>ACT_EXPOSURE_SWISSRE(A23, 4)</f>
        <v/>
      </c>
      <c r="F23" s="4">
        <f>ACT_EXPOSURE_SWISSRE(A23, 5)</f>
        <v/>
      </c>
    </row>
    <row r="24">
      <c r="A24" s="4" t="n">
        <v>0.3</v>
      </c>
      <c r="B24" s="4">
        <f>ACT_EXPOSURE_SWISSRE(A24, 1)</f>
        <v/>
      </c>
      <c r="C24" s="4">
        <f>ACT_EXPOSURE_SWISSRE(A24, 2)</f>
        <v/>
      </c>
      <c r="D24" s="4">
        <f>ACT_EXPOSURE_SWISSRE(A24, 3)</f>
        <v/>
      </c>
      <c r="E24" s="4">
        <f>ACT_EXPOSURE_SWISSRE(A24, 4)</f>
        <v/>
      </c>
      <c r="F24" s="4">
        <f>ACT_EXPOSURE_SWISSRE(A24, 5)</f>
        <v/>
      </c>
    </row>
    <row r="25">
      <c r="A25" s="4" t="n">
        <v>0.4</v>
      </c>
      <c r="B25" s="4">
        <f>ACT_EXPOSURE_SWISSRE(A25, 1)</f>
        <v/>
      </c>
      <c r="C25" s="4">
        <f>ACT_EXPOSURE_SWISSRE(A25, 2)</f>
        <v/>
      </c>
      <c r="D25" s="4">
        <f>ACT_EXPOSURE_SWISSRE(A25, 3)</f>
        <v/>
      </c>
      <c r="E25" s="4">
        <f>ACT_EXPOSURE_SWISSRE(A25, 4)</f>
        <v/>
      </c>
      <c r="F25" s="4">
        <f>ACT_EXPOSURE_SWISSRE(A25, 5)</f>
        <v/>
      </c>
    </row>
    <row r="26">
      <c r="A26" s="4" t="n">
        <v>0.5</v>
      </c>
      <c r="B26" s="4">
        <f>ACT_EXPOSURE_SWISSRE(A26, 1)</f>
        <v/>
      </c>
      <c r="C26" s="4">
        <f>ACT_EXPOSURE_SWISSRE(A26, 2)</f>
        <v/>
      </c>
      <c r="D26" s="4">
        <f>ACT_EXPOSURE_SWISSRE(A26, 3)</f>
        <v/>
      </c>
      <c r="E26" s="4">
        <f>ACT_EXPOSURE_SWISSRE(A26, 4)</f>
        <v/>
      </c>
      <c r="F26" s="4">
        <f>ACT_EXPOSURE_SWISSRE(A26, 5)</f>
        <v/>
      </c>
    </row>
    <row r="27">
      <c r="A27" s="4" t="n">
        <v>0.6</v>
      </c>
      <c r="B27" s="4">
        <f>ACT_EXPOSURE_SWISSRE(A27, 1)</f>
        <v/>
      </c>
      <c r="C27" s="4">
        <f>ACT_EXPOSURE_SWISSRE(A27, 2)</f>
        <v/>
      </c>
      <c r="D27" s="4">
        <f>ACT_EXPOSURE_SWISSRE(A27, 3)</f>
        <v/>
      </c>
      <c r="E27" s="4">
        <f>ACT_EXPOSURE_SWISSRE(A27, 4)</f>
        <v/>
      </c>
      <c r="F27" s="4">
        <f>ACT_EXPOSURE_SWISSRE(A27, 5)</f>
        <v/>
      </c>
    </row>
    <row r="28">
      <c r="A28" s="4" t="n">
        <v>0.7</v>
      </c>
      <c r="B28" s="4">
        <f>ACT_EXPOSURE_SWISSRE(A28, 1)</f>
        <v/>
      </c>
      <c r="C28" s="4">
        <f>ACT_EXPOSURE_SWISSRE(A28, 2)</f>
        <v/>
      </c>
      <c r="D28" s="4">
        <f>ACT_EXPOSURE_SWISSRE(A28, 3)</f>
        <v/>
      </c>
      <c r="E28" s="4">
        <f>ACT_EXPOSURE_SWISSRE(A28, 4)</f>
        <v/>
      </c>
      <c r="F28" s="4">
        <f>ACT_EXPOSURE_SWISSRE(A28, 5)</f>
        <v/>
      </c>
    </row>
    <row r="29">
      <c r="A29" s="4" t="n">
        <v>0.8</v>
      </c>
      <c r="B29" s="4">
        <f>ACT_EXPOSURE_SWISSRE(A29, 1)</f>
        <v/>
      </c>
      <c r="C29" s="4">
        <f>ACT_EXPOSURE_SWISSRE(A29, 2)</f>
        <v/>
      </c>
      <c r="D29" s="4">
        <f>ACT_EXPOSURE_SWISSRE(A29, 3)</f>
        <v/>
      </c>
      <c r="E29" s="4">
        <f>ACT_EXPOSURE_SWISSRE(A29, 4)</f>
        <v/>
      </c>
      <c r="F29" s="4">
        <f>ACT_EXPOSURE_SWISSRE(A29, 5)</f>
        <v/>
      </c>
    </row>
    <row r="30">
      <c r="A30" s="4" t="n">
        <v>0.9</v>
      </c>
      <c r="B30" s="4">
        <f>ACT_EXPOSURE_SWISSRE(A30, 1)</f>
        <v/>
      </c>
      <c r="C30" s="4">
        <f>ACT_EXPOSURE_SWISSRE(A30, 2)</f>
        <v/>
      </c>
      <c r="D30" s="4">
        <f>ACT_EXPOSURE_SWISSRE(A30, 3)</f>
        <v/>
      </c>
      <c r="E30" s="4">
        <f>ACT_EXPOSURE_SWISSRE(A30, 4)</f>
        <v/>
      </c>
      <c r="F30" s="4">
        <f>ACT_EXPOSURE_SWISSRE(A30, 5)</f>
        <v/>
      </c>
    </row>
    <row r="31">
      <c r="A31" s="4" t="n">
        <v>1</v>
      </c>
      <c r="B31" s="4">
        <f>ACT_EXPOSURE_SWISSRE(A31, 1)</f>
        <v/>
      </c>
      <c r="C31" s="4">
        <f>ACT_EXPOSURE_SWISSRE(A31, 2)</f>
        <v/>
      </c>
      <c r="D31" s="4">
        <f>ACT_EXPOSURE_SWISSRE(A31, 3)</f>
        <v/>
      </c>
      <c r="E31" s="4">
        <f>ACT_EXPOSURE_SWISSRE(A31, 4)</f>
        <v/>
      </c>
      <c r="F31" s="4">
        <f>ACT_EXPOSURE_SWISSRE(A31, 5)</f>
        <v/>
      </c>
    </row>
    <row r="33">
      <c r="A33" s="6" t="inlineStr">
        <is>
          <t>LLOYD'S CURVES COMPARISON</t>
        </is>
      </c>
    </row>
    <row r="34">
      <c r="A34" s="3" t="inlineStr">
        <is>
          <t>d</t>
        </is>
      </c>
      <c r="B34" s="3" t="inlineStr">
        <is>
          <t>Y1</t>
        </is>
      </c>
      <c r="C34" s="3" t="inlineStr">
        <is>
          <t>Y2</t>
        </is>
      </c>
      <c r="D34" s="3" t="inlineStr">
        <is>
          <t>Y3</t>
        </is>
      </c>
      <c r="E34" s="3" t="inlineStr">
        <is>
          <t>Y4</t>
        </is>
      </c>
    </row>
    <row r="35">
      <c r="A35" s="4" t="n">
        <v>0</v>
      </c>
      <c r="B35" s="4">
        <f>ACT_EXPOSURE_LLOYDS(A35, "Y1")</f>
        <v/>
      </c>
      <c r="C35" s="4">
        <f>ACT_EXPOSURE_LLOYDS(A35, "Y2")</f>
        <v/>
      </c>
      <c r="D35" s="4">
        <f>ACT_EXPOSURE_LLOYDS(A35, "Y3")</f>
        <v/>
      </c>
      <c r="E35" s="4">
        <f>ACT_EXPOSURE_LLOYDS(A35, "Y4")</f>
        <v/>
      </c>
    </row>
    <row r="36">
      <c r="A36" s="4" t="n">
        <v>0.1</v>
      </c>
      <c r="B36" s="4">
        <f>ACT_EXPOSURE_LLOYDS(A36, "Y1")</f>
        <v/>
      </c>
      <c r="C36" s="4">
        <f>ACT_EXPOSURE_LLOYDS(A36, "Y2")</f>
        <v/>
      </c>
      <c r="D36" s="4">
        <f>ACT_EXPOSURE_LLOYDS(A36, "Y3")</f>
        <v/>
      </c>
      <c r="E36" s="4">
        <f>ACT_EXPOSURE_LLOYDS(A36, "Y4")</f>
        <v/>
      </c>
    </row>
    <row r="37">
      <c r="A37" s="4" t="n">
        <v>0.2</v>
      </c>
      <c r="B37" s="4">
        <f>ACT_EXPOSURE_LLOYDS(A37, "Y1")</f>
        <v/>
      </c>
      <c r="C37" s="4">
        <f>ACT_EXPOSURE_LLOYDS(A37, "Y2")</f>
        <v/>
      </c>
      <c r="D37" s="4">
        <f>ACT_EXPOSURE_LLOYDS(A37, "Y3")</f>
        <v/>
      </c>
      <c r="E37" s="4">
        <f>ACT_EXPOSURE_LLOYDS(A37, "Y4")</f>
        <v/>
      </c>
    </row>
    <row r="38">
      <c r="A38" s="4" t="n">
        <v>0.3</v>
      </c>
      <c r="B38" s="4">
        <f>ACT_EXPOSURE_LLOYDS(A38, "Y1")</f>
        <v/>
      </c>
      <c r="C38" s="4">
        <f>ACT_EXPOSURE_LLOYDS(A38, "Y2")</f>
        <v/>
      </c>
      <c r="D38" s="4">
        <f>ACT_EXPOSURE_LLOYDS(A38, "Y3")</f>
        <v/>
      </c>
      <c r="E38" s="4">
        <f>ACT_EXPOSURE_LLOYDS(A38, "Y4")</f>
        <v/>
      </c>
    </row>
    <row r="39">
      <c r="A39" s="4" t="n">
        <v>0.4</v>
      </c>
      <c r="B39" s="4">
        <f>ACT_EXPOSURE_LLOYDS(A39, "Y1")</f>
        <v/>
      </c>
      <c r="C39" s="4">
        <f>ACT_EXPOSURE_LLOYDS(A39, "Y2")</f>
        <v/>
      </c>
      <c r="D39" s="4">
        <f>ACT_EXPOSURE_LLOYDS(A39, "Y3")</f>
        <v/>
      </c>
      <c r="E39" s="4">
        <f>ACT_EXPOSURE_LLOYDS(A39, "Y4")</f>
        <v/>
      </c>
    </row>
    <row r="40">
      <c r="A40" s="4" t="n">
        <v>0.5</v>
      </c>
      <c r="B40" s="4">
        <f>ACT_EXPOSURE_LLOYDS(A40, "Y1")</f>
        <v/>
      </c>
      <c r="C40" s="4">
        <f>ACT_EXPOSURE_LLOYDS(A40, "Y2")</f>
        <v/>
      </c>
      <c r="D40" s="4">
        <f>ACT_EXPOSURE_LLOYDS(A40, "Y3")</f>
        <v/>
      </c>
      <c r="E40" s="4">
        <f>ACT_EXPOSURE_LLOYDS(A40, "Y4")</f>
        <v/>
      </c>
    </row>
    <row r="41">
      <c r="A41" s="4" t="n">
        <v>0.6</v>
      </c>
      <c r="B41" s="4">
        <f>ACT_EXPOSURE_LLOYDS(A41, "Y1")</f>
        <v/>
      </c>
      <c r="C41" s="4">
        <f>ACT_EXPOSURE_LLOYDS(A41, "Y2")</f>
        <v/>
      </c>
      <c r="D41" s="4">
        <f>ACT_EXPOSURE_LLOYDS(A41, "Y3")</f>
        <v/>
      </c>
      <c r="E41" s="4">
        <f>ACT_EXPOSURE_LLOYDS(A41, "Y4")</f>
        <v/>
      </c>
    </row>
    <row r="42">
      <c r="A42" s="4" t="n">
        <v>0.7</v>
      </c>
      <c r="B42" s="4">
        <f>ACT_EXPOSURE_LLOYDS(A42, "Y1")</f>
        <v/>
      </c>
      <c r="C42" s="4">
        <f>ACT_EXPOSURE_LLOYDS(A42, "Y2")</f>
        <v/>
      </c>
      <c r="D42" s="4">
        <f>ACT_EXPOSURE_LLOYDS(A42, "Y3")</f>
        <v/>
      </c>
      <c r="E42" s="4">
        <f>ACT_EXPOSURE_LLOYDS(A42, "Y4")</f>
        <v/>
      </c>
    </row>
    <row r="43">
      <c r="A43" s="4" t="n">
        <v>0.8</v>
      </c>
      <c r="B43" s="4">
        <f>ACT_EXPOSURE_LLOYDS(A43, "Y1")</f>
        <v/>
      </c>
      <c r="C43" s="4">
        <f>ACT_EXPOSURE_LLOYDS(A43, "Y2")</f>
        <v/>
      </c>
      <c r="D43" s="4">
        <f>ACT_EXPOSURE_LLOYDS(A43, "Y3")</f>
        <v/>
      </c>
      <c r="E43" s="4">
        <f>ACT_EXPOSURE_LLOYDS(A43, "Y4")</f>
        <v/>
      </c>
    </row>
    <row r="44">
      <c r="A44" s="4" t="n">
        <v>0.9</v>
      </c>
      <c r="B44" s="4">
        <f>ACT_EXPOSURE_LLOYDS(A44, "Y1")</f>
        <v/>
      </c>
      <c r="C44" s="4">
        <f>ACT_EXPOSURE_LLOYDS(A44, "Y2")</f>
        <v/>
      </c>
      <c r="D44" s="4">
        <f>ACT_EXPOSURE_LLOYDS(A44, "Y3")</f>
        <v/>
      </c>
      <c r="E44" s="4">
        <f>ACT_EXPOSURE_LLOYDS(A44, "Y4")</f>
        <v/>
      </c>
    </row>
    <row r="45">
      <c r="A45" s="4" t="n">
        <v>1</v>
      </c>
      <c r="B45" s="4">
        <f>ACT_EXPOSURE_LLOYDS(A45, "Y1")</f>
        <v/>
      </c>
      <c r="C45" s="4">
        <f>ACT_EXPOSURE_LLOYDS(A45, "Y2")</f>
        <v/>
      </c>
      <c r="D45" s="4">
        <f>ACT_EXPOSURE_LLOYDS(A45, "Y3")</f>
        <v/>
      </c>
      <c r="E45" s="4">
        <f>ACT_EXPOSURE_LLOYDS(A45, "Y4")</f>
        <v/>
      </c>
    </row>
    <row r="47">
      <c r="A47" s="6" t="inlineStr">
        <is>
          <t>OTHER EXPOSURE CURVES at d=0.5</t>
        </is>
      </c>
    </row>
    <row r="48">
      <c r="A48" s="3" t="inlineStr">
        <is>
          <t>Function</t>
        </is>
      </c>
      <c r="B48" s="3" t="inlineStr">
        <is>
          <t>Formula</t>
        </is>
      </c>
      <c r="C48" s="3" t="inlineStr">
        <is>
          <t>Result</t>
        </is>
      </c>
      <c r="D48" s="3" t="inlineStr">
        <is>
          <t>Notes</t>
        </is>
      </c>
    </row>
    <row r="49">
      <c r="A49" s="4" t="inlineStr">
        <is>
          <t>Power (n=2)</t>
        </is>
      </c>
      <c r="B49" s="4" t="inlineStr">
        <is>
          <t>ACT_EXPOSURE_POWER(0.5, 2)</t>
        </is>
      </c>
      <c r="C49" s="4">
        <f>ACT_EXPOSURE_POWER(0.5, 2)</f>
        <v/>
      </c>
      <c r="D49" s="4" t="inlineStr">
        <is>
          <t>G(d) = d^n</t>
        </is>
      </c>
    </row>
    <row r="50">
      <c r="A50" s="4" t="inlineStr">
        <is>
          <t>Inverse Power (n=2)</t>
        </is>
      </c>
      <c r="B50" s="4" t="inlineStr">
        <is>
          <t>ACT_EXPOSURE_INVERSE_POWER(0.5, 2)</t>
        </is>
      </c>
      <c r="C50" s="4">
        <f>ACT_EXPOSURE_INVERSE_POWER(0.5, 2)</f>
        <v/>
      </c>
      <c r="D50" s="4" t="inlineStr">
        <is>
          <t>G(d) = 1 - (1-d)^n</t>
        </is>
      </c>
    </row>
    <row r="51">
      <c r="A51" s="4" t="inlineStr">
        <is>
          <t>Pareto (alpha=2)</t>
        </is>
      </c>
      <c r="B51" s="4" t="inlineStr">
        <is>
          <t>ACT_EXPOSURE_PARETO(0.5, 2)</t>
        </is>
      </c>
      <c r="C51" s="4">
        <f>ACT_EXPOSURE_PARETO(0.5, 2)</f>
        <v/>
      </c>
      <c r="D51" s="4" t="inlineStr">
        <is>
          <t>Based on Pareto severity</t>
        </is>
      </c>
    </row>
    <row r="52">
      <c r="A52" s="4" t="inlineStr">
        <is>
          <t>Riebesell (n=0.5)</t>
        </is>
      </c>
      <c r="B52" s="4" t="inlineStr">
        <is>
          <t>ACT_EXPOSURE_RIEBESELL(0.5, 0.5)</t>
        </is>
      </c>
      <c r="C52" s="4">
        <f>ACT_EXPOSURE_RIEBESELL(0.5, 0.5)</f>
        <v/>
      </c>
      <c r="D52" s="4" t="inlineStr">
        <is>
          <t>Alternative single-parameter curve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0" customWidth="1" min="1" max="3"/>
    <col width="30" customWidth="1" min="4" max="4"/>
  </cols>
  <sheetData>
    <row r="1" ht="18.75" customHeight="1">
      <c r="A1" s="1" t="inlineStr">
        <is>
          <t>Reinsurance Functions</t>
        </is>
      </c>
    </row>
    <row r="3">
      <c r="A3" s="6" t="inlineStr">
        <is>
          <t>Excess of loss layer calculations</t>
        </is>
      </c>
    </row>
    <row r="5">
      <c r="A5" s="6" t="inlineStr">
        <is>
          <t>XOL LAYER LOSS (Attachment=1,000,000, Limit=5,000,000)</t>
        </is>
      </c>
    </row>
    <row r="6">
      <c r="A6" s="3" t="inlineStr">
        <is>
          <t>Ground-Up Loss</t>
        </is>
      </c>
      <c r="B6" s="3" t="inlineStr">
        <is>
          <t>Layer Loss</t>
        </is>
      </c>
      <c r="C6" s="3" t="inlineStr">
        <is>
          <t>Notes</t>
        </is>
      </c>
    </row>
    <row r="7">
      <c r="A7" s="8" t="n">
        <v>500000</v>
      </c>
      <c r="B7" s="8">
        <f>ACT_XOL_LAYER_LOSS(A7, 1000000, 5000000)</f>
        <v/>
      </c>
      <c r="C7" s="4" t="inlineStr">
        <is>
          <t>Below attachment</t>
        </is>
      </c>
    </row>
    <row r="8">
      <c r="A8" s="8" t="n">
        <v>1000000</v>
      </c>
      <c r="B8" s="8">
        <f>ACT_XOL_LAYER_LOSS(A8, 1000000, 5000000)</f>
        <v/>
      </c>
      <c r="C8" s="4" t="inlineStr">
        <is>
          <t>At attachment</t>
        </is>
      </c>
    </row>
    <row r="9">
      <c r="A9" s="8" t="n">
        <v>2000000</v>
      </c>
      <c r="B9" s="8">
        <f>ACT_XOL_LAYER_LOSS(A9, 1000000, 5000000)</f>
        <v/>
      </c>
      <c r="C9" s="4" t="inlineStr">
        <is>
          <t>Partial layer</t>
        </is>
      </c>
    </row>
    <row r="10">
      <c r="A10" s="8" t="n">
        <v>4000000</v>
      </c>
      <c r="B10" s="8">
        <f>ACT_XOL_LAYER_LOSS(A10, 1000000, 5000000)</f>
        <v/>
      </c>
      <c r="C10" s="4" t="inlineStr">
        <is>
          <t>Partial layer</t>
        </is>
      </c>
    </row>
    <row r="11">
      <c r="A11" s="8" t="n">
        <v>6000000</v>
      </c>
      <c r="B11" s="8">
        <f>ACT_XOL_LAYER_LOSS(A11, 1000000, 5000000)</f>
        <v/>
      </c>
      <c r="C11" s="4" t="inlineStr">
        <is>
          <t>Full limit</t>
        </is>
      </c>
    </row>
    <row r="12">
      <c r="A12" s="8" t="n">
        <v>10000000</v>
      </c>
      <c r="B12" s="8">
        <f>ACT_XOL_LAYER_LOSS(A12, 1000000, 5000000)</f>
        <v/>
      </c>
      <c r="C12" s="4" t="inlineStr">
        <is>
          <t>Capped at limit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2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4"/>
    <col width="4" customWidth="1" min="5" max="5"/>
    <col width="14" customWidth="1" min="6" max="8"/>
  </cols>
  <sheetData>
    <row r="1" ht="18.75" customHeight="1">
      <c r="A1" s="1" t="inlineStr">
        <is>
          <t>Cat Modeling: ELT → YLT → EP Curves</t>
        </is>
      </c>
    </row>
    <row r="3">
      <c r="A3" s="6" t="inlineStr">
        <is>
          <t>Simulate a Year Loss Table (YLT) from an Event Loss Table (ELT) and derive OEP/AEP curves.</t>
        </is>
      </c>
    </row>
    <row r="4">
      <c r="F4" s="2" t="inlineStr">
        <is>
          <t>Event Loss Table (Detailed)</t>
        </is>
      </c>
    </row>
    <row r="5">
      <c r="A5" s="6" t="inlineStr">
        <is>
          <t>EXAMPLE 1: ELT TO YLT SIMULATION</t>
        </is>
      </c>
      <c r="F5" s="9" t="inlineStr">
        <is>
          <t>Event</t>
        </is>
      </c>
      <c r="G5" s="9" t="inlineStr">
        <is>
          <t>Rate</t>
        </is>
      </c>
      <c r="H5" s="9" t="inlineStr">
        <is>
          <t>Mean</t>
        </is>
      </c>
      <c r="I5" s="9" t="inlineStr">
        <is>
          <t>SDi</t>
        </is>
      </c>
      <c r="J5" s="9" t="inlineStr">
        <is>
          <t>SDc</t>
        </is>
      </c>
      <c r="K5" s="9" t="inlineStr">
        <is>
          <t>TIV</t>
        </is>
      </c>
    </row>
    <row r="6">
      <c r="F6" s="4" t="n">
        <v>1</v>
      </c>
      <c r="G6" s="4" t="n">
        <v>0.1</v>
      </c>
      <c r="H6" s="4" t="n">
        <v>500</v>
      </c>
      <c r="I6" s="4" t="n">
        <v>500</v>
      </c>
      <c r="J6" s="4" t="n">
        <v>200</v>
      </c>
      <c r="K6" s="4" t="n">
        <v>100000</v>
      </c>
    </row>
    <row r="7">
      <c r="A7" s="6" t="inlineStr">
        <is>
          <t>Event Loss Table (ELT) - Input</t>
        </is>
      </c>
      <c r="F7" s="4" t="n">
        <v>2</v>
      </c>
      <c r="G7" s="4" t="n">
        <v>0.1</v>
      </c>
      <c r="H7" s="4" t="n">
        <v>200</v>
      </c>
      <c r="I7" s="4" t="n">
        <v>400</v>
      </c>
      <c r="J7" s="4" t="n">
        <v>100</v>
      </c>
      <c r="K7" s="4" t="n">
        <v>5000</v>
      </c>
    </row>
    <row r="8">
      <c r="A8" s="3" t="inlineStr">
        <is>
          <t>Event</t>
        </is>
      </c>
      <c r="B8" s="3" t="inlineStr">
        <is>
          <t>Annual Rate</t>
        </is>
      </c>
      <c r="C8" s="3" t="inlineStr">
        <is>
          <t>Event Loss</t>
        </is>
      </c>
      <c r="F8" s="4" t="n">
        <v>3</v>
      </c>
      <c r="G8" s="4" t="n">
        <v>0.2</v>
      </c>
      <c r="H8" s="4" t="n">
        <v>300</v>
      </c>
      <c r="I8" s="4" t="n">
        <v>200</v>
      </c>
      <c r="J8" s="4" t="n">
        <v>400</v>
      </c>
      <c r="K8" s="4" t="n">
        <v>40000</v>
      </c>
    </row>
    <row r="9">
      <c r="A9" s="4" t="inlineStr">
        <is>
          <t>Event 1</t>
        </is>
      </c>
      <c r="B9" s="4" t="n">
        <v>0.2</v>
      </c>
      <c r="C9" s="8" t="n">
        <v>1000000</v>
      </c>
      <c r="F9" s="4" t="n">
        <v>4</v>
      </c>
      <c r="G9" s="4" t="n">
        <v>0.1</v>
      </c>
      <c r="H9" s="4" t="n">
        <v>100</v>
      </c>
      <c r="I9" s="4" t="n">
        <v>300</v>
      </c>
      <c r="J9" s="4" t="n">
        <v>500</v>
      </c>
      <c r="K9" s="4" t="n">
        <v>4000</v>
      </c>
    </row>
    <row r="10">
      <c r="A10" s="4" t="inlineStr">
        <is>
          <t>Event 2</t>
        </is>
      </c>
      <c r="B10" s="4" t="n">
        <v>0.1</v>
      </c>
      <c r="C10" s="8" t="n">
        <v>2500000</v>
      </c>
      <c r="F10" s="4" t="n">
        <v>5</v>
      </c>
      <c r="G10" s="4" t="n">
        <v>0.2</v>
      </c>
      <c r="H10" s="4" t="n">
        <v>500</v>
      </c>
      <c r="I10" s="4" t="n">
        <v>100</v>
      </c>
      <c r="J10" s="4" t="n">
        <v>200</v>
      </c>
      <c r="K10" s="4" t="n">
        <v>2000</v>
      </c>
    </row>
    <row r="11">
      <c r="A11" s="4" t="inlineStr">
        <is>
          <t>Event 3</t>
        </is>
      </c>
      <c r="B11" s="4" t="n">
        <v>0.05</v>
      </c>
      <c r="C11" s="8" t="n">
        <v>10000000</v>
      </c>
      <c r="F11" s="4" t="n">
        <v>6</v>
      </c>
      <c r="G11" s="4" t="n">
        <v>0.25</v>
      </c>
      <c r="H11" s="4" t="n">
        <v>200</v>
      </c>
      <c r="I11" s="4" t="n">
        <v>200</v>
      </c>
      <c r="J11" s="4" t="n">
        <v>500</v>
      </c>
      <c r="K11" s="4" t="n">
        <v>50000</v>
      </c>
    </row>
    <row r="12">
      <c r="F12" s="4" t="n">
        <v>7</v>
      </c>
      <c r="G12" s="4" t="n">
        <v>0.01</v>
      </c>
      <c r="H12" s="4" t="n">
        <v>1000</v>
      </c>
      <c r="I12" s="4" t="n">
        <v>500</v>
      </c>
      <c r="J12" s="4" t="n">
        <v>600</v>
      </c>
      <c r="K12" s="4" t="n">
        <v>100000</v>
      </c>
    </row>
    <row r="13">
      <c r="F13" s="4" t="n">
        <v>8</v>
      </c>
      <c r="G13" s="4" t="n">
        <v>0.12</v>
      </c>
      <c r="H13" s="4" t="n">
        <v>250</v>
      </c>
      <c r="I13" s="4" t="n">
        <v>300</v>
      </c>
      <c r="J13" s="4" t="n">
        <v>100</v>
      </c>
      <c r="K13" s="4" t="n">
        <v>5000</v>
      </c>
    </row>
    <row r="14">
      <c r="A14" s="6" t="inlineStr">
        <is>
          <t>Year Loss Table (YLT) - Simulated 1000 years, seed=42</t>
        </is>
      </c>
      <c r="F14" s="4" t="n">
        <v>9</v>
      </c>
      <c r="G14" s="4" t="n">
        <v>0.14</v>
      </c>
      <c r="H14" s="4" t="n">
        <v>1000</v>
      </c>
      <c r="I14" s="4" t="n">
        <v>500</v>
      </c>
      <c r="J14" s="4" t="n">
        <v>200</v>
      </c>
      <c r="K14" s="4" t="n">
        <v>6000</v>
      </c>
    </row>
    <row r="15">
      <c r="A15" s="3" t="inlineStr">
        <is>
          <t>Year</t>
        </is>
      </c>
      <c r="B15" s="3" t="inlineStr">
        <is>
          <t>Aggregate Loss</t>
        </is>
      </c>
      <c r="C15" s="3" t="inlineStr">
        <is>
          <t>Max Loss</t>
        </is>
      </c>
      <c r="D15" s="3" t="inlineStr">
        <is>
          <t>Event Count</t>
        </is>
      </c>
      <c r="F15" s="4" t="n">
        <v>10</v>
      </c>
      <c r="G15" s="4" t="n">
        <v>0</v>
      </c>
      <c r="H15" s="4" t="n">
        <v>10000</v>
      </c>
      <c r="I15" s="4" t="n">
        <v>1000</v>
      </c>
      <c r="J15" s="4" t="n">
        <v>500</v>
      </c>
      <c r="K15" s="4" t="n">
        <v>1000000</v>
      </c>
    </row>
    <row r="16">
      <c r="A16" s="4">
        <f>ACT_CAT_ELT_TO_YLT(B9:B11, C9:C11, 1000, 42, FALSE)</f>
        <v/>
      </c>
    </row>
    <row r="18">
      <c r="F18" s="2" t="inlineStr">
        <is>
          <t>Sample YLT Output (10 years)</t>
        </is>
      </c>
    </row>
    <row r="19">
      <c r="F19" s="9" t="inlineStr">
        <is>
          <t>Year</t>
        </is>
      </c>
      <c r="G19" s="9" t="inlineStr">
        <is>
          <t>Loss</t>
        </is>
      </c>
      <c r="H19" s="9" t="inlineStr">
        <is>
          <t>Event</t>
        </is>
      </c>
    </row>
    <row r="20">
      <c r="F20" s="4" t="n">
        <v>1</v>
      </c>
      <c r="G20" s="10" t="n">
        <v>0</v>
      </c>
      <c r="H20" s="4" t="inlineStr">
        <is>
          <t>None</t>
        </is>
      </c>
    </row>
    <row r="21">
      <c r="F21" s="4" t="n">
        <v>2</v>
      </c>
      <c r="G21" s="10" t="n">
        <v>85.73999999999999</v>
      </c>
      <c r="H21" s="4" t="n">
        <v>5</v>
      </c>
    </row>
    <row r="22">
      <c r="F22" s="4" t="n">
        <v>3</v>
      </c>
      <c r="G22" s="10" t="n">
        <v>0.91</v>
      </c>
      <c r="H22" s="4" t="n">
        <v>2</v>
      </c>
    </row>
    <row r="23">
      <c r="F23" s="4" t="n">
        <v>4</v>
      </c>
      <c r="G23" s="10" t="n">
        <v>261.18</v>
      </c>
      <c r="H23" s="4" t="n">
        <v>1</v>
      </c>
    </row>
    <row r="24">
      <c r="F24" s="4" t="n">
        <v>5</v>
      </c>
      <c r="G24" s="10" t="n">
        <v>2.69</v>
      </c>
      <c r="H24" s="4" t="n">
        <v>8</v>
      </c>
    </row>
    <row r="25">
      <c r="F25" s="4" t="n">
        <v>6</v>
      </c>
      <c r="G25" s="10" t="n">
        <v>262.1</v>
      </c>
      <c r="H25" s="4" t="inlineStr">
        <is>
          <t>1,3</t>
        </is>
      </c>
    </row>
    <row r="26">
      <c r="F26" s="4" t="n">
        <v>7</v>
      </c>
      <c r="G26" s="10" t="n">
        <v>0</v>
      </c>
      <c r="H26" s="4" t="inlineStr">
        <is>
          <t>None</t>
        </is>
      </c>
    </row>
    <row r="27">
      <c r="F27" s="4" t="n">
        <v>8</v>
      </c>
      <c r="G27" s="10" t="n">
        <v>0</v>
      </c>
      <c r="H27" s="4" t="n">
        <v>6</v>
      </c>
    </row>
    <row r="28">
      <c r="F28" s="4" t="n">
        <v>9</v>
      </c>
      <c r="G28" s="10" t="n">
        <v>358.33</v>
      </c>
      <c r="H28" s="4" t="inlineStr">
        <is>
          <t>3,6</t>
        </is>
      </c>
    </row>
    <row r="29">
      <c r="F29" s="4" t="n">
        <v>10</v>
      </c>
      <c r="G29" s="10" t="n">
        <v>0</v>
      </c>
      <c r="H29" s="4" t="inlineStr">
        <is>
          <t>None</t>
        </is>
      </c>
    </row>
    <row r="32">
      <c r="F32" s="2" t="inlineStr">
        <is>
          <t>EP Curves at Return Periods</t>
        </is>
      </c>
    </row>
    <row r="33">
      <c r="F33" s="9" t="inlineStr">
        <is>
          <t>Return Period</t>
        </is>
      </c>
      <c r="G33" s="9" t="inlineStr">
        <is>
          <t>OEP</t>
        </is>
      </c>
      <c r="H33" s="9" t="inlineStr">
        <is>
          <t>AEP</t>
        </is>
      </c>
    </row>
    <row r="34">
      <c r="F34" s="4" t="n">
        <v>500</v>
      </c>
      <c r="G34" s="4" t="n"/>
      <c r="H34" s="4" t="n"/>
    </row>
    <row r="35">
      <c r="F35" s="4" t="n">
        <v>250</v>
      </c>
      <c r="G35" s="4" t="n"/>
      <c r="H35" s="4" t="n"/>
    </row>
    <row r="36">
      <c r="F36" s="4" t="n">
        <v>100</v>
      </c>
      <c r="G36" s="4" t="n"/>
      <c r="H36" s="4" t="n"/>
    </row>
    <row r="37">
      <c r="F37" s="4" t="n">
        <v>50</v>
      </c>
      <c r="G37" s="4" t="n"/>
      <c r="H37" s="4" t="n"/>
    </row>
    <row r="38">
      <c r="F38" s="4" t="n">
        <v>25</v>
      </c>
      <c r="G38" s="4" t="n"/>
      <c r="H38" s="4" t="n"/>
    </row>
    <row r="39">
      <c r="F39" s="4" t="n">
        <v>10</v>
      </c>
      <c r="G39" s="4" t="n"/>
      <c r="H39" s="4" t="n"/>
    </row>
    <row r="40">
      <c r="F40" s="4" t="n">
        <v>5</v>
      </c>
      <c r="G40" s="4" t="n"/>
      <c r="H40" s="4" t="n"/>
    </row>
    <row r="41">
      <c r="F41" s="4" t="n">
        <v>2</v>
      </c>
      <c r="G41" s="4" t="n"/>
      <c r="H41" s="4" t="n"/>
    </row>
    <row r="43">
      <c r="F43" s="6" t="inlineStr">
        <is>
          <t>Note: Use ACT_CAT_OEP_CURVE_RP / ACT_CAT_AEP_CURVE_RP with YLT data</t>
        </is>
      </c>
    </row>
    <row r="1017">
      <c r="A1017" s="6" t="inlineStr">
        <is>
          <t>OEP Curve (from YLT max losses) - Weibull plotting position</t>
        </is>
      </c>
    </row>
    <row r="1018">
      <c r="A1018" s="3" t="inlineStr">
        <is>
          <t>Return Period</t>
        </is>
      </c>
      <c r="B1018" s="3" t="inlineStr">
        <is>
          <t>OEP Loss</t>
        </is>
      </c>
    </row>
    <row r="1019">
      <c r="A1019" s="4">
        <f>ACT_CAT_YLT_OEP_CURVE(C16:C1015, "WEIBULL", FALSE)</f>
        <v/>
      </c>
    </row>
    <row r="1021">
      <c r="A1021" s="6" t="inlineStr">
        <is>
          <t>AEP Curve (from YLT aggregate losses)</t>
        </is>
      </c>
    </row>
    <row r="1022">
      <c r="A1022" s="3" t="inlineStr">
        <is>
          <t>Return Period</t>
        </is>
      </c>
      <c r="B1022" s="3" t="inlineStr">
        <is>
          <t>AEP Loss</t>
        </is>
      </c>
    </row>
    <row r="1023">
      <c r="A1023" s="4">
        <f>ACT_CAT_YLT_AEP_CURVE(B16:B1015, "WEIBULL", FALSE)</f>
        <v/>
      </c>
    </row>
    <row r="1026">
      <c r="A1026" s="6" t="inlineStr">
        <is>
          <t>EXAMPLE 2: WORKED EXAMPLE WITH DETAILED ELT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5" customWidth="1" min="1" max="2"/>
    <col width="20" customWidth="1" min="3" max="4"/>
    <col width="30" customWidth="1" min="5" max="5"/>
    <col width="5" customWidth="1" min="6" max="6"/>
  </cols>
  <sheetData>
    <row r="1" ht="18.75" customHeight="1">
      <c r="A1" s="1" t="inlineStr">
        <is>
          <t>Linear Interpolation</t>
        </is>
      </c>
    </row>
    <row r="3">
      <c r="A3" s="6" t="inlineStr">
        <is>
          <t>Interpolate between known points with optional extrapolation</t>
        </is>
      </c>
    </row>
    <row r="5">
      <c r="A5" s="6" t="inlineStr">
        <is>
          <t>KNOWN DATA POINTS</t>
        </is>
      </c>
    </row>
    <row r="6">
      <c r="A6" s="3" t="inlineStr">
        <is>
          <t>X</t>
        </is>
      </c>
      <c r="B6" s="3" t="inlineStr">
        <is>
          <t>Y</t>
        </is>
      </c>
    </row>
    <row r="7">
      <c r="A7" s="7" t="n">
        <v>1</v>
      </c>
      <c r="B7" s="7" t="n">
        <v>10</v>
      </c>
    </row>
    <row r="8">
      <c r="A8" s="7" t="n">
        <v>2</v>
      </c>
      <c r="B8" s="7" t="n">
        <v>20</v>
      </c>
    </row>
    <row r="9">
      <c r="A9" s="7" t="n">
        <v>3</v>
      </c>
      <c r="B9" s="7" t="n">
        <v>35</v>
      </c>
    </row>
    <row r="10">
      <c r="A10" s="7" t="n">
        <v>4</v>
      </c>
      <c r="B10" s="7" t="n">
        <v>55</v>
      </c>
    </row>
    <row r="11">
      <c r="A11" s="7" t="n">
        <v>5</v>
      </c>
      <c r="B11" s="7" t="n">
        <v>80</v>
      </c>
    </row>
    <row r="13">
      <c r="A13" s="6" t="inlineStr">
        <is>
          <t>INTERPOLATION EXAMPLES</t>
        </is>
      </c>
    </row>
    <row r="14">
      <c r="A14" s="3" t="inlineStr">
        <is>
          <t>X</t>
        </is>
      </c>
      <c r="B14" s="3" t="inlineStr">
        <is>
          <t>Y (FLAT extrap)</t>
        </is>
      </c>
      <c r="C14" s="3" t="inlineStr">
        <is>
          <t>Y (GRADIENT extrap)</t>
        </is>
      </c>
      <c r="D14" s="3" t="inlineStr">
        <is>
          <t>Notes</t>
        </is>
      </c>
    </row>
    <row r="15">
      <c r="A15" s="4" t="n">
        <v>0.5</v>
      </c>
      <c r="B15" s="4">
        <f>ACT_INTERP($A$7:$A$11, $B$7:$B$11, A15, "FLAT")</f>
        <v/>
      </c>
      <c r="C15" s="4">
        <f>ACT_INTERP($A$7:$A$11, $B$7:$B$11, A15, "GRADIENT")</f>
        <v/>
      </c>
      <c r="D15" s="4" t="inlineStr">
        <is>
          <t>Below range</t>
        </is>
      </c>
    </row>
    <row r="16">
      <c r="A16" s="4" t="n">
        <v>1.5</v>
      </c>
      <c r="B16" s="4">
        <f>ACT_INTERP($A$7:$A$11, $B$7:$B$11, A16, "FLAT")</f>
        <v/>
      </c>
      <c r="C16" s="4">
        <f>ACT_INTERP($A$7:$A$11, $B$7:$B$11, A16, "GRADIENT")</f>
        <v/>
      </c>
      <c r="D16" s="4" t="inlineStr">
        <is>
          <t>Interpolated</t>
        </is>
      </c>
    </row>
    <row r="17">
      <c r="A17" s="4" t="n">
        <v>2.5</v>
      </c>
      <c r="B17" s="4">
        <f>ACT_INTERP($A$7:$A$11, $B$7:$B$11, A17, "FLAT")</f>
        <v/>
      </c>
      <c r="C17" s="4">
        <f>ACT_INTERP($A$7:$A$11, $B$7:$B$11, A17, "GRADIENT")</f>
        <v/>
      </c>
      <c r="D17" s="4" t="inlineStr">
        <is>
          <t>Interpolated</t>
        </is>
      </c>
    </row>
    <row r="18">
      <c r="A18" s="4" t="n">
        <v>3.5</v>
      </c>
      <c r="B18" s="4">
        <f>ACT_INTERP($A$7:$A$11, $B$7:$B$11, A18, "FLAT")</f>
        <v/>
      </c>
      <c r="C18" s="4">
        <f>ACT_INTERP($A$7:$A$11, $B$7:$B$11, A18, "GRADIENT")</f>
        <v/>
      </c>
      <c r="D18" s="4" t="inlineStr">
        <is>
          <t>Interpolated</t>
        </is>
      </c>
    </row>
    <row r="19">
      <c r="A19" s="4" t="n">
        <v>4.5</v>
      </c>
      <c r="B19" s="4">
        <f>ACT_INTERP($A$7:$A$11, $B$7:$B$11, A19, "FLAT")</f>
        <v/>
      </c>
      <c r="C19" s="4">
        <f>ACT_INTERP($A$7:$A$11, $B$7:$B$11, A19, "GRADIENT")</f>
        <v/>
      </c>
      <c r="D19" s="4" t="inlineStr">
        <is>
          <t>Interpolated</t>
        </is>
      </c>
    </row>
    <row r="20">
      <c r="A20" s="4" t="n">
        <v>5.5</v>
      </c>
      <c r="B20" s="4">
        <f>ACT_INTERP($A$7:$A$11, $B$7:$B$11, A20, "FLAT")</f>
        <v/>
      </c>
      <c r="C20" s="4">
        <f>ACT_INTERP($A$7:$A$11, $B$7:$B$11, A20, "GRADIENT")</f>
        <v/>
      </c>
      <c r="D20" s="4" t="inlineStr">
        <is>
          <t>Above range</t>
        </is>
      </c>
    </row>
    <row r="21">
      <c r="A21" s="4" t="n">
        <v>6</v>
      </c>
      <c r="B21" s="4">
        <f>ACT_INTERP($A$7:$A$11, $B$7:$B$11, A21, "FLAT")</f>
        <v/>
      </c>
      <c r="C21" s="4">
        <f>ACT_INTERP($A$7:$A$11, $B$7:$B$11, A21, "GRADIENT")</f>
        <v/>
      </c>
      <c r="D21" s="4" t="inlineStr">
        <is>
          <t>Above range</t>
        </is>
      </c>
    </row>
    <row r="23">
      <c r="A23" s="6" t="inlineStr">
        <is>
          <t>FLAT = extrapolate using last known value; GRADIENT = extrapolate using slope from last two points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11"/>
    <col width="5" customWidth="1" min="12" max="12"/>
    <col width="15" customWidth="1" min="13" max="13"/>
  </cols>
  <sheetData>
    <row r="1" ht="18.75" customHeight="1">
      <c r="A1" s="1" t="inlineStr">
        <is>
          <t>Chain Ladder Reserving - Taylor-Ashe Dataset</t>
        </is>
      </c>
    </row>
    <row r="3">
      <c r="A3" s="6" t="inlineStr">
        <is>
          <t>Using the Taylor-Ashe triangle from Peter England's bootstrapping presentation (England &amp; Verrall, 1999)</t>
        </is>
      </c>
    </row>
    <row r="5">
      <c r="A5" s="6" t="inlineStr">
        <is>
          <t>INPUT TRIANGLE (Cumulative Paid Losses - Taylor-Ashe)</t>
        </is>
      </c>
    </row>
    <row r="6">
      <c r="A6" s="3" t="inlineStr">
        <is>
          <t>AY</t>
        </is>
      </c>
      <c r="B6" s="3" t="inlineStr">
        <is>
          <t>1</t>
        </is>
      </c>
      <c r="C6" s="3" t="inlineStr">
        <is>
          <t>2</t>
        </is>
      </c>
      <c r="D6" s="3" t="inlineStr">
        <is>
          <t>3</t>
        </is>
      </c>
      <c r="E6" s="3" t="inlineStr">
        <is>
          <t>4</t>
        </is>
      </c>
      <c r="F6" s="3" t="inlineStr">
        <is>
          <t>5</t>
        </is>
      </c>
      <c r="G6" s="3" t="inlineStr">
        <is>
          <t>6</t>
        </is>
      </c>
      <c r="H6" s="3" t="inlineStr">
        <is>
          <t>7</t>
        </is>
      </c>
      <c r="I6" s="3" t="inlineStr">
        <is>
          <t>8</t>
        </is>
      </c>
      <c r="J6" s="3" t="inlineStr">
        <is>
          <t>9</t>
        </is>
      </c>
      <c r="K6" s="3" t="inlineStr">
        <is>
          <t>10</t>
        </is>
      </c>
    </row>
    <row r="7">
      <c r="A7" s="4" t="n">
        <v>1</v>
      </c>
      <c r="B7" s="8" t="n">
        <v>357848</v>
      </c>
      <c r="C7" s="8" t="n">
        <v>1124788</v>
      </c>
      <c r="D7" s="8" t="n">
        <v>1735330</v>
      </c>
      <c r="E7" s="8" t="n">
        <v>2218270</v>
      </c>
      <c r="F7" s="8" t="n">
        <v>2745596</v>
      </c>
      <c r="G7" s="8" t="n">
        <v>3319994</v>
      </c>
      <c r="H7" s="8" t="n">
        <v>3466336</v>
      </c>
      <c r="I7" s="8" t="n">
        <v>3606286</v>
      </c>
      <c r="J7" s="8" t="n">
        <v>3833515</v>
      </c>
      <c r="K7" s="8" t="n">
        <v>3901463</v>
      </c>
    </row>
    <row r="8">
      <c r="A8" s="4" t="n">
        <v>2</v>
      </c>
      <c r="B8" s="8" t="n">
        <v>352118</v>
      </c>
      <c r="C8" s="8" t="n">
        <v>1236139</v>
      </c>
      <c r="D8" s="8" t="n">
        <v>2170033</v>
      </c>
      <c r="E8" s="8" t="n">
        <v>3353322</v>
      </c>
      <c r="F8" s="8" t="n">
        <v>3799067</v>
      </c>
      <c r="G8" s="8" t="n">
        <v>4120063</v>
      </c>
      <c r="H8" s="8" t="n">
        <v>4647867</v>
      </c>
      <c r="I8" s="8" t="n">
        <v>4914039</v>
      </c>
      <c r="J8" s="8" t="n">
        <v>5339085</v>
      </c>
      <c r="K8" s="4" t="n"/>
    </row>
    <row r="9">
      <c r="A9" s="4" t="n">
        <v>3</v>
      </c>
      <c r="B9" s="8" t="n">
        <v>290507</v>
      </c>
      <c r="C9" s="8" t="n">
        <v>1292306</v>
      </c>
      <c r="D9" s="8" t="n">
        <v>2218525</v>
      </c>
      <c r="E9" s="8" t="n">
        <v>3235179</v>
      </c>
      <c r="F9" s="8" t="n">
        <v>3985995</v>
      </c>
      <c r="G9" s="8" t="n">
        <v>4132918</v>
      </c>
      <c r="H9" s="8" t="n">
        <v>4628910</v>
      </c>
      <c r="I9" s="8" t="n">
        <v>4909315</v>
      </c>
      <c r="J9" s="4" t="n"/>
      <c r="K9" s="4" t="n"/>
    </row>
    <row r="10">
      <c r="A10" s="4" t="n">
        <v>4</v>
      </c>
      <c r="B10" s="8" t="n">
        <v>310608</v>
      </c>
      <c r="C10" s="8" t="n">
        <v>1418858</v>
      </c>
      <c r="D10" s="8" t="n">
        <v>2195047</v>
      </c>
      <c r="E10" s="8" t="n">
        <v>3757447</v>
      </c>
      <c r="F10" s="8" t="n">
        <v>4029929</v>
      </c>
      <c r="G10" s="8" t="n">
        <v>4381982</v>
      </c>
      <c r="H10" s="8" t="n">
        <v>4588268</v>
      </c>
      <c r="I10" s="4" t="n"/>
      <c r="J10" s="4" t="n"/>
      <c r="K10" s="4" t="n"/>
    </row>
    <row r="11">
      <c r="A11" s="4" t="n">
        <v>5</v>
      </c>
      <c r="B11" s="8" t="n">
        <v>443160</v>
      </c>
      <c r="C11" s="8" t="n">
        <v>1136350</v>
      </c>
      <c r="D11" s="8" t="n">
        <v>2128333</v>
      </c>
      <c r="E11" s="8" t="n">
        <v>2897821</v>
      </c>
      <c r="F11" s="8" t="n">
        <v>3402672</v>
      </c>
      <c r="G11" s="8" t="n">
        <v>3873311</v>
      </c>
      <c r="H11" s="4" t="n"/>
      <c r="I11" s="4" t="n"/>
      <c r="J11" s="4" t="n"/>
      <c r="K11" s="4" t="n"/>
    </row>
    <row r="12">
      <c r="A12" s="4" t="n">
        <v>6</v>
      </c>
      <c r="B12" s="8" t="n">
        <v>396132</v>
      </c>
      <c r="C12" s="8" t="n">
        <v>1333217</v>
      </c>
      <c r="D12" s="8" t="n">
        <v>2180715</v>
      </c>
      <c r="E12" s="8" t="n">
        <v>2985752</v>
      </c>
      <c r="F12" s="8" t="n">
        <v>3691712</v>
      </c>
      <c r="G12" s="4" t="n"/>
      <c r="H12" s="4" t="n"/>
      <c r="I12" s="4" t="n"/>
      <c r="J12" s="4" t="n"/>
      <c r="K12" s="4" t="n"/>
    </row>
    <row r="13">
      <c r="A13" s="4" t="n">
        <v>7</v>
      </c>
      <c r="B13" s="8" t="n">
        <v>440832</v>
      </c>
      <c r="C13" s="8" t="n">
        <v>1288463</v>
      </c>
      <c r="D13" s="8" t="n">
        <v>2419861</v>
      </c>
      <c r="E13" s="8" t="n">
        <v>3483130</v>
      </c>
      <c r="F13" s="4" t="n"/>
      <c r="G13" s="4" t="n"/>
      <c r="H13" s="4" t="n"/>
      <c r="I13" s="4" t="n"/>
      <c r="J13" s="4" t="n"/>
      <c r="K13" s="4" t="n"/>
    </row>
    <row r="14">
      <c r="A14" s="4" t="n">
        <v>8</v>
      </c>
      <c r="B14" s="8" t="n">
        <v>359480</v>
      </c>
      <c r="C14" s="8" t="n">
        <v>1421128</v>
      </c>
      <c r="D14" s="8" t="n">
        <v>2864498</v>
      </c>
      <c r="E14" s="4" t="n"/>
      <c r="F14" s="4" t="n"/>
      <c r="G14" s="4" t="n"/>
      <c r="H14" s="4" t="n"/>
      <c r="I14" s="4" t="n"/>
      <c r="J14" s="4" t="n"/>
      <c r="K14" s="4" t="n"/>
    </row>
    <row r="15">
      <c r="A15" s="4" t="n">
        <v>9</v>
      </c>
      <c r="B15" s="8" t="n">
        <v>376686</v>
      </c>
      <c r="C15" s="8" t="n">
        <v>1363294</v>
      </c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s="4" t="n">
        <v>10</v>
      </c>
      <c r="B16" s="8" t="n">
        <v>344014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8">
      <c r="A18" s="6" t="inlineStr">
        <is>
          <t>DEVELOPMENT FACTORS</t>
        </is>
      </c>
    </row>
    <row r="19">
      <c r="A19" s="6" t="inlineStr">
        <is>
          <t>Expected: 3.491, 1.747, 1.457, 1.174, 1.104, 1.086, 1.054, 1.077, 1.018</t>
        </is>
      </c>
    </row>
    <row r="20">
      <c r="A20" s="3" t="inlineStr">
        <is>
          <t>Period</t>
        </is>
      </c>
      <c r="B20" s="3" t="inlineStr">
        <is>
          <t>1-2</t>
        </is>
      </c>
      <c r="C20" s="3" t="inlineStr">
        <is>
          <t>2-3</t>
        </is>
      </c>
      <c r="D20" s="3" t="inlineStr">
        <is>
          <t>3-4</t>
        </is>
      </c>
      <c r="E20" s="3" t="inlineStr">
        <is>
          <t>4-5</t>
        </is>
      </c>
      <c r="F20" s="3" t="inlineStr">
        <is>
          <t>5-6</t>
        </is>
      </c>
      <c r="G20" s="3" t="inlineStr">
        <is>
          <t>6-7</t>
        </is>
      </c>
      <c r="H20" s="3" t="inlineStr">
        <is>
          <t>7-8</t>
        </is>
      </c>
      <c r="I20" s="3" t="inlineStr">
        <is>
          <t>8-9</t>
        </is>
      </c>
      <c r="J20" s="3" t="inlineStr">
        <is>
          <t>9-10</t>
        </is>
      </c>
    </row>
    <row r="21">
      <c r="A21" s="4" t="inlineStr">
        <is>
          <t>Factors</t>
        </is>
      </c>
      <c r="B21" s="4">
        <f>INDEX(ACT_CL_FACTORS(B7:K16), 1)</f>
        <v/>
      </c>
      <c r="C21" s="4">
        <f>INDEX(ACT_CL_FACTORS(B7:K16), 2)</f>
        <v/>
      </c>
      <c r="D21" s="4">
        <f>INDEX(ACT_CL_FACTORS(B7:K16), 3)</f>
        <v/>
      </c>
      <c r="E21" s="4">
        <f>INDEX(ACT_CL_FACTORS(B7:K16), 4)</f>
        <v/>
      </c>
      <c r="F21" s="4">
        <f>INDEX(ACT_CL_FACTORS(B7:K16), 5)</f>
        <v/>
      </c>
      <c r="G21" s="4">
        <f>INDEX(ACT_CL_FACTORS(B7:K16), 6)</f>
        <v/>
      </c>
      <c r="H21" s="4">
        <f>INDEX(ACT_CL_FACTORS(B7:K16), 7)</f>
        <v/>
      </c>
      <c r="I21" s="4">
        <f>INDEX(ACT_CL_FACTORS(B7:K16), 8)</f>
        <v/>
      </c>
      <c r="J21" s="4">
        <f>INDEX(ACT_CL_FACTORS(B7:K16), 9)</f>
        <v/>
      </c>
    </row>
    <row r="23">
      <c r="A23" s="6" t="inlineStr">
        <is>
          <t>PROJECTED ULTIMATES AND IBNR</t>
        </is>
      </c>
    </row>
    <row r="24">
      <c r="A24" s="6" t="inlineStr">
        <is>
          <t>Expected Total IBNR: ~18,680,856</t>
        </is>
      </c>
    </row>
    <row r="25">
      <c r="A25" s="3" t="inlineStr">
        <is>
          <t>AY</t>
        </is>
      </c>
      <c r="B25" s="3" t="inlineStr">
        <is>
          <t>Latest Cumulative</t>
        </is>
      </c>
      <c r="C25" s="3" t="inlineStr">
        <is>
          <t>Ultimate</t>
        </is>
      </c>
      <c r="D25" s="3" t="inlineStr">
        <is>
          <t>IBNR</t>
        </is>
      </c>
    </row>
    <row r="26">
      <c r="A26" s="4" t="n">
        <v>1</v>
      </c>
      <c r="B26" s="8" t="n">
        <v>3901463</v>
      </c>
      <c r="C26" s="8">
        <f>INDEX(ACT_CL_ULTIMATE(B7:K16), 1)</f>
        <v/>
      </c>
      <c r="D26" s="8">
        <f>INDEX(ACT_CL_IBNR(B7:K16), 1)</f>
        <v/>
      </c>
    </row>
    <row r="27">
      <c r="A27" s="4" t="n">
        <v>2</v>
      </c>
      <c r="B27" s="8" t="n">
        <v>5339085</v>
      </c>
      <c r="C27" s="8">
        <f>INDEX(ACT_CL_ULTIMATE(B7:K16), 2)</f>
        <v/>
      </c>
      <c r="D27" s="8">
        <f>INDEX(ACT_CL_IBNR(B7:K16), 2)</f>
        <v/>
      </c>
    </row>
    <row r="28">
      <c r="A28" s="4" t="n">
        <v>3</v>
      </c>
      <c r="B28" s="8" t="n">
        <v>4909315</v>
      </c>
      <c r="C28" s="8">
        <f>INDEX(ACT_CL_ULTIMATE(B7:K16), 3)</f>
        <v/>
      </c>
      <c r="D28" s="8">
        <f>INDEX(ACT_CL_IBNR(B7:K16), 3)</f>
        <v/>
      </c>
    </row>
    <row r="29">
      <c r="A29" s="4" t="n">
        <v>4</v>
      </c>
      <c r="B29" s="8" t="n">
        <v>4588268</v>
      </c>
      <c r="C29" s="8">
        <f>INDEX(ACT_CL_ULTIMATE(B7:K16), 4)</f>
        <v/>
      </c>
      <c r="D29" s="8">
        <f>INDEX(ACT_CL_IBNR(B7:K16), 4)</f>
        <v/>
      </c>
    </row>
    <row r="30">
      <c r="A30" s="4" t="n">
        <v>5</v>
      </c>
      <c r="B30" s="8" t="n">
        <v>3873311</v>
      </c>
      <c r="C30" s="8">
        <f>INDEX(ACT_CL_ULTIMATE(B7:K16), 5)</f>
        <v/>
      </c>
      <c r="D30" s="8">
        <f>INDEX(ACT_CL_IBNR(B7:K16), 5)</f>
        <v/>
      </c>
    </row>
    <row r="31">
      <c r="A31" s="4" t="n">
        <v>6</v>
      </c>
      <c r="B31" s="8" t="n">
        <v>3691712</v>
      </c>
      <c r="C31" s="8">
        <f>INDEX(ACT_CL_ULTIMATE(B7:K16), 6)</f>
        <v/>
      </c>
      <c r="D31" s="8">
        <f>INDEX(ACT_CL_IBNR(B7:K16), 6)</f>
        <v/>
      </c>
    </row>
    <row r="32">
      <c r="A32" s="4" t="n">
        <v>7</v>
      </c>
      <c r="B32" s="8" t="n">
        <v>3483130</v>
      </c>
      <c r="C32" s="8">
        <f>INDEX(ACT_CL_ULTIMATE(B7:K16), 7)</f>
        <v/>
      </c>
      <c r="D32" s="8">
        <f>INDEX(ACT_CL_IBNR(B7:K16), 7)</f>
        <v/>
      </c>
    </row>
    <row r="33">
      <c r="A33" s="4" t="n">
        <v>8</v>
      </c>
      <c r="B33" s="8" t="n">
        <v>2864498</v>
      </c>
      <c r="C33" s="8">
        <f>INDEX(ACT_CL_ULTIMATE(B7:K16), 8)</f>
        <v/>
      </c>
      <c r="D33" s="8">
        <f>INDEX(ACT_CL_IBNR(B7:K16), 8)</f>
        <v/>
      </c>
    </row>
    <row r="34">
      <c r="A34" s="4" t="n">
        <v>9</v>
      </c>
      <c r="B34" s="8" t="n">
        <v>1363294</v>
      </c>
      <c r="C34" s="8">
        <f>INDEX(ACT_CL_ULTIMATE(B7:K16), 9)</f>
        <v/>
      </c>
      <c r="D34" s="8">
        <f>INDEX(ACT_CL_IBNR(B7:K16), 9)</f>
        <v/>
      </c>
    </row>
    <row r="35">
      <c r="A35" s="4" t="n">
        <v>10</v>
      </c>
      <c r="B35" s="8" t="n">
        <v>344014</v>
      </c>
      <c r="C35" s="8">
        <f>INDEX(ACT_CL_ULTIMATE(B7:K16), 10)</f>
        <v/>
      </c>
      <c r="D35" s="8">
        <f>INDEX(ACT_CL_IBNR(B7:K16), 10)</f>
        <v/>
      </c>
    </row>
    <row r="36">
      <c r="A36" s="11" t="inlineStr">
        <is>
          <t>Total</t>
        </is>
      </c>
      <c r="B36" s="12">
        <f>SUM(B26:B35)</f>
        <v/>
      </c>
      <c r="C36" s="12">
        <f>SUM(C26:C35)</f>
        <v/>
      </c>
      <c r="D36" s="12">
        <f>SUM(D26:D35)</f>
        <v/>
      </c>
    </row>
    <row r="38">
      <c r="A38" s="6" t="inlineStr">
        <is>
          <t>MACK STANDARD ERRORS (reserve uncertainty)</t>
        </is>
      </c>
    </row>
    <row r="39">
      <c r="A39" s="3" t="inlineStr">
        <is>
          <t>AY</t>
        </is>
      </c>
      <c r="B39" s="3" t="inlineStr">
        <is>
          <t>Reserve SE</t>
        </is>
      </c>
      <c r="C39" s="3" t="inlineStr">
        <is>
          <t>E&amp;V Reference</t>
        </is>
      </c>
    </row>
    <row r="40">
      <c r="A40" s="4" t="n">
        <v>1</v>
      </c>
      <c r="B40" s="8">
        <f>INDEX(ACT_MACK_RESERVE_SE(B7:K16), 1)</f>
        <v/>
      </c>
      <c r="C40" s="8" t="n">
        <v>0</v>
      </c>
    </row>
    <row r="41">
      <c r="A41" s="4" t="n">
        <v>2</v>
      </c>
      <c r="B41" s="8">
        <f>INDEX(ACT_MACK_RESERVE_SE(B7:K16), 2)</f>
        <v/>
      </c>
      <c r="C41" s="8" t="n">
        <v>75535</v>
      </c>
    </row>
    <row r="42">
      <c r="A42" s="4" t="n">
        <v>3</v>
      </c>
      <c r="B42" s="8">
        <f>INDEX(ACT_MACK_RESERVE_SE(B7:K16), 3)</f>
        <v/>
      </c>
      <c r="C42" s="8" t="n">
        <v>121699</v>
      </c>
    </row>
    <row r="43">
      <c r="A43" s="4" t="n">
        <v>4</v>
      </c>
      <c r="B43" s="8">
        <f>INDEX(ACT_MACK_RESERVE_SE(B7:K16), 4)</f>
        <v/>
      </c>
      <c r="C43" s="8" t="n">
        <v>136554</v>
      </c>
    </row>
    <row r="44">
      <c r="A44" s="4" t="n">
        <v>5</v>
      </c>
      <c r="B44" s="8">
        <f>INDEX(ACT_MACK_RESERVE_SE(B7:K16), 5)</f>
        <v/>
      </c>
      <c r="C44" s="8" t="n">
        <v>212054</v>
      </c>
    </row>
    <row r="45">
      <c r="A45" s="4" t="n">
        <v>6</v>
      </c>
      <c r="B45" s="8">
        <f>INDEX(ACT_MACK_RESERVE_SE(B7:K16), 6)</f>
        <v/>
      </c>
      <c r="C45" s="8" t="n">
        <v>282372</v>
      </c>
    </row>
    <row r="46">
      <c r="A46" s="4" t="n">
        <v>7</v>
      </c>
      <c r="B46" s="8">
        <f>INDEX(ACT_MACK_RESERVE_SE(B7:K16), 7)</f>
        <v/>
      </c>
      <c r="C46" s="8" t="n">
        <v>444283</v>
      </c>
    </row>
    <row r="47">
      <c r="A47" s="4" t="n">
        <v>8</v>
      </c>
      <c r="B47" s="8">
        <f>INDEX(ACT_MACK_RESERVE_SE(B7:K16), 8)</f>
        <v/>
      </c>
      <c r="C47" s="8" t="n">
        <v>640396</v>
      </c>
    </row>
    <row r="48">
      <c r="A48" s="4" t="n">
        <v>9</v>
      </c>
      <c r="B48" s="8">
        <f>INDEX(ACT_MACK_RESERVE_SE(B7:K16), 9)</f>
        <v/>
      </c>
      <c r="C48" s="8" t="n">
        <v>1091089</v>
      </c>
    </row>
    <row r="49">
      <c r="A49" s="4" t="n">
        <v>10</v>
      </c>
      <c r="B49" s="8">
        <f>INDEX(ACT_MACK_RESERVE_SE(B7:K16), 10)</f>
        <v/>
      </c>
      <c r="C49" s="8" t="n">
        <v>2029818</v>
      </c>
    </row>
    <row r="50">
      <c r="A50" s="11" t="inlineStr">
        <is>
          <t>Total</t>
        </is>
      </c>
      <c r="C50" s="8" t="n">
        <v>2447318</v>
      </c>
    </row>
    <row r="52">
      <c r="A52" s="6" t="inlineStr">
        <is>
          <t>BOOTSTRAP CHAIN LADDER (ODP) - England &amp; Verrall (2002)</t>
        </is>
      </c>
    </row>
    <row r="53">
      <c r="A53" s="4" t="inlineStr">
        <is>
          <t>Iterations</t>
        </is>
      </c>
      <c r="B53" s="4" t="n">
        <v>1000</v>
      </c>
    </row>
    <row r="54">
      <c r="A54" s="4" t="inlineStr">
        <is>
          <t>Seed</t>
        </is>
      </c>
      <c r="B54" s="4" t="n">
        <v>42</v>
      </c>
    </row>
    <row r="55">
      <c r="A55" s="6" t="inlineStr">
        <is>
          <t>BOOTSTRAP RESULTS - EV method (England &amp; Verrall 2002, non-constant scale)</t>
        </is>
      </c>
    </row>
    <row r="56">
      <c r="A56" s="3" t="inlineStr">
        <is>
          <t>Statistic</t>
        </is>
      </c>
      <c r="B56" s="3" t="inlineStr">
        <is>
          <t>Value</t>
        </is>
      </c>
      <c r="C56" s="3" t="inlineStr">
        <is>
          <t>E&amp;V Reference</t>
        </is>
      </c>
    </row>
    <row r="57">
      <c r="A57" s="4" t="inlineStr">
        <is>
          <t>Mean</t>
        </is>
      </c>
      <c r="B57" s="8">
        <f>INDEX(ACT_CL_BOOTSTRAP(B7:K16, B53, B54), 1, 2)</f>
        <v/>
      </c>
      <c r="C57" s="8" t="n">
        <v>18680856</v>
      </c>
    </row>
    <row r="58">
      <c r="A58" s="4" t="inlineStr">
        <is>
          <t>StdDev</t>
        </is>
      </c>
      <c r="B58" s="8">
        <f>INDEX(ACT_CL_BOOTSTRAP(B7:K16, B53, B54), 2, 2)</f>
        <v/>
      </c>
      <c r="C58" s="8" t="n">
        <v>2228677</v>
      </c>
    </row>
    <row r="59">
      <c r="A59" s="4" t="inlineStr">
        <is>
          <t>P1</t>
        </is>
      </c>
      <c r="B59" s="8">
        <f>INDEX(ACT_CL_BOOTSTRAP(B7:K16, B53, B54), 3, 2)</f>
        <v/>
      </c>
    </row>
    <row r="60">
      <c r="A60" s="4" t="inlineStr">
        <is>
          <t>P5</t>
        </is>
      </c>
      <c r="B60" s="8">
        <f>INDEX(ACT_CL_BOOTSTRAP(B7:K16, B53, B54), 4, 2)</f>
        <v/>
      </c>
    </row>
    <row r="61">
      <c r="A61" s="4" t="inlineStr">
        <is>
          <t>P10</t>
        </is>
      </c>
      <c r="B61" s="8">
        <f>INDEX(ACT_CL_BOOTSTRAP(B7:K16, B53, B54), 5, 2)</f>
        <v/>
      </c>
    </row>
    <row r="62">
      <c r="A62" s="4" t="inlineStr">
        <is>
          <t>P25</t>
        </is>
      </c>
      <c r="B62" s="8">
        <f>INDEX(ACT_CL_BOOTSTRAP(B7:K16, B53, B54), 6, 2)</f>
        <v/>
      </c>
    </row>
    <row r="63">
      <c r="A63" s="4" t="inlineStr">
        <is>
          <t>P50</t>
        </is>
      </c>
      <c r="B63" s="8">
        <f>INDEX(ACT_CL_BOOTSTRAP(B7:K16, B53, B54), 7, 2)</f>
        <v/>
      </c>
    </row>
    <row r="64">
      <c r="A64" s="4" t="inlineStr">
        <is>
          <t>P75</t>
        </is>
      </c>
      <c r="B64" s="8">
        <f>INDEX(ACT_CL_BOOTSTRAP(B7:K16, B53, B54), 8, 2)</f>
        <v/>
      </c>
    </row>
    <row r="65">
      <c r="A65" s="4" t="inlineStr">
        <is>
          <t>P90</t>
        </is>
      </c>
      <c r="B65" s="8">
        <f>INDEX(ACT_CL_BOOTSTRAP(B7:K16, B53, B54), 9, 2)</f>
        <v/>
      </c>
    </row>
    <row r="66">
      <c r="A66" s="4" t="inlineStr">
        <is>
          <t>P95</t>
        </is>
      </c>
      <c r="B66" s="8">
        <f>INDEX(ACT_CL_BOOTSTRAP(B7:K16, B53, B54), 10, 2)</f>
        <v/>
      </c>
    </row>
    <row r="67">
      <c r="A67" s="4" t="inlineStr">
        <is>
          <t>P99</t>
        </is>
      </c>
      <c r="B67" s="8">
        <f>INDEX(ACT_CL_BOOTSTRAP(B7:K16, B53, B54), 11, 2)</f>
        <v/>
      </c>
    </row>
    <row r="69">
      <c r="A69" s="6" t="inlineStr">
        <is>
          <t>BOOTSTRAP BY ORIGIN YEAR - E&amp;V (2002) Table 3, non-constant scale</t>
        </is>
      </c>
    </row>
    <row r="70">
      <c r="A70" s="3" t="inlineStr">
        <is>
          <t>AY</t>
        </is>
      </c>
      <c r="B70" s="3" t="inlineStr">
        <is>
          <t>Mean</t>
        </is>
      </c>
      <c r="C70" s="3" t="inlineStr">
        <is>
          <t>StdDev</t>
        </is>
      </c>
      <c r="D70" s="3" t="inlineStr">
        <is>
          <t>E&amp;V SE</t>
        </is>
      </c>
      <c r="E70" s="3" t="inlineStr">
        <is>
          <t>Ratio</t>
        </is>
      </c>
      <c r="F70" s="3" t="inlineStr">
        <is>
          <t>P50</t>
        </is>
      </c>
      <c r="G70" s="3" t="inlineStr">
        <is>
          <t>P75</t>
        </is>
      </c>
      <c r="H70" s="3" t="inlineStr">
        <is>
          <t>P90</t>
        </is>
      </c>
    </row>
    <row r="71">
      <c r="A71" s="4" t="n">
        <v>1</v>
      </c>
      <c r="B71" s="8">
        <f>INDEX(ACT_CL_BOOTSTRAP_ORIGIN(B7:K16, B53, B54), 2, 2)</f>
        <v/>
      </c>
      <c r="C71" s="8">
        <f>INDEX(ACT_CL_BOOTSTRAP_ORIGIN(B7:K16, B53, B54), 2, 3)</f>
        <v/>
      </c>
      <c r="D71" s="8" t="n">
        <v>0</v>
      </c>
      <c r="E71" s="4" t="inlineStr">
        <is>
          <t>-</t>
        </is>
      </c>
      <c r="F71" s="8">
        <f>INDEX(ACT_CL_BOOTSTRAP_ORIGIN(B7:K16, B53, B54), 2, 4)</f>
        <v/>
      </c>
      <c r="G71" s="8">
        <f>INDEX(ACT_CL_BOOTSTRAP_ORIGIN(B7:K16, B53, B54), 2, 5)</f>
        <v/>
      </c>
      <c r="H71" s="8">
        <f>INDEX(ACT_CL_BOOTSTRAP_ORIGIN(B7:K16, B53, B54), 2, 6)</f>
        <v/>
      </c>
    </row>
    <row r="72">
      <c r="A72" s="4" t="n">
        <v>2</v>
      </c>
      <c r="B72" s="8">
        <f>INDEX(ACT_CL_BOOTSTRAP_ORIGIN(B7:K16, B53, B54), 3, 2)</f>
        <v/>
      </c>
      <c r="C72" s="8">
        <f>INDEX(ACT_CL_BOOTSTRAP_ORIGIN(B7:K16, B53, B54), 3, 3)</f>
        <v/>
      </c>
      <c r="D72" s="8" t="n">
        <v>43882</v>
      </c>
      <c r="E72" s="13">
        <f>C72/D72</f>
        <v/>
      </c>
      <c r="F72" s="8">
        <f>INDEX(ACT_CL_BOOTSTRAP_ORIGIN(B7:K16, B53, B54), 3, 4)</f>
        <v/>
      </c>
      <c r="G72" s="8">
        <f>INDEX(ACT_CL_BOOTSTRAP_ORIGIN(B7:K16, B53, B54), 3, 5)</f>
        <v/>
      </c>
      <c r="H72" s="8">
        <f>INDEX(ACT_CL_BOOTSTRAP_ORIGIN(B7:K16, B53, B54), 3, 6)</f>
        <v/>
      </c>
    </row>
    <row r="73">
      <c r="A73" s="4" t="n">
        <v>3</v>
      </c>
      <c r="B73" s="8">
        <f>INDEX(ACT_CL_BOOTSTRAP_ORIGIN(B7:K16, B53, B54), 4, 2)</f>
        <v/>
      </c>
      <c r="C73" s="8">
        <f>INDEX(ACT_CL_BOOTSTRAP_ORIGIN(B7:K16, B53, B54), 4, 3)</f>
        <v/>
      </c>
      <c r="D73" s="8" t="n">
        <v>109449</v>
      </c>
      <c r="E73" s="13">
        <f>C73/D73</f>
        <v/>
      </c>
      <c r="F73" s="8">
        <f>INDEX(ACT_CL_BOOTSTRAP_ORIGIN(B7:K16, B53, B54), 4, 4)</f>
        <v/>
      </c>
      <c r="G73" s="8">
        <f>INDEX(ACT_CL_BOOTSTRAP_ORIGIN(B7:K16, B53, B54), 4, 5)</f>
        <v/>
      </c>
      <c r="H73" s="8">
        <f>INDEX(ACT_CL_BOOTSTRAP_ORIGIN(B7:K16, B53, B54), 4, 6)</f>
        <v/>
      </c>
    </row>
    <row r="74">
      <c r="A74" s="4" t="n">
        <v>4</v>
      </c>
      <c r="B74" s="8">
        <f>INDEX(ACT_CL_BOOTSTRAP_ORIGIN(B7:K16, B53, B54), 5, 2)</f>
        <v/>
      </c>
      <c r="C74" s="8">
        <f>INDEX(ACT_CL_BOOTSTRAP_ORIGIN(B7:K16, B53, B54), 5, 3)</f>
        <v/>
      </c>
      <c r="D74" s="8" t="n">
        <v>141509</v>
      </c>
      <c r="E74" s="13">
        <f>C74/D74</f>
        <v/>
      </c>
      <c r="F74" s="8">
        <f>INDEX(ACT_CL_BOOTSTRAP_ORIGIN(B7:K16, B53, B54), 5, 4)</f>
        <v/>
      </c>
      <c r="G74" s="8">
        <f>INDEX(ACT_CL_BOOTSTRAP_ORIGIN(B7:K16, B53, B54), 5, 5)</f>
        <v/>
      </c>
      <c r="H74" s="8">
        <f>INDEX(ACT_CL_BOOTSTRAP_ORIGIN(B7:K16, B53, B54), 5, 6)</f>
        <v/>
      </c>
    </row>
    <row r="75">
      <c r="A75" s="4" t="n">
        <v>5</v>
      </c>
      <c r="B75" s="8">
        <f>INDEX(ACT_CL_BOOTSTRAP_ORIGIN(B7:K16, B53, B54), 6, 2)</f>
        <v/>
      </c>
      <c r="C75" s="8">
        <f>INDEX(ACT_CL_BOOTSTRAP_ORIGIN(B7:K16, B53, B54), 6, 3)</f>
        <v/>
      </c>
      <c r="D75" s="8" t="n">
        <v>256031</v>
      </c>
      <c r="E75" s="13">
        <f>C75/D75</f>
        <v/>
      </c>
      <c r="F75" s="8">
        <f>INDEX(ACT_CL_BOOTSTRAP_ORIGIN(B7:K16, B53, B54), 6, 4)</f>
        <v/>
      </c>
      <c r="G75" s="8">
        <f>INDEX(ACT_CL_BOOTSTRAP_ORIGIN(B7:K16, B53, B54), 6, 5)</f>
        <v/>
      </c>
      <c r="H75" s="8">
        <f>INDEX(ACT_CL_BOOTSTRAP_ORIGIN(B7:K16, B53, B54), 6, 6)</f>
        <v/>
      </c>
    </row>
    <row r="76">
      <c r="A76" s="4" t="n">
        <v>6</v>
      </c>
      <c r="B76" s="8">
        <f>INDEX(ACT_CL_BOOTSTRAP_ORIGIN(B7:K16, B53, B54), 7, 2)</f>
        <v/>
      </c>
      <c r="C76" s="8">
        <f>INDEX(ACT_CL_BOOTSTRAP_ORIGIN(B7:K16, B53, B54), 7, 3)</f>
        <v/>
      </c>
      <c r="D76" s="8" t="n">
        <v>398377</v>
      </c>
      <c r="E76" s="13">
        <f>C76/D76</f>
        <v/>
      </c>
      <c r="F76" s="8">
        <f>INDEX(ACT_CL_BOOTSTRAP_ORIGIN(B7:K16, B53, B54), 7, 4)</f>
        <v/>
      </c>
      <c r="G76" s="8">
        <f>INDEX(ACT_CL_BOOTSTRAP_ORIGIN(B7:K16, B53, B54), 7, 5)</f>
        <v/>
      </c>
      <c r="H76" s="8">
        <f>INDEX(ACT_CL_BOOTSTRAP_ORIGIN(B7:K16, B53, B54), 7, 6)</f>
        <v/>
      </c>
    </row>
    <row r="77">
      <c r="A77" s="4" t="n">
        <v>7</v>
      </c>
      <c r="B77" s="8">
        <f>INDEX(ACT_CL_BOOTSTRAP_ORIGIN(B7:K16, B53, B54), 8, 2)</f>
        <v/>
      </c>
      <c r="C77" s="8">
        <f>INDEX(ACT_CL_BOOTSTRAP_ORIGIN(B7:K16, B53, B54), 8, 3)</f>
        <v/>
      </c>
      <c r="D77" s="8" t="n">
        <v>529898</v>
      </c>
      <c r="E77" s="13">
        <f>C77/D77</f>
        <v/>
      </c>
      <c r="F77" s="8">
        <f>INDEX(ACT_CL_BOOTSTRAP_ORIGIN(B7:K16, B53, B54), 8, 4)</f>
        <v/>
      </c>
      <c r="G77" s="8">
        <f>INDEX(ACT_CL_BOOTSTRAP_ORIGIN(B7:K16, B53, B54), 8, 5)</f>
        <v/>
      </c>
      <c r="H77" s="8">
        <f>INDEX(ACT_CL_BOOTSTRAP_ORIGIN(B7:K16, B53, B54), 8, 6)</f>
        <v/>
      </c>
    </row>
    <row r="78">
      <c r="A78" s="4" t="n">
        <v>8</v>
      </c>
      <c r="B78" s="8">
        <f>INDEX(ACT_CL_BOOTSTRAP_ORIGIN(B7:K16, B53, B54), 9, 2)</f>
        <v/>
      </c>
      <c r="C78" s="8">
        <f>INDEX(ACT_CL_BOOTSTRAP_ORIGIN(B7:K16, B53, B54), 9, 3)</f>
        <v/>
      </c>
      <c r="D78" s="8" t="n">
        <v>735245</v>
      </c>
      <c r="E78" s="13">
        <f>C78/D78</f>
        <v/>
      </c>
      <c r="F78" s="8">
        <f>INDEX(ACT_CL_BOOTSTRAP_ORIGIN(B7:K16, B53, B54), 9, 4)</f>
        <v/>
      </c>
      <c r="G78" s="8">
        <f>INDEX(ACT_CL_BOOTSTRAP_ORIGIN(B7:K16, B53, B54), 9, 5)</f>
        <v/>
      </c>
      <c r="H78" s="8">
        <f>INDEX(ACT_CL_BOOTSTRAP_ORIGIN(B7:K16, B53, B54), 9, 6)</f>
        <v/>
      </c>
    </row>
    <row r="79">
      <c r="A79" s="4" t="n">
        <v>9</v>
      </c>
      <c r="B79" s="8">
        <f>INDEX(ACT_CL_BOOTSTRAP_ORIGIN(B7:K16, B53, B54), 10, 2)</f>
        <v/>
      </c>
      <c r="C79" s="8">
        <f>INDEX(ACT_CL_BOOTSTRAP_ORIGIN(B7:K16, B53, B54), 10, 3)</f>
        <v/>
      </c>
      <c r="D79" s="8" t="n">
        <v>809457</v>
      </c>
      <c r="E79" s="13">
        <f>C79/D79</f>
        <v/>
      </c>
      <c r="F79" s="8">
        <f>INDEX(ACT_CL_BOOTSTRAP_ORIGIN(B7:K16, B53, B54), 10, 4)</f>
        <v/>
      </c>
      <c r="G79" s="8">
        <f>INDEX(ACT_CL_BOOTSTRAP_ORIGIN(B7:K16, B53, B54), 10, 5)</f>
        <v/>
      </c>
      <c r="H79" s="8">
        <f>INDEX(ACT_CL_BOOTSTRAP_ORIGIN(B7:K16, B53, B54), 10, 6)</f>
        <v/>
      </c>
    </row>
    <row r="80">
      <c r="A80" s="4" t="n">
        <v>10</v>
      </c>
      <c r="B80" s="8">
        <f>INDEX(ACT_CL_BOOTSTRAP_ORIGIN(B7:K16, B53, B54), 11, 2)</f>
        <v/>
      </c>
      <c r="C80" s="8">
        <f>INDEX(ACT_CL_BOOTSTRAP_ORIGIN(B7:K16, B53, B54), 11, 3)</f>
        <v/>
      </c>
      <c r="D80" s="8" t="n">
        <v>1285560</v>
      </c>
      <c r="E80" s="13">
        <f>C80/D80</f>
        <v/>
      </c>
      <c r="F80" s="8">
        <f>INDEX(ACT_CL_BOOTSTRAP_ORIGIN(B7:K16, B53, B54), 11, 4)</f>
        <v/>
      </c>
      <c r="G80" s="8">
        <f>INDEX(ACT_CL_BOOTSTRAP_ORIGIN(B7:K16, B53, B54), 11, 5)</f>
        <v/>
      </c>
      <c r="H80" s="8">
        <f>INDEX(ACT_CL_BOOTSTRAP_ORIGIN(B7:K16, B53, B54), 11, 6)</f>
        <v/>
      </c>
    </row>
    <row r="81">
      <c r="A81" s="11" t="inlineStr">
        <is>
          <t>Total</t>
        </is>
      </c>
      <c r="D81" s="8" t="n">
        <v>2228677</v>
      </c>
    </row>
    <row r="83">
      <c r="A83" s="18" t="inlineStr">
        <is>
          <t>ADDITIONAL RESERVING FUNCTIONS</t>
        </is>
      </c>
    </row>
    <row r="85">
      <c r="A85" s="18" t="inlineStr">
        <is>
          <t>LATEST DIAGONAL (ACT_CL_LATEST)</t>
        </is>
      </c>
    </row>
    <row r="86">
      <c r="A86" t="inlineStr">
        <is>
          <t>AY</t>
        </is>
      </c>
      <c r="B86" t="inlineStr">
        <is>
          <t>Latest</t>
        </is>
      </c>
    </row>
    <row r="87">
      <c r="A87" t="n">
        <v>1</v>
      </c>
      <c r="B87">
        <f>INDEX(ACT_CL_LATEST(B7:K16), 1)</f>
        <v/>
      </c>
    </row>
    <row r="88">
      <c r="A88" t="n">
        <v>2</v>
      </c>
      <c r="B88">
        <f>INDEX(ACT_CL_LATEST(B7:K16), 2)</f>
        <v/>
      </c>
    </row>
    <row r="89">
      <c r="A89" t="n">
        <v>3</v>
      </c>
      <c r="B89">
        <f>INDEX(ACT_CL_LATEST(B7:K16), 3)</f>
        <v/>
      </c>
    </row>
    <row r="90">
      <c r="A90" t="n">
        <v>4</v>
      </c>
      <c r="B90">
        <f>INDEX(ACT_CL_LATEST(B7:K16), 4)</f>
        <v/>
      </c>
    </row>
    <row r="91">
      <c r="A91" t="n">
        <v>5</v>
      </c>
      <c r="B91">
        <f>INDEX(ACT_CL_LATEST(B7:K16), 5)</f>
        <v/>
      </c>
    </row>
    <row r="92">
      <c r="A92" t="n">
        <v>6</v>
      </c>
      <c r="B92">
        <f>INDEX(ACT_CL_LATEST(B7:K16), 6)</f>
        <v/>
      </c>
    </row>
    <row r="93">
      <c r="A93" t="n">
        <v>7</v>
      </c>
      <c r="B93">
        <f>INDEX(ACT_CL_LATEST(B7:K16), 7)</f>
        <v/>
      </c>
    </row>
    <row r="94">
      <c r="A94" t="n">
        <v>8</v>
      </c>
      <c r="B94">
        <f>INDEX(ACT_CL_LATEST(B7:K16), 8)</f>
        <v/>
      </c>
    </row>
    <row r="95">
      <c r="A95" t="n">
        <v>9</v>
      </c>
      <c r="B95">
        <f>INDEX(ACT_CL_LATEST(B7:K16), 9)</f>
        <v/>
      </c>
    </row>
    <row r="96">
      <c r="A96" t="n">
        <v>10</v>
      </c>
      <c r="B96">
        <f>INDEX(ACT_CL_LATEST(B7:K16), 10)</f>
        <v/>
      </c>
    </row>
    <row r="98">
      <c r="A98" s="18" t="inlineStr">
        <is>
          <t>MACK FACTOR STANDARD ERRORS (ACT_MACK_FACTOR_SE)</t>
        </is>
      </c>
    </row>
    <row r="99">
      <c r="A99" t="inlineStr">
        <is>
          <t>Period</t>
        </is>
      </c>
      <c r="B99" t="inlineStr">
        <is>
          <t>SE</t>
        </is>
      </c>
    </row>
    <row r="100">
      <c r="A100" t="inlineStr">
        <is>
          <t>1-2</t>
        </is>
      </c>
      <c r="B100">
        <f>INDEX(ACT_MACK_FACTOR_SE(B7:K16), 1)</f>
        <v/>
      </c>
    </row>
    <row r="101">
      <c r="A101" t="inlineStr">
        <is>
          <t>2-3</t>
        </is>
      </c>
      <c r="B101">
        <f>INDEX(ACT_MACK_FACTOR_SE(B7:K16), 2)</f>
        <v/>
      </c>
    </row>
    <row r="102">
      <c r="A102" t="inlineStr">
        <is>
          <t>3-4</t>
        </is>
      </c>
      <c r="B102">
        <f>INDEX(ACT_MACK_FACTOR_SE(B7:K16), 3)</f>
        <v/>
      </c>
    </row>
    <row r="103">
      <c r="A103" t="inlineStr">
        <is>
          <t>4-5</t>
        </is>
      </c>
      <c r="B103">
        <f>INDEX(ACT_MACK_FACTOR_SE(B7:K16), 4)</f>
        <v/>
      </c>
    </row>
    <row r="104">
      <c r="A104" t="inlineStr">
        <is>
          <t>5-6</t>
        </is>
      </c>
      <c r="B104">
        <f>INDEX(ACT_MACK_FACTOR_SE(B7:K16), 5)</f>
        <v/>
      </c>
    </row>
    <row r="105">
      <c r="A105" t="inlineStr">
        <is>
          <t>6-7</t>
        </is>
      </c>
      <c r="B105">
        <f>INDEX(ACT_MACK_FACTOR_SE(B7:K16), 6)</f>
        <v/>
      </c>
    </row>
    <row r="106">
      <c r="A106" t="inlineStr">
        <is>
          <t>7-8</t>
        </is>
      </c>
      <c r="B106">
        <f>INDEX(ACT_MACK_FACTOR_SE(B7:K16), 7)</f>
        <v/>
      </c>
    </row>
    <row r="107">
      <c r="A107" t="inlineStr">
        <is>
          <t>8-9</t>
        </is>
      </c>
      <c r="B107">
        <f>INDEX(ACT_MACK_FACTOR_SE(B7:K16), 8)</f>
        <v/>
      </c>
    </row>
    <row r="108">
      <c r="A108" t="inlineStr">
        <is>
          <t>9-10</t>
        </is>
      </c>
      <c r="B108">
        <f>INDEX(ACT_MACK_FACTOR_SE(B7:K16), 9)</f>
        <v/>
      </c>
    </row>
    <row r="110">
      <c r="A110" s="18" t="inlineStr">
        <is>
          <t>BORNHUETTER-FERGUSON ULTIMATES (ACT_BF_ULTIMATE)</t>
        </is>
      </c>
    </row>
    <row r="111">
      <c r="A111" t="inlineStr">
        <is>
          <t>Apriori = ACT_CL_LATEST × 1.10</t>
        </is>
      </c>
    </row>
    <row r="112">
      <c r="A112" t="inlineStr">
        <is>
          <t>AY</t>
        </is>
      </c>
      <c r="B112" t="inlineStr">
        <is>
          <t>Apriori</t>
        </is>
      </c>
      <c r="C112" t="inlineStr">
        <is>
          <t>BF Ultimate</t>
        </is>
      </c>
    </row>
    <row r="113">
      <c r="A113" t="n">
        <v>1</v>
      </c>
      <c r="B113">
        <f>INDEX(ACT_CL_LATEST(B7:K16), 1) * 1.10</f>
        <v/>
      </c>
      <c r="C113">
        <f>INDEX(ACT_BF_ULTIMATE(B7:K16, ACT_CL_FACTORS(B7:K16), B113:B122), 1)</f>
        <v/>
      </c>
    </row>
    <row r="114">
      <c r="A114" t="n">
        <v>2</v>
      </c>
      <c r="B114">
        <f>INDEX(ACT_CL_LATEST(B7:K16), 2) * 1.10</f>
        <v/>
      </c>
      <c r="C114">
        <f>INDEX(ACT_BF_ULTIMATE(B7:K16, ACT_CL_FACTORS(B7:K16), B113:B122), 2)</f>
        <v/>
      </c>
    </row>
    <row r="115">
      <c r="A115" t="n">
        <v>3</v>
      </c>
      <c r="B115">
        <f>INDEX(ACT_CL_LATEST(B7:K16), 3) * 1.10</f>
        <v/>
      </c>
      <c r="C115">
        <f>INDEX(ACT_BF_ULTIMATE(B7:K16, ACT_CL_FACTORS(B7:K16), B113:B122), 3)</f>
        <v/>
      </c>
    </row>
    <row r="116">
      <c r="A116" t="n">
        <v>4</v>
      </c>
      <c r="B116">
        <f>INDEX(ACT_CL_LATEST(B7:K16), 4) * 1.10</f>
        <v/>
      </c>
      <c r="C116">
        <f>INDEX(ACT_BF_ULTIMATE(B7:K16, ACT_CL_FACTORS(B7:K16), B113:B122), 4)</f>
        <v/>
      </c>
    </row>
    <row r="117">
      <c r="A117" t="n">
        <v>5</v>
      </c>
      <c r="B117">
        <f>INDEX(ACT_CL_LATEST(B7:K16), 5) * 1.10</f>
        <v/>
      </c>
      <c r="C117">
        <f>INDEX(ACT_BF_ULTIMATE(B7:K16, ACT_CL_FACTORS(B7:K16), B113:B122), 5)</f>
        <v/>
      </c>
    </row>
    <row r="118">
      <c r="A118" t="n">
        <v>6</v>
      </c>
      <c r="B118">
        <f>INDEX(ACT_CL_LATEST(B7:K16), 6) * 1.10</f>
        <v/>
      </c>
      <c r="C118">
        <f>INDEX(ACT_BF_ULTIMATE(B7:K16, ACT_CL_FACTORS(B7:K16), B113:B122), 6)</f>
        <v/>
      </c>
    </row>
    <row r="119">
      <c r="A119" t="n">
        <v>7</v>
      </c>
      <c r="B119">
        <f>INDEX(ACT_CL_LATEST(B7:K16), 7) * 1.10</f>
        <v/>
      </c>
      <c r="C119">
        <f>INDEX(ACT_BF_ULTIMATE(B7:K16, ACT_CL_FACTORS(B7:K16), B113:B122), 7)</f>
        <v/>
      </c>
    </row>
    <row r="120">
      <c r="A120" t="n">
        <v>8</v>
      </c>
      <c r="B120">
        <f>INDEX(ACT_CL_LATEST(B7:K16), 8) * 1.10</f>
        <v/>
      </c>
      <c r="C120">
        <f>INDEX(ACT_BF_ULTIMATE(B7:K16, ACT_CL_FACTORS(B7:K16), B113:B122), 8)</f>
        <v/>
      </c>
    </row>
    <row r="121">
      <c r="A121" t="n">
        <v>9</v>
      </c>
      <c r="B121">
        <f>INDEX(ACT_CL_LATEST(B7:K16), 9) * 1.10</f>
        <v/>
      </c>
      <c r="C121">
        <f>INDEX(ACT_BF_ULTIMATE(B7:K16, ACT_CL_FACTORS(B7:K16), B113:B122), 9)</f>
        <v/>
      </c>
    </row>
    <row r="122">
      <c r="A122" t="n">
        <v>10</v>
      </c>
      <c r="B122">
        <f>INDEX(ACT_CL_LATEST(B7:K16), 10) * 1.10</f>
        <v/>
      </c>
      <c r="C122">
        <f>INDEX(ACT_BF_ULTIMATE(B7:K16, ACT_CL_FACTORS(B7:K16), B113:B122), 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4"/>
    <col width="25" customWidth="1" min="5" max="5"/>
    <col width="15" customWidth="1" min="6" max="6"/>
  </cols>
  <sheetData>
    <row r="1" ht="18.75" customHeight="1">
      <c r="A1" s="1" t="inlineStr">
        <is>
          <t>Student-t Copula</t>
        </is>
      </c>
    </row>
    <row r="3">
      <c r="A3" s="6" t="inlineStr">
        <is>
          <t>Generate correlated uniform random numbers for Monte Carlo simulation</t>
        </is>
      </c>
    </row>
    <row r="5">
      <c r="A5" s="6" t="inlineStr">
        <is>
          <t>CORRELATION MATRIX (3x3)</t>
        </is>
      </c>
    </row>
    <row r="6">
      <c r="A6" s="3" t="n"/>
      <c r="B6" s="3" t="inlineStr">
        <is>
          <t>X1</t>
        </is>
      </c>
      <c r="C6" s="3" t="inlineStr">
        <is>
          <t>X2</t>
        </is>
      </c>
      <c r="D6" s="3" t="inlineStr">
        <is>
          <t>X3</t>
        </is>
      </c>
    </row>
    <row r="7">
      <c r="A7" s="11" t="inlineStr">
        <is>
          <t>X1</t>
        </is>
      </c>
      <c r="B7" s="4" t="n">
        <v>1</v>
      </c>
      <c r="C7" s="4">
        <f>B8</f>
        <v/>
      </c>
      <c r="D7" s="4">
        <f>B9</f>
        <v/>
      </c>
    </row>
    <row r="8">
      <c r="A8" s="11" t="inlineStr">
        <is>
          <t>X2</t>
        </is>
      </c>
      <c r="B8" s="4" t="n">
        <v>0.9</v>
      </c>
      <c r="C8" s="4" t="n">
        <v>1</v>
      </c>
      <c r="D8" s="4">
        <f>C9</f>
        <v/>
      </c>
    </row>
    <row r="9">
      <c r="A9" s="11" t="inlineStr">
        <is>
          <t>X3</t>
        </is>
      </c>
      <c r="B9" s="4" t="n">
        <v>0.3</v>
      </c>
      <c r="C9" s="4" t="n">
        <v>0.4</v>
      </c>
      <c r="D9" s="4" t="n">
        <v>1</v>
      </c>
    </row>
    <row r="11">
      <c r="A11" s="6" t="inlineStr">
        <is>
          <t>PARAMETERS</t>
        </is>
      </c>
    </row>
    <row r="12">
      <c r="A12" s="4" t="inlineStr">
        <is>
          <t>Degrees of freedom:</t>
        </is>
      </c>
      <c r="B12" s="4" t="n">
        <v>5</v>
      </c>
    </row>
    <row r="13">
      <c r="A13" s="4" t="inlineStr">
        <is>
          <t>Number of samples:</t>
        </is>
      </c>
      <c r="B13" s="4" t="n">
        <v>100</v>
      </c>
    </row>
    <row r="14">
      <c r="A14" s="4" t="inlineStr">
        <is>
          <t>Random seed:</t>
        </is>
      </c>
      <c r="B14" s="4" t="n">
        <v>42</v>
      </c>
    </row>
    <row r="16">
      <c r="A16" s="6" t="inlineStr">
        <is>
          <t>GENERATED SAMPLES (use INDEX to extract from array)</t>
        </is>
      </c>
    </row>
    <row r="17">
      <c r="A17" s="6" t="inlineStr">
        <is>
          <t>Formula: =INDEX(ACT_COPULA_STUDENT_T(B7:D9, B12, B13, B14), row, col)</t>
        </is>
      </c>
    </row>
    <row r="18">
      <c r="A18" s="3" t="inlineStr">
        <is>
          <t>Sample</t>
        </is>
      </c>
      <c r="B18" s="3" t="inlineStr">
        <is>
          <t>U1</t>
        </is>
      </c>
      <c r="C18" s="3" t="inlineStr">
        <is>
          <t>U2</t>
        </is>
      </c>
      <c r="D18" s="3" t="inlineStr">
        <is>
          <t>U3</t>
        </is>
      </c>
    </row>
    <row r="19">
      <c r="A19" s="4" t="n">
        <v>1</v>
      </c>
      <c r="B19" s="4">
        <f>INDEX(ACT_COPULA_STUDENT_T(B7:D9, B12, B13, B14), 1, 1)</f>
        <v/>
      </c>
      <c r="C19" s="4">
        <f>INDEX(ACT_COPULA_STUDENT_T(B7:D9, B12, B13, B14), 1, 2)</f>
        <v/>
      </c>
      <c r="D19" s="4">
        <f>INDEX(ACT_COPULA_STUDENT_T(B7:D9, B12, B13, B14), 1, 3)</f>
        <v/>
      </c>
    </row>
    <row r="20">
      <c r="A20" s="4" t="n">
        <v>2</v>
      </c>
      <c r="B20" s="4">
        <f>INDEX(ACT_COPULA_STUDENT_T(B7:D9, B12, B13, B14), 2, 1)</f>
        <v/>
      </c>
      <c r="C20" s="4">
        <f>INDEX(ACT_COPULA_STUDENT_T(B7:D9, B12, B13, B14), 2, 2)</f>
        <v/>
      </c>
      <c r="D20" s="4">
        <f>INDEX(ACT_COPULA_STUDENT_T(B7:D9, B12, B13, B14), 2, 3)</f>
        <v/>
      </c>
    </row>
    <row r="21">
      <c r="A21" s="4" t="n">
        <v>3</v>
      </c>
      <c r="B21" s="4">
        <f>INDEX(ACT_COPULA_STUDENT_T(B7:D9, B12, B13, B14), 3, 1)</f>
        <v/>
      </c>
      <c r="C21" s="4">
        <f>INDEX(ACT_COPULA_STUDENT_T(B7:D9, B12, B13, B14), 3, 2)</f>
        <v/>
      </c>
      <c r="D21" s="4">
        <f>INDEX(ACT_COPULA_STUDENT_T(B7:D9, B12, B13, B14), 3, 3)</f>
        <v/>
      </c>
    </row>
    <row r="22">
      <c r="A22" s="4" t="n">
        <v>4</v>
      </c>
      <c r="B22" s="4">
        <f>INDEX(ACT_COPULA_STUDENT_T(B7:D9, B12, B13, B14), 4, 1)</f>
        <v/>
      </c>
      <c r="C22" s="4">
        <f>INDEX(ACT_COPULA_STUDENT_T(B7:D9, B12, B13, B14), 4, 2)</f>
        <v/>
      </c>
      <c r="D22" s="4">
        <f>INDEX(ACT_COPULA_STUDENT_T(B7:D9, B12, B13, B14), 4, 3)</f>
        <v/>
      </c>
    </row>
    <row r="23">
      <c r="A23" s="4" t="n">
        <v>5</v>
      </c>
      <c r="B23" s="4">
        <f>INDEX(ACT_COPULA_STUDENT_T(B7:D9, B12, B13, B14), 5, 1)</f>
        <v/>
      </c>
      <c r="C23" s="4">
        <f>INDEX(ACT_COPULA_STUDENT_T(B7:D9, B12, B13, B14), 5, 2)</f>
        <v/>
      </c>
      <c r="D23" s="4">
        <f>INDEX(ACT_COPULA_STUDENT_T(B7:D9, B12, B13, B14), 5, 3)</f>
        <v/>
      </c>
    </row>
    <row r="24">
      <c r="A24" s="4" t="n">
        <v>6</v>
      </c>
      <c r="B24" s="4">
        <f>INDEX(ACT_COPULA_STUDENT_T(B7:D9, B12, B13, B14), 6, 1)</f>
        <v/>
      </c>
      <c r="C24" s="4">
        <f>INDEX(ACT_COPULA_STUDENT_T(B7:D9, B12, B13, B14), 6, 2)</f>
        <v/>
      </c>
      <c r="D24" s="4">
        <f>INDEX(ACT_COPULA_STUDENT_T(B7:D9, B12, B13, B14), 6, 3)</f>
        <v/>
      </c>
    </row>
    <row r="25">
      <c r="A25" s="4" t="n">
        <v>7</v>
      </c>
      <c r="B25" s="4">
        <f>INDEX(ACT_COPULA_STUDENT_T(B7:D9, B12, B13, B14), 7, 1)</f>
        <v/>
      </c>
      <c r="C25" s="4">
        <f>INDEX(ACT_COPULA_STUDENT_T(B7:D9, B12, B13, B14), 7, 2)</f>
        <v/>
      </c>
      <c r="D25" s="4">
        <f>INDEX(ACT_COPULA_STUDENT_T(B7:D9, B12, B13, B14), 7, 3)</f>
        <v/>
      </c>
    </row>
    <row r="26">
      <c r="A26" s="4" t="n">
        <v>8</v>
      </c>
      <c r="B26" s="4">
        <f>INDEX(ACT_COPULA_STUDENT_T(B7:D9, B12, B13, B14), 8, 1)</f>
        <v/>
      </c>
      <c r="C26" s="4">
        <f>INDEX(ACT_COPULA_STUDENT_T(B7:D9, B12, B13, B14), 8, 2)</f>
        <v/>
      </c>
      <c r="D26" s="4">
        <f>INDEX(ACT_COPULA_STUDENT_T(B7:D9, B12, B13, B14), 8, 3)</f>
        <v/>
      </c>
    </row>
    <row r="27">
      <c r="A27" s="4" t="n">
        <v>9</v>
      </c>
      <c r="B27" s="4">
        <f>INDEX(ACT_COPULA_STUDENT_T(B7:D9, B12, B13, B14), 9, 1)</f>
        <v/>
      </c>
      <c r="C27" s="4">
        <f>INDEX(ACT_COPULA_STUDENT_T(B7:D9, B12, B13, B14), 9, 2)</f>
        <v/>
      </c>
      <c r="D27" s="4">
        <f>INDEX(ACT_COPULA_STUDENT_T(B7:D9, B12, B13, B14), 9, 3)</f>
        <v/>
      </c>
    </row>
    <row r="28">
      <c r="A28" s="4" t="n">
        <v>10</v>
      </c>
      <c r="B28" s="4">
        <f>INDEX(ACT_COPULA_STUDENT_T(B7:D9, B12, B13, B14), 10, 1)</f>
        <v/>
      </c>
      <c r="C28" s="4">
        <f>INDEX(ACT_COPULA_STUDENT_T(B7:D9, B12, B13, B14), 10, 2)</f>
        <v/>
      </c>
      <c r="D28" s="4">
        <f>INDEX(ACT_COPULA_STUDENT_T(B7:D9, B12, B13, B14), 10, 3)</f>
        <v/>
      </c>
    </row>
    <row r="29">
      <c r="A29" s="4" t="n">
        <v>11</v>
      </c>
      <c r="B29" s="4">
        <f>INDEX(ACT_COPULA_STUDENT_T(B7:D9, B12, B13, B14), 11, 1)</f>
        <v/>
      </c>
      <c r="C29" s="4">
        <f>INDEX(ACT_COPULA_STUDENT_T(B7:D9, B12, B13, B14), 11, 2)</f>
        <v/>
      </c>
      <c r="D29" s="4">
        <f>INDEX(ACT_COPULA_STUDENT_T(B7:D9, B12, B13, B14), 11, 3)</f>
        <v/>
      </c>
    </row>
    <row r="30">
      <c r="A30" s="4" t="n">
        <v>12</v>
      </c>
      <c r="B30" s="4">
        <f>INDEX(ACT_COPULA_STUDENT_T(B7:D9, B12, B13, B14), 12, 1)</f>
        <v/>
      </c>
      <c r="C30" s="4">
        <f>INDEX(ACT_COPULA_STUDENT_T(B7:D9, B12, B13, B14), 12, 2)</f>
        <v/>
      </c>
      <c r="D30" s="4">
        <f>INDEX(ACT_COPULA_STUDENT_T(B7:D9, B12, B13, B14), 12, 3)</f>
        <v/>
      </c>
    </row>
    <row r="31">
      <c r="A31" s="4" t="n">
        <v>13</v>
      </c>
      <c r="B31" s="4">
        <f>INDEX(ACT_COPULA_STUDENT_T(B7:D9, B12, B13, B14), 13, 1)</f>
        <v/>
      </c>
      <c r="C31" s="4">
        <f>INDEX(ACT_COPULA_STUDENT_T(B7:D9, B12, B13, B14), 13, 2)</f>
        <v/>
      </c>
      <c r="D31" s="4">
        <f>INDEX(ACT_COPULA_STUDENT_T(B7:D9, B12, B13, B14), 13, 3)</f>
        <v/>
      </c>
    </row>
    <row r="32">
      <c r="A32" s="4" t="n">
        <v>14</v>
      </c>
      <c r="B32" s="4">
        <f>INDEX(ACT_COPULA_STUDENT_T(B7:D9, B12, B13, B14), 14, 1)</f>
        <v/>
      </c>
      <c r="C32" s="4">
        <f>INDEX(ACT_COPULA_STUDENT_T(B7:D9, B12, B13, B14), 14, 2)</f>
        <v/>
      </c>
      <c r="D32" s="4">
        <f>INDEX(ACT_COPULA_STUDENT_T(B7:D9, B12, B13, B14), 14, 3)</f>
        <v/>
      </c>
    </row>
    <row r="33">
      <c r="A33" s="4" t="n">
        <v>15</v>
      </c>
      <c r="B33" s="4">
        <f>INDEX(ACT_COPULA_STUDENT_T(B7:D9, B12, B13, B14), 15, 1)</f>
        <v/>
      </c>
      <c r="C33" s="4">
        <f>INDEX(ACT_COPULA_STUDENT_T(B7:D9, B12, B13, B14), 15, 2)</f>
        <v/>
      </c>
      <c r="D33" s="4">
        <f>INDEX(ACT_COPULA_STUDENT_T(B7:D9, B12, B13, B14), 15, 3)</f>
        <v/>
      </c>
    </row>
    <row r="34">
      <c r="A34" s="4" t="n">
        <v>16</v>
      </c>
      <c r="B34" s="4">
        <f>INDEX(ACT_COPULA_STUDENT_T(B7:D9, B12, B13, B14), 16, 1)</f>
        <v/>
      </c>
      <c r="C34" s="4">
        <f>INDEX(ACT_COPULA_STUDENT_T(B7:D9, B12, B13, B14), 16, 2)</f>
        <v/>
      </c>
      <c r="D34" s="4">
        <f>INDEX(ACT_COPULA_STUDENT_T(B7:D9, B12, B13, B14), 16, 3)</f>
        <v/>
      </c>
    </row>
    <row r="35">
      <c r="A35" s="4" t="n">
        <v>17</v>
      </c>
      <c r="B35" s="4">
        <f>INDEX(ACT_COPULA_STUDENT_T(B7:D9, B12, B13, B14), 17, 1)</f>
        <v/>
      </c>
      <c r="C35" s="4">
        <f>INDEX(ACT_COPULA_STUDENT_T(B7:D9, B12, B13, B14), 17, 2)</f>
        <v/>
      </c>
      <c r="D35" s="4">
        <f>INDEX(ACT_COPULA_STUDENT_T(B7:D9, B12, B13, B14), 17, 3)</f>
        <v/>
      </c>
    </row>
    <row r="36">
      <c r="A36" s="4" t="n">
        <v>18</v>
      </c>
      <c r="B36" s="4">
        <f>INDEX(ACT_COPULA_STUDENT_T(B7:D9, B12, B13, B14), 18, 1)</f>
        <v/>
      </c>
      <c r="C36" s="4">
        <f>INDEX(ACT_COPULA_STUDENT_T(B7:D9, B12, B13, B14), 18, 2)</f>
        <v/>
      </c>
      <c r="D36" s="4">
        <f>INDEX(ACT_COPULA_STUDENT_T(B7:D9, B12, B13, B14), 18, 3)</f>
        <v/>
      </c>
    </row>
    <row r="37">
      <c r="A37" s="4" t="n">
        <v>19</v>
      </c>
      <c r="B37" s="4">
        <f>INDEX(ACT_COPULA_STUDENT_T(B7:D9, B12, B13, B14), 19, 1)</f>
        <v/>
      </c>
      <c r="C37" s="4">
        <f>INDEX(ACT_COPULA_STUDENT_T(B7:D9, B12, B13, B14), 19, 2)</f>
        <v/>
      </c>
      <c r="D37" s="4">
        <f>INDEX(ACT_COPULA_STUDENT_T(B7:D9, B12, B13, B14), 19, 3)</f>
        <v/>
      </c>
    </row>
    <row r="38">
      <c r="A38" s="4" t="n">
        <v>20</v>
      </c>
      <c r="B38" s="4">
        <f>INDEX(ACT_COPULA_STUDENT_T(B7:D9, B12, B13, B14), 20, 1)</f>
        <v/>
      </c>
      <c r="C38" s="4">
        <f>INDEX(ACT_COPULA_STUDENT_T(B7:D9, B12, B13, B14), 20, 2)</f>
        <v/>
      </c>
      <c r="D38" s="4">
        <f>INDEX(ACT_COPULA_STUDENT_T(B7:D9, B12, B13, B14), 20, 3)</f>
        <v/>
      </c>
    </row>
    <row r="39">
      <c r="A39" s="4" t="n">
        <v>21</v>
      </c>
      <c r="B39" s="4">
        <f>INDEX(ACT_COPULA_STUDENT_T(B7:D9, B12, B13, B14), 21, 1)</f>
        <v/>
      </c>
      <c r="C39" s="4">
        <f>INDEX(ACT_COPULA_STUDENT_T(B7:D9, B12, B13, B14), 21, 2)</f>
        <v/>
      </c>
      <c r="D39" s="4">
        <f>INDEX(ACT_COPULA_STUDENT_T(B7:D9, B12, B13, B14), 21, 3)</f>
        <v/>
      </c>
    </row>
    <row r="40">
      <c r="A40" s="4" t="n">
        <v>22</v>
      </c>
      <c r="B40" s="4">
        <f>INDEX(ACT_COPULA_STUDENT_T(B7:D9, B12, B13, B14), 22, 1)</f>
        <v/>
      </c>
      <c r="C40" s="4">
        <f>INDEX(ACT_COPULA_STUDENT_T(B7:D9, B12, B13, B14), 22, 2)</f>
        <v/>
      </c>
      <c r="D40" s="4">
        <f>INDEX(ACT_COPULA_STUDENT_T(B7:D9, B12, B13, B14), 22, 3)</f>
        <v/>
      </c>
    </row>
    <row r="41">
      <c r="A41" s="4" t="n">
        <v>23</v>
      </c>
      <c r="B41" s="4">
        <f>INDEX(ACT_COPULA_STUDENT_T(B7:D9, B12, B13, B14), 23, 1)</f>
        <v/>
      </c>
      <c r="C41" s="4">
        <f>INDEX(ACT_COPULA_STUDENT_T(B7:D9, B12, B13, B14), 23, 2)</f>
        <v/>
      </c>
      <c r="D41" s="4">
        <f>INDEX(ACT_COPULA_STUDENT_T(B7:D9, B12, B13, B14), 23, 3)</f>
        <v/>
      </c>
    </row>
    <row r="42">
      <c r="A42" s="4" t="n">
        <v>24</v>
      </c>
      <c r="B42" s="4">
        <f>INDEX(ACT_COPULA_STUDENT_T(B7:D9, B12, B13, B14), 24, 1)</f>
        <v/>
      </c>
      <c r="C42" s="4">
        <f>INDEX(ACT_COPULA_STUDENT_T(B7:D9, B12, B13, B14), 24, 2)</f>
        <v/>
      </c>
      <c r="D42" s="4">
        <f>INDEX(ACT_COPULA_STUDENT_T(B7:D9, B12, B13, B14), 24, 3)</f>
        <v/>
      </c>
    </row>
    <row r="43">
      <c r="A43" s="4" t="n">
        <v>25</v>
      </c>
      <c r="B43" s="4">
        <f>INDEX(ACT_COPULA_STUDENT_T(B7:D9, B12, B13, B14), 25, 1)</f>
        <v/>
      </c>
      <c r="C43" s="4">
        <f>INDEX(ACT_COPULA_STUDENT_T(B7:D9, B12, B13, B14), 25, 2)</f>
        <v/>
      </c>
      <c r="D43" s="4">
        <f>INDEX(ACT_COPULA_STUDENT_T(B7:D9, B12, B13, B14), 25, 3)</f>
        <v/>
      </c>
    </row>
    <row r="44">
      <c r="A44" s="4" t="n">
        <v>26</v>
      </c>
      <c r="B44" s="4">
        <f>INDEX(ACT_COPULA_STUDENT_T(B7:D9, B12, B13, B14), 26, 1)</f>
        <v/>
      </c>
      <c r="C44" s="4">
        <f>INDEX(ACT_COPULA_STUDENT_T(B7:D9, B12, B13, B14), 26, 2)</f>
        <v/>
      </c>
      <c r="D44" s="4">
        <f>INDEX(ACT_COPULA_STUDENT_T(B7:D9, B12, B13, B14), 26, 3)</f>
        <v/>
      </c>
    </row>
    <row r="45">
      <c r="A45" s="4" t="n">
        <v>27</v>
      </c>
      <c r="B45" s="4">
        <f>INDEX(ACT_COPULA_STUDENT_T(B7:D9, B12, B13, B14), 27, 1)</f>
        <v/>
      </c>
      <c r="C45" s="4">
        <f>INDEX(ACT_COPULA_STUDENT_T(B7:D9, B12, B13, B14), 27, 2)</f>
        <v/>
      </c>
      <c r="D45" s="4">
        <f>INDEX(ACT_COPULA_STUDENT_T(B7:D9, B12, B13, B14), 27, 3)</f>
        <v/>
      </c>
    </row>
    <row r="46">
      <c r="A46" s="4" t="n">
        <v>28</v>
      </c>
      <c r="B46" s="4">
        <f>INDEX(ACT_COPULA_STUDENT_T(B7:D9, B12, B13, B14), 28, 1)</f>
        <v/>
      </c>
      <c r="C46" s="4">
        <f>INDEX(ACT_COPULA_STUDENT_T(B7:D9, B12, B13, B14), 28, 2)</f>
        <v/>
      </c>
      <c r="D46" s="4">
        <f>INDEX(ACT_COPULA_STUDENT_T(B7:D9, B12, B13, B14), 28, 3)</f>
        <v/>
      </c>
    </row>
    <row r="47">
      <c r="A47" s="4" t="n">
        <v>29</v>
      </c>
      <c r="B47" s="4">
        <f>INDEX(ACT_COPULA_STUDENT_T(B7:D9, B12, B13, B14), 29, 1)</f>
        <v/>
      </c>
      <c r="C47" s="4">
        <f>INDEX(ACT_COPULA_STUDENT_T(B7:D9, B12, B13, B14), 29, 2)</f>
        <v/>
      </c>
      <c r="D47" s="4">
        <f>INDEX(ACT_COPULA_STUDENT_T(B7:D9, B12, B13, B14), 29, 3)</f>
        <v/>
      </c>
    </row>
    <row r="48">
      <c r="A48" s="4" t="n">
        <v>30</v>
      </c>
      <c r="B48" s="4">
        <f>INDEX(ACT_COPULA_STUDENT_T(B7:D9, B12, B13, B14), 30, 1)</f>
        <v/>
      </c>
      <c r="C48" s="4">
        <f>INDEX(ACT_COPULA_STUDENT_T(B7:D9, B12, B13, B14), 30, 2)</f>
        <v/>
      </c>
      <c r="D48" s="4">
        <f>INDEX(ACT_COPULA_STUDENT_T(B7:D9, B12, B13, B14), 30, 3)</f>
        <v/>
      </c>
    </row>
    <row r="49">
      <c r="A49" s="4" t="n">
        <v>31</v>
      </c>
      <c r="B49" s="4">
        <f>INDEX(ACT_COPULA_STUDENT_T(B7:D9, B12, B13, B14), 31, 1)</f>
        <v/>
      </c>
      <c r="C49" s="4">
        <f>INDEX(ACT_COPULA_STUDENT_T(B7:D9, B12, B13, B14), 31, 2)</f>
        <v/>
      </c>
      <c r="D49" s="4">
        <f>INDEX(ACT_COPULA_STUDENT_T(B7:D9, B12, B13, B14), 31, 3)</f>
        <v/>
      </c>
    </row>
    <row r="50">
      <c r="A50" s="4" t="n">
        <v>32</v>
      </c>
      <c r="B50" s="4">
        <f>INDEX(ACT_COPULA_STUDENT_T(B7:D9, B12, B13, B14), 32, 1)</f>
        <v/>
      </c>
      <c r="C50" s="4">
        <f>INDEX(ACT_COPULA_STUDENT_T(B7:D9, B12, B13, B14), 32, 2)</f>
        <v/>
      </c>
      <c r="D50" s="4">
        <f>INDEX(ACT_COPULA_STUDENT_T(B7:D9, B12, B13, B14), 32, 3)</f>
        <v/>
      </c>
    </row>
    <row r="51">
      <c r="A51" s="4" t="n">
        <v>33</v>
      </c>
      <c r="B51" s="4">
        <f>INDEX(ACT_COPULA_STUDENT_T(B7:D9, B12, B13, B14), 33, 1)</f>
        <v/>
      </c>
      <c r="C51" s="4">
        <f>INDEX(ACT_COPULA_STUDENT_T(B7:D9, B12, B13, B14), 33, 2)</f>
        <v/>
      </c>
      <c r="D51" s="4">
        <f>INDEX(ACT_COPULA_STUDENT_T(B7:D9, B12, B13, B14), 33, 3)</f>
        <v/>
      </c>
    </row>
    <row r="52">
      <c r="A52" s="4" t="n">
        <v>34</v>
      </c>
      <c r="B52" s="4">
        <f>INDEX(ACT_COPULA_STUDENT_T(B7:D9, B12, B13, B14), 34, 1)</f>
        <v/>
      </c>
      <c r="C52" s="4">
        <f>INDEX(ACT_COPULA_STUDENT_T(B7:D9, B12, B13, B14), 34, 2)</f>
        <v/>
      </c>
      <c r="D52" s="4">
        <f>INDEX(ACT_COPULA_STUDENT_T(B7:D9, B12, B13, B14), 34, 3)</f>
        <v/>
      </c>
    </row>
    <row r="53">
      <c r="A53" s="4" t="n">
        <v>35</v>
      </c>
      <c r="B53" s="4">
        <f>INDEX(ACT_COPULA_STUDENT_T(B7:D9, B12, B13, B14), 35, 1)</f>
        <v/>
      </c>
      <c r="C53" s="4">
        <f>INDEX(ACT_COPULA_STUDENT_T(B7:D9, B12, B13, B14), 35, 2)</f>
        <v/>
      </c>
      <c r="D53" s="4">
        <f>INDEX(ACT_COPULA_STUDENT_T(B7:D9, B12, B13, B14), 35, 3)</f>
        <v/>
      </c>
    </row>
    <row r="54">
      <c r="A54" s="4" t="n">
        <v>36</v>
      </c>
      <c r="B54" s="4">
        <f>INDEX(ACT_COPULA_STUDENT_T(B7:D9, B12, B13, B14), 36, 1)</f>
        <v/>
      </c>
      <c r="C54" s="4">
        <f>INDEX(ACT_COPULA_STUDENT_T(B7:D9, B12, B13, B14), 36, 2)</f>
        <v/>
      </c>
      <c r="D54" s="4">
        <f>INDEX(ACT_COPULA_STUDENT_T(B7:D9, B12, B13, B14), 36, 3)</f>
        <v/>
      </c>
    </row>
    <row r="55">
      <c r="A55" s="4" t="n">
        <v>37</v>
      </c>
      <c r="B55" s="4">
        <f>INDEX(ACT_COPULA_STUDENT_T(B7:D9, B12, B13, B14), 37, 1)</f>
        <v/>
      </c>
      <c r="C55" s="4">
        <f>INDEX(ACT_COPULA_STUDENT_T(B7:D9, B12, B13, B14), 37, 2)</f>
        <v/>
      </c>
      <c r="D55" s="4">
        <f>INDEX(ACT_COPULA_STUDENT_T(B7:D9, B12, B13, B14), 37, 3)</f>
        <v/>
      </c>
    </row>
    <row r="56">
      <c r="A56" s="4" t="n">
        <v>38</v>
      </c>
      <c r="B56" s="4">
        <f>INDEX(ACT_COPULA_STUDENT_T(B7:D9, B12, B13, B14), 38, 1)</f>
        <v/>
      </c>
      <c r="C56" s="4">
        <f>INDEX(ACT_COPULA_STUDENT_T(B7:D9, B12, B13, B14), 38, 2)</f>
        <v/>
      </c>
      <c r="D56" s="4">
        <f>INDEX(ACT_COPULA_STUDENT_T(B7:D9, B12, B13, B14), 38, 3)</f>
        <v/>
      </c>
    </row>
    <row r="57">
      <c r="A57" s="4" t="n">
        <v>39</v>
      </c>
      <c r="B57" s="4">
        <f>INDEX(ACT_COPULA_STUDENT_T(B7:D9, B12, B13, B14), 39, 1)</f>
        <v/>
      </c>
      <c r="C57" s="4">
        <f>INDEX(ACT_COPULA_STUDENT_T(B7:D9, B12, B13, B14), 39, 2)</f>
        <v/>
      </c>
      <c r="D57" s="4">
        <f>INDEX(ACT_COPULA_STUDENT_T(B7:D9, B12, B13, B14), 39, 3)</f>
        <v/>
      </c>
    </row>
    <row r="58">
      <c r="A58" s="4" t="n">
        <v>40</v>
      </c>
      <c r="B58" s="4">
        <f>INDEX(ACT_COPULA_STUDENT_T(B7:D9, B12, B13, B14), 40, 1)</f>
        <v/>
      </c>
      <c r="C58" s="4">
        <f>INDEX(ACT_COPULA_STUDENT_T(B7:D9, B12, B13, B14), 40, 2)</f>
        <v/>
      </c>
      <c r="D58" s="4">
        <f>INDEX(ACT_COPULA_STUDENT_T(B7:D9, B12, B13, B14), 40, 3)</f>
        <v/>
      </c>
    </row>
    <row r="59">
      <c r="A59" s="4" t="n">
        <v>41</v>
      </c>
      <c r="B59" s="4">
        <f>INDEX(ACT_COPULA_STUDENT_T(B7:D9, B12, B13, B14), 41, 1)</f>
        <v/>
      </c>
      <c r="C59" s="4">
        <f>INDEX(ACT_COPULA_STUDENT_T(B7:D9, B12, B13, B14), 41, 2)</f>
        <v/>
      </c>
      <c r="D59" s="4">
        <f>INDEX(ACT_COPULA_STUDENT_T(B7:D9, B12, B13, B14), 41, 3)</f>
        <v/>
      </c>
    </row>
    <row r="60">
      <c r="A60" s="4" t="n">
        <v>42</v>
      </c>
      <c r="B60" s="4">
        <f>INDEX(ACT_COPULA_STUDENT_T(B7:D9, B12, B13, B14), 42, 1)</f>
        <v/>
      </c>
      <c r="C60" s="4">
        <f>INDEX(ACT_COPULA_STUDENT_T(B7:D9, B12, B13, B14), 42, 2)</f>
        <v/>
      </c>
      <c r="D60" s="4">
        <f>INDEX(ACT_COPULA_STUDENT_T(B7:D9, B12, B13, B14), 42, 3)</f>
        <v/>
      </c>
    </row>
    <row r="61">
      <c r="A61" s="4" t="n">
        <v>43</v>
      </c>
      <c r="B61" s="4">
        <f>INDEX(ACT_COPULA_STUDENT_T(B7:D9, B12, B13, B14), 43, 1)</f>
        <v/>
      </c>
      <c r="C61" s="4">
        <f>INDEX(ACT_COPULA_STUDENT_T(B7:D9, B12, B13, B14), 43, 2)</f>
        <v/>
      </c>
      <c r="D61" s="4">
        <f>INDEX(ACT_COPULA_STUDENT_T(B7:D9, B12, B13, B14), 43, 3)</f>
        <v/>
      </c>
    </row>
    <row r="62">
      <c r="A62" s="4" t="n">
        <v>44</v>
      </c>
      <c r="B62" s="4">
        <f>INDEX(ACT_COPULA_STUDENT_T(B7:D9, B12, B13, B14), 44, 1)</f>
        <v/>
      </c>
      <c r="C62" s="4">
        <f>INDEX(ACT_COPULA_STUDENT_T(B7:D9, B12, B13, B14), 44, 2)</f>
        <v/>
      </c>
      <c r="D62" s="4">
        <f>INDEX(ACT_COPULA_STUDENT_T(B7:D9, B12, B13, B14), 44, 3)</f>
        <v/>
      </c>
    </row>
    <row r="63">
      <c r="A63" s="4" t="n">
        <v>45</v>
      </c>
      <c r="B63" s="4">
        <f>INDEX(ACT_COPULA_STUDENT_T(B7:D9, B12, B13, B14), 45, 1)</f>
        <v/>
      </c>
      <c r="C63" s="4">
        <f>INDEX(ACT_COPULA_STUDENT_T(B7:D9, B12, B13, B14), 45, 2)</f>
        <v/>
      </c>
      <c r="D63" s="4">
        <f>INDEX(ACT_COPULA_STUDENT_T(B7:D9, B12, B13, B14), 45, 3)</f>
        <v/>
      </c>
    </row>
    <row r="64">
      <c r="A64" s="4" t="n">
        <v>46</v>
      </c>
      <c r="B64" s="4">
        <f>INDEX(ACT_COPULA_STUDENT_T(B7:D9, B12, B13, B14), 46, 1)</f>
        <v/>
      </c>
      <c r="C64" s="4">
        <f>INDEX(ACT_COPULA_STUDENT_T(B7:D9, B12, B13, B14), 46, 2)</f>
        <v/>
      </c>
      <c r="D64" s="4">
        <f>INDEX(ACT_COPULA_STUDENT_T(B7:D9, B12, B13, B14), 46, 3)</f>
        <v/>
      </c>
    </row>
    <row r="65">
      <c r="A65" s="4" t="n">
        <v>47</v>
      </c>
      <c r="B65" s="4">
        <f>INDEX(ACT_COPULA_STUDENT_T(B7:D9, B12, B13, B14), 47, 1)</f>
        <v/>
      </c>
      <c r="C65" s="4">
        <f>INDEX(ACT_COPULA_STUDENT_T(B7:D9, B12, B13, B14), 47, 2)</f>
        <v/>
      </c>
      <c r="D65" s="4">
        <f>INDEX(ACT_COPULA_STUDENT_T(B7:D9, B12, B13, B14), 47, 3)</f>
        <v/>
      </c>
    </row>
    <row r="66">
      <c r="A66" s="4" t="n">
        <v>48</v>
      </c>
      <c r="B66" s="4">
        <f>INDEX(ACT_COPULA_STUDENT_T(B7:D9, B12, B13, B14), 48, 1)</f>
        <v/>
      </c>
      <c r="C66" s="4">
        <f>INDEX(ACT_COPULA_STUDENT_T(B7:D9, B12, B13, B14), 48, 2)</f>
        <v/>
      </c>
      <c r="D66" s="4">
        <f>INDEX(ACT_COPULA_STUDENT_T(B7:D9, B12, B13, B14), 48, 3)</f>
        <v/>
      </c>
    </row>
    <row r="67">
      <c r="A67" s="4" t="n">
        <v>49</v>
      </c>
      <c r="B67" s="4">
        <f>INDEX(ACT_COPULA_STUDENT_T(B7:D9, B12, B13, B14), 49, 1)</f>
        <v/>
      </c>
      <c r="C67" s="4">
        <f>INDEX(ACT_COPULA_STUDENT_T(B7:D9, B12, B13, B14), 49, 2)</f>
        <v/>
      </c>
      <c r="D67" s="4">
        <f>INDEX(ACT_COPULA_STUDENT_T(B7:D9, B12, B13, B14), 49, 3)</f>
        <v/>
      </c>
    </row>
    <row r="68">
      <c r="A68" s="4" t="n">
        <v>50</v>
      </c>
      <c r="B68" s="4">
        <f>INDEX(ACT_COPULA_STUDENT_T(B7:D9, B12, B13, B14), 50, 1)</f>
        <v/>
      </c>
      <c r="C68" s="4">
        <f>INDEX(ACT_COPULA_STUDENT_T(B7:D9, B12, B13, B14), 50, 2)</f>
        <v/>
      </c>
      <c r="D68" s="4">
        <f>INDEX(ACT_COPULA_STUDENT_T(B7:D9, B12, B13, B14), 50, 3)</f>
        <v/>
      </c>
    </row>
    <row r="69">
      <c r="A69" s="4" t="n">
        <v>51</v>
      </c>
      <c r="B69" s="4">
        <f>INDEX(ACT_COPULA_STUDENT_T(B7:D9, B12, B13, B14), 51, 1)</f>
        <v/>
      </c>
      <c r="C69" s="4">
        <f>INDEX(ACT_COPULA_STUDENT_T(B7:D9, B12, B13, B14), 51, 2)</f>
        <v/>
      </c>
      <c r="D69" s="4">
        <f>INDEX(ACT_COPULA_STUDENT_T(B7:D9, B12, B13, B14), 51, 3)</f>
        <v/>
      </c>
    </row>
    <row r="70">
      <c r="A70" s="4" t="n">
        <v>52</v>
      </c>
      <c r="B70" s="4">
        <f>INDEX(ACT_COPULA_STUDENT_T(B7:D9, B12, B13, B14), 52, 1)</f>
        <v/>
      </c>
      <c r="C70" s="4">
        <f>INDEX(ACT_COPULA_STUDENT_T(B7:D9, B12, B13, B14), 52, 2)</f>
        <v/>
      </c>
      <c r="D70" s="4">
        <f>INDEX(ACT_COPULA_STUDENT_T(B7:D9, B12, B13, B14), 52, 3)</f>
        <v/>
      </c>
    </row>
    <row r="71">
      <c r="A71" s="4" t="n">
        <v>53</v>
      </c>
      <c r="B71" s="4">
        <f>INDEX(ACT_COPULA_STUDENT_T(B7:D9, B12, B13, B14), 53, 1)</f>
        <v/>
      </c>
      <c r="C71" s="4">
        <f>INDEX(ACT_COPULA_STUDENT_T(B7:D9, B12, B13, B14), 53, 2)</f>
        <v/>
      </c>
      <c r="D71" s="4">
        <f>INDEX(ACT_COPULA_STUDENT_T(B7:D9, B12, B13, B14), 53, 3)</f>
        <v/>
      </c>
    </row>
    <row r="72">
      <c r="A72" s="4" t="n">
        <v>54</v>
      </c>
      <c r="B72" s="4">
        <f>INDEX(ACT_COPULA_STUDENT_T(B7:D9, B12, B13, B14), 54, 1)</f>
        <v/>
      </c>
      <c r="C72" s="4">
        <f>INDEX(ACT_COPULA_STUDENT_T(B7:D9, B12, B13, B14), 54, 2)</f>
        <v/>
      </c>
      <c r="D72" s="4">
        <f>INDEX(ACT_COPULA_STUDENT_T(B7:D9, B12, B13, B14), 54, 3)</f>
        <v/>
      </c>
    </row>
    <row r="73">
      <c r="A73" s="4" t="n">
        <v>55</v>
      </c>
      <c r="B73" s="4">
        <f>INDEX(ACT_COPULA_STUDENT_T(B7:D9, B12, B13, B14), 55, 1)</f>
        <v/>
      </c>
      <c r="C73" s="4">
        <f>INDEX(ACT_COPULA_STUDENT_T(B7:D9, B12, B13, B14), 55, 2)</f>
        <v/>
      </c>
      <c r="D73" s="4">
        <f>INDEX(ACT_COPULA_STUDENT_T(B7:D9, B12, B13, B14), 55, 3)</f>
        <v/>
      </c>
    </row>
    <row r="74">
      <c r="A74" s="4" t="n">
        <v>56</v>
      </c>
      <c r="B74" s="4">
        <f>INDEX(ACT_COPULA_STUDENT_T(B7:D9, B12, B13, B14), 56, 1)</f>
        <v/>
      </c>
      <c r="C74" s="4">
        <f>INDEX(ACT_COPULA_STUDENT_T(B7:D9, B12, B13, B14), 56, 2)</f>
        <v/>
      </c>
      <c r="D74" s="4">
        <f>INDEX(ACT_COPULA_STUDENT_T(B7:D9, B12, B13, B14), 56, 3)</f>
        <v/>
      </c>
    </row>
    <row r="75">
      <c r="A75" s="4" t="n">
        <v>57</v>
      </c>
      <c r="B75" s="4">
        <f>INDEX(ACT_COPULA_STUDENT_T(B7:D9, B12, B13, B14), 57, 1)</f>
        <v/>
      </c>
      <c r="C75" s="4">
        <f>INDEX(ACT_COPULA_STUDENT_T(B7:D9, B12, B13, B14), 57, 2)</f>
        <v/>
      </c>
      <c r="D75" s="4">
        <f>INDEX(ACT_COPULA_STUDENT_T(B7:D9, B12, B13, B14), 57, 3)</f>
        <v/>
      </c>
    </row>
    <row r="76">
      <c r="A76" s="4" t="n">
        <v>58</v>
      </c>
      <c r="B76" s="4">
        <f>INDEX(ACT_COPULA_STUDENT_T(B7:D9, B12, B13, B14), 58, 1)</f>
        <v/>
      </c>
      <c r="C76" s="4">
        <f>INDEX(ACT_COPULA_STUDENT_T(B7:D9, B12, B13, B14), 58, 2)</f>
        <v/>
      </c>
      <c r="D76" s="4">
        <f>INDEX(ACT_COPULA_STUDENT_T(B7:D9, B12, B13, B14), 58, 3)</f>
        <v/>
      </c>
    </row>
    <row r="77">
      <c r="A77" s="4" t="n">
        <v>59</v>
      </c>
      <c r="B77" s="4">
        <f>INDEX(ACT_COPULA_STUDENT_T(B7:D9, B12, B13, B14), 59, 1)</f>
        <v/>
      </c>
      <c r="C77" s="4">
        <f>INDEX(ACT_COPULA_STUDENT_T(B7:D9, B12, B13, B14), 59, 2)</f>
        <v/>
      </c>
      <c r="D77" s="4">
        <f>INDEX(ACT_COPULA_STUDENT_T(B7:D9, B12, B13, B14), 59, 3)</f>
        <v/>
      </c>
    </row>
    <row r="78">
      <c r="A78" s="4" t="n">
        <v>60</v>
      </c>
      <c r="B78" s="4">
        <f>INDEX(ACT_COPULA_STUDENT_T(B7:D9, B12, B13, B14), 60, 1)</f>
        <v/>
      </c>
      <c r="C78" s="4">
        <f>INDEX(ACT_COPULA_STUDENT_T(B7:D9, B12, B13, B14), 60, 2)</f>
        <v/>
      </c>
      <c r="D78" s="4">
        <f>INDEX(ACT_COPULA_STUDENT_T(B7:D9, B12, B13, B14), 60, 3)</f>
        <v/>
      </c>
    </row>
    <row r="79">
      <c r="A79" s="4" t="n">
        <v>61</v>
      </c>
      <c r="B79" s="4">
        <f>INDEX(ACT_COPULA_STUDENT_T(B7:D9, B12, B13, B14), 61, 1)</f>
        <v/>
      </c>
      <c r="C79" s="4">
        <f>INDEX(ACT_COPULA_STUDENT_T(B7:D9, B12, B13, B14), 61, 2)</f>
        <v/>
      </c>
      <c r="D79" s="4">
        <f>INDEX(ACT_COPULA_STUDENT_T(B7:D9, B12, B13, B14), 61, 3)</f>
        <v/>
      </c>
    </row>
    <row r="80">
      <c r="A80" s="4" t="n">
        <v>62</v>
      </c>
      <c r="B80" s="4">
        <f>INDEX(ACT_COPULA_STUDENT_T(B7:D9, B12, B13, B14), 62, 1)</f>
        <v/>
      </c>
      <c r="C80" s="4">
        <f>INDEX(ACT_COPULA_STUDENT_T(B7:D9, B12, B13, B14), 62, 2)</f>
        <v/>
      </c>
      <c r="D80" s="4">
        <f>INDEX(ACT_COPULA_STUDENT_T(B7:D9, B12, B13, B14), 62, 3)</f>
        <v/>
      </c>
    </row>
    <row r="81">
      <c r="A81" s="4" t="n">
        <v>63</v>
      </c>
      <c r="B81" s="4">
        <f>INDEX(ACT_COPULA_STUDENT_T(B7:D9, B12, B13, B14), 63, 1)</f>
        <v/>
      </c>
      <c r="C81" s="4">
        <f>INDEX(ACT_COPULA_STUDENT_T(B7:D9, B12, B13, B14), 63, 2)</f>
        <v/>
      </c>
      <c r="D81" s="4">
        <f>INDEX(ACT_COPULA_STUDENT_T(B7:D9, B12, B13, B14), 63, 3)</f>
        <v/>
      </c>
    </row>
    <row r="82">
      <c r="A82" s="4" t="n">
        <v>64</v>
      </c>
      <c r="B82" s="4">
        <f>INDEX(ACT_COPULA_STUDENT_T(B7:D9, B12, B13, B14), 64, 1)</f>
        <v/>
      </c>
      <c r="C82" s="4">
        <f>INDEX(ACT_COPULA_STUDENT_T(B7:D9, B12, B13, B14), 64, 2)</f>
        <v/>
      </c>
      <c r="D82" s="4">
        <f>INDEX(ACT_COPULA_STUDENT_T(B7:D9, B12, B13, B14), 64, 3)</f>
        <v/>
      </c>
    </row>
    <row r="83">
      <c r="A83" s="4" t="n">
        <v>65</v>
      </c>
      <c r="B83" s="4">
        <f>INDEX(ACT_COPULA_STUDENT_T(B7:D9, B12, B13, B14), 65, 1)</f>
        <v/>
      </c>
      <c r="C83" s="4">
        <f>INDEX(ACT_COPULA_STUDENT_T(B7:D9, B12, B13, B14), 65, 2)</f>
        <v/>
      </c>
      <c r="D83" s="4">
        <f>INDEX(ACT_COPULA_STUDENT_T(B7:D9, B12, B13, B14), 65, 3)</f>
        <v/>
      </c>
    </row>
    <row r="84">
      <c r="A84" s="4" t="n">
        <v>66</v>
      </c>
      <c r="B84" s="4">
        <f>INDEX(ACT_COPULA_STUDENT_T(B7:D9, B12, B13, B14), 66, 1)</f>
        <v/>
      </c>
      <c r="C84" s="4">
        <f>INDEX(ACT_COPULA_STUDENT_T(B7:D9, B12, B13, B14), 66, 2)</f>
        <v/>
      </c>
      <c r="D84" s="4">
        <f>INDEX(ACT_COPULA_STUDENT_T(B7:D9, B12, B13, B14), 66, 3)</f>
        <v/>
      </c>
    </row>
    <row r="85">
      <c r="A85" s="4" t="n">
        <v>67</v>
      </c>
      <c r="B85" s="4">
        <f>INDEX(ACT_COPULA_STUDENT_T(B7:D9, B12, B13, B14), 67, 1)</f>
        <v/>
      </c>
      <c r="C85" s="4">
        <f>INDEX(ACT_COPULA_STUDENT_T(B7:D9, B12, B13, B14), 67, 2)</f>
        <v/>
      </c>
      <c r="D85" s="4">
        <f>INDEX(ACT_COPULA_STUDENT_T(B7:D9, B12, B13, B14), 67, 3)</f>
        <v/>
      </c>
    </row>
    <row r="86">
      <c r="A86" s="4" t="n">
        <v>68</v>
      </c>
      <c r="B86" s="4">
        <f>INDEX(ACT_COPULA_STUDENT_T(B7:D9, B12, B13, B14), 68, 1)</f>
        <v/>
      </c>
      <c r="C86" s="4">
        <f>INDEX(ACT_COPULA_STUDENT_T(B7:D9, B12, B13, B14), 68, 2)</f>
        <v/>
      </c>
      <c r="D86" s="4">
        <f>INDEX(ACT_COPULA_STUDENT_T(B7:D9, B12, B13, B14), 68, 3)</f>
        <v/>
      </c>
    </row>
    <row r="87">
      <c r="A87" s="4" t="n">
        <v>69</v>
      </c>
      <c r="B87" s="4">
        <f>INDEX(ACT_COPULA_STUDENT_T(B7:D9, B12, B13, B14), 69, 1)</f>
        <v/>
      </c>
      <c r="C87" s="4">
        <f>INDEX(ACT_COPULA_STUDENT_T(B7:D9, B12, B13, B14), 69, 2)</f>
        <v/>
      </c>
      <c r="D87" s="4">
        <f>INDEX(ACT_COPULA_STUDENT_T(B7:D9, B12, B13, B14), 69, 3)</f>
        <v/>
      </c>
    </row>
    <row r="88">
      <c r="A88" s="4" t="n">
        <v>70</v>
      </c>
      <c r="B88" s="4">
        <f>INDEX(ACT_COPULA_STUDENT_T(B7:D9, B12, B13, B14), 70, 1)</f>
        <v/>
      </c>
      <c r="C88" s="4">
        <f>INDEX(ACT_COPULA_STUDENT_T(B7:D9, B12, B13, B14), 70, 2)</f>
        <v/>
      </c>
      <c r="D88" s="4">
        <f>INDEX(ACT_COPULA_STUDENT_T(B7:D9, B12, B13, B14), 70, 3)</f>
        <v/>
      </c>
    </row>
    <row r="89">
      <c r="A89" s="4" t="n">
        <v>71</v>
      </c>
      <c r="B89" s="4">
        <f>INDEX(ACT_COPULA_STUDENT_T(B7:D9, B12, B13, B14), 71, 1)</f>
        <v/>
      </c>
      <c r="C89" s="4">
        <f>INDEX(ACT_COPULA_STUDENT_T(B7:D9, B12, B13, B14), 71, 2)</f>
        <v/>
      </c>
      <c r="D89" s="4">
        <f>INDEX(ACT_COPULA_STUDENT_T(B7:D9, B12, B13, B14), 71, 3)</f>
        <v/>
      </c>
    </row>
    <row r="90">
      <c r="A90" s="4" t="n">
        <v>72</v>
      </c>
      <c r="B90" s="4">
        <f>INDEX(ACT_COPULA_STUDENT_T(B7:D9, B12, B13, B14), 72, 1)</f>
        <v/>
      </c>
      <c r="C90" s="4">
        <f>INDEX(ACT_COPULA_STUDENT_T(B7:D9, B12, B13, B14), 72, 2)</f>
        <v/>
      </c>
      <c r="D90" s="4">
        <f>INDEX(ACT_COPULA_STUDENT_T(B7:D9, B12, B13, B14), 72, 3)</f>
        <v/>
      </c>
    </row>
    <row r="91">
      <c r="A91" s="4" t="n">
        <v>73</v>
      </c>
      <c r="B91" s="4">
        <f>INDEX(ACT_COPULA_STUDENT_T(B7:D9, B12, B13, B14), 73, 1)</f>
        <v/>
      </c>
      <c r="C91" s="4">
        <f>INDEX(ACT_COPULA_STUDENT_T(B7:D9, B12, B13, B14), 73, 2)</f>
        <v/>
      </c>
      <c r="D91" s="4">
        <f>INDEX(ACT_COPULA_STUDENT_T(B7:D9, B12, B13, B14), 73, 3)</f>
        <v/>
      </c>
    </row>
    <row r="92">
      <c r="A92" s="4" t="n">
        <v>74</v>
      </c>
      <c r="B92" s="4">
        <f>INDEX(ACT_COPULA_STUDENT_T(B7:D9, B12, B13, B14), 74, 1)</f>
        <v/>
      </c>
      <c r="C92" s="4">
        <f>INDEX(ACT_COPULA_STUDENT_T(B7:D9, B12, B13, B14), 74, 2)</f>
        <v/>
      </c>
      <c r="D92" s="4">
        <f>INDEX(ACT_COPULA_STUDENT_T(B7:D9, B12, B13, B14), 74, 3)</f>
        <v/>
      </c>
    </row>
    <row r="93">
      <c r="A93" s="4" t="n">
        <v>75</v>
      </c>
      <c r="B93" s="4">
        <f>INDEX(ACT_COPULA_STUDENT_T(B7:D9, B12, B13, B14), 75, 1)</f>
        <v/>
      </c>
      <c r="C93" s="4">
        <f>INDEX(ACT_COPULA_STUDENT_T(B7:D9, B12, B13, B14), 75, 2)</f>
        <v/>
      </c>
      <c r="D93" s="4">
        <f>INDEX(ACT_COPULA_STUDENT_T(B7:D9, B12, B13, B14), 75, 3)</f>
        <v/>
      </c>
    </row>
    <row r="94">
      <c r="A94" s="4" t="n">
        <v>76</v>
      </c>
      <c r="B94" s="4">
        <f>INDEX(ACT_COPULA_STUDENT_T(B7:D9, B12, B13, B14), 76, 1)</f>
        <v/>
      </c>
      <c r="C94" s="4">
        <f>INDEX(ACT_COPULA_STUDENT_T(B7:D9, B12, B13, B14), 76, 2)</f>
        <v/>
      </c>
      <c r="D94" s="4">
        <f>INDEX(ACT_COPULA_STUDENT_T(B7:D9, B12, B13, B14), 76, 3)</f>
        <v/>
      </c>
    </row>
    <row r="95">
      <c r="A95" s="4" t="n">
        <v>77</v>
      </c>
      <c r="B95" s="4">
        <f>INDEX(ACT_COPULA_STUDENT_T(B7:D9, B12, B13, B14), 77, 1)</f>
        <v/>
      </c>
      <c r="C95" s="4">
        <f>INDEX(ACT_COPULA_STUDENT_T(B7:D9, B12, B13, B14), 77, 2)</f>
        <v/>
      </c>
      <c r="D95" s="4">
        <f>INDEX(ACT_COPULA_STUDENT_T(B7:D9, B12, B13, B14), 77, 3)</f>
        <v/>
      </c>
    </row>
    <row r="96">
      <c r="A96" s="4" t="n">
        <v>78</v>
      </c>
      <c r="B96" s="4">
        <f>INDEX(ACT_COPULA_STUDENT_T(B7:D9, B12, B13, B14), 78, 1)</f>
        <v/>
      </c>
      <c r="C96" s="4">
        <f>INDEX(ACT_COPULA_STUDENT_T(B7:D9, B12, B13, B14), 78, 2)</f>
        <v/>
      </c>
      <c r="D96" s="4">
        <f>INDEX(ACT_COPULA_STUDENT_T(B7:D9, B12, B13, B14), 78, 3)</f>
        <v/>
      </c>
    </row>
    <row r="97">
      <c r="A97" s="4" t="n">
        <v>79</v>
      </c>
      <c r="B97" s="4">
        <f>INDEX(ACT_COPULA_STUDENT_T(B7:D9, B12, B13, B14), 79, 1)</f>
        <v/>
      </c>
      <c r="C97" s="4">
        <f>INDEX(ACT_COPULA_STUDENT_T(B7:D9, B12, B13, B14), 79, 2)</f>
        <v/>
      </c>
      <c r="D97" s="4">
        <f>INDEX(ACT_COPULA_STUDENT_T(B7:D9, B12, B13, B14), 79, 3)</f>
        <v/>
      </c>
    </row>
    <row r="98">
      <c r="A98" s="4" t="n">
        <v>80</v>
      </c>
      <c r="B98" s="4">
        <f>INDEX(ACT_COPULA_STUDENT_T(B7:D9, B12, B13, B14), 80, 1)</f>
        <v/>
      </c>
      <c r="C98" s="4">
        <f>INDEX(ACT_COPULA_STUDENT_T(B7:D9, B12, B13, B14), 80, 2)</f>
        <v/>
      </c>
      <c r="D98" s="4">
        <f>INDEX(ACT_COPULA_STUDENT_T(B7:D9, B12, B13, B14), 80, 3)</f>
        <v/>
      </c>
    </row>
    <row r="99">
      <c r="A99" s="4" t="n">
        <v>81</v>
      </c>
      <c r="B99" s="4">
        <f>INDEX(ACT_COPULA_STUDENT_T(B7:D9, B12, B13, B14), 81, 1)</f>
        <v/>
      </c>
      <c r="C99" s="4">
        <f>INDEX(ACT_COPULA_STUDENT_T(B7:D9, B12, B13, B14), 81, 2)</f>
        <v/>
      </c>
      <c r="D99" s="4">
        <f>INDEX(ACT_COPULA_STUDENT_T(B7:D9, B12, B13, B14), 81, 3)</f>
        <v/>
      </c>
    </row>
    <row r="100">
      <c r="A100" s="4" t="n">
        <v>82</v>
      </c>
      <c r="B100" s="4">
        <f>INDEX(ACT_COPULA_STUDENT_T(B7:D9, B12, B13, B14), 82, 1)</f>
        <v/>
      </c>
      <c r="C100" s="4">
        <f>INDEX(ACT_COPULA_STUDENT_T(B7:D9, B12, B13, B14), 82, 2)</f>
        <v/>
      </c>
      <c r="D100" s="4">
        <f>INDEX(ACT_COPULA_STUDENT_T(B7:D9, B12, B13, B14), 82, 3)</f>
        <v/>
      </c>
    </row>
    <row r="101">
      <c r="A101" s="4" t="n">
        <v>83</v>
      </c>
      <c r="B101" s="4">
        <f>INDEX(ACT_COPULA_STUDENT_T(B7:D9, B12, B13, B14), 83, 1)</f>
        <v/>
      </c>
      <c r="C101" s="4">
        <f>INDEX(ACT_COPULA_STUDENT_T(B7:D9, B12, B13, B14), 83, 2)</f>
        <v/>
      </c>
      <c r="D101" s="4">
        <f>INDEX(ACT_COPULA_STUDENT_T(B7:D9, B12, B13, B14), 83, 3)</f>
        <v/>
      </c>
    </row>
    <row r="102">
      <c r="A102" s="4" t="n">
        <v>84</v>
      </c>
      <c r="B102" s="4">
        <f>INDEX(ACT_COPULA_STUDENT_T(B7:D9, B12, B13, B14), 84, 1)</f>
        <v/>
      </c>
      <c r="C102" s="4">
        <f>INDEX(ACT_COPULA_STUDENT_T(B7:D9, B12, B13, B14), 84, 2)</f>
        <v/>
      </c>
      <c r="D102" s="4">
        <f>INDEX(ACT_COPULA_STUDENT_T(B7:D9, B12, B13, B14), 84, 3)</f>
        <v/>
      </c>
    </row>
    <row r="103">
      <c r="A103" s="4" t="n">
        <v>85</v>
      </c>
      <c r="B103" s="4">
        <f>INDEX(ACT_COPULA_STUDENT_T(B7:D9, B12, B13, B14), 85, 1)</f>
        <v/>
      </c>
      <c r="C103" s="4">
        <f>INDEX(ACT_COPULA_STUDENT_T(B7:D9, B12, B13, B14), 85, 2)</f>
        <v/>
      </c>
      <c r="D103" s="4">
        <f>INDEX(ACT_COPULA_STUDENT_T(B7:D9, B12, B13, B14), 85, 3)</f>
        <v/>
      </c>
    </row>
    <row r="104">
      <c r="A104" s="4" t="n">
        <v>86</v>
      </c>
      <c r="B104" s="4">
        <f>INDEX(ACT_COPULA_STUDENT_T(B7:D9, B12, B13, B14), 86, 1)</f>
        <v/>
      </c>
      <c r="C104" s="4">
        <f>INDEX(ACT_COPULA_STUDENT_T(B7:D9, B12, B13, B14), 86, 2)</f>
        <v/>
      </c>
      <c r="D104" s="4">
        <f>INDEX(ACT_COPULA_STUDENT_T(B7:D9, B12, B13, B14), 86, 3)</f>
        <v/>
      </c>
    </row>
    <row r="105">
      <c r="A105" s="4" t="n">
        <v>87</v>
      </c>
      <c r="B105" s="4">
        <f>INDEX(ACT_COPULA_STUDENT_T(B7:D9, B12, B13, B14), 87, 1)</f>
        <v/>
      </c>
      <c r="C105" s="4">
        <f>INDEX(ACT_COPULA_STUDENT_T(B7:D9, B12, B13, B14), 87, 2)</f>
        <v/>
      </c>
      <c r="D105" s="4">
        <f>INDEX(ACT_COPULA_STUDENT_T(B7:D9, B12, B13, B14), 87, 3)</f>
        <v/>
      </c>
    </row>
    <row r="106">
      <c r="A106" s="4" t="n">
        <v>88</v>
      </c>
      <c r="B106" s="4">
        <f>INDEX(ACT_COPULA_STUDENT_T(B7:D9, B12, B13, B14), 88, 1)</f>
        <v/>
      </c>
      <c r="C106" s="4">
        <f>INDEX(ACT_COPULA_STUDENT_T(B7:D9, B12, B13, B14), 88, 2)</f>
        <v/>
      </c>
      <c r="D106" s="4">
        <f>INDEX(ACT_COPULA_STUDENT_T(B7:D9, B12, B13, B14), 88, 3)</f>
        <v/>
      </c>
    </row>
    <row r="107">
      <c r="A107" s="4" t="n">
        <v>89</v>
      </c>
      <c r="B107" s="4">
        <f>INDEX(ACT_COPULA_STUDENT_T(B7:D9, B12, B13, B14), 89, 1)</f>
        <v/>
      </c>
      <c r="C107" s="4">
        <f>INDEX(ACT_COPULA_STUDENT_T(B7:D9, B12, B13, B14), 89, 2)</f>
        <v/>
      </c>
      <c r="D107" s="4">
        <f>INDEX(ACT_COPULA_STUDENT_T(B7:D9, B12, B13, B14), 89, 3)</f>
        <v/>
      </c>
    </row>
    <row r="108">
      <c r="A108" s="4" t="n">
        <v>90</v>
      </c>
      <c r="B108" s="4">
        <f>INDEX(ACT_COPULA_STUDENT_T(B7:D9, B12, B13, B14), 90, 1)</f>
        <v/>
      </c>
      <c r="C108" s="4">
        <f>INDEX(ACT_COPULA_STUDENT_T(B7:D9, B12, B13, B14), 90, 2)</f>
        <v/>
      </c>
      <c r="D108" s="4">
        <f>INDEX(ACT_COPULA_STUDENT_T(B7:D9, B12, B13, B14), 90, 3)</f>
        <v/>
      </c>
    </row>
    <row r="109">
      <c r="A109" s="4" t="n">
        <v>91</v>
      </c>
      <c r="B109" s="4">
        <f>INDEX(ACT_COPULA_STUDENT_T(B7:D9, B12, B13, B14), 91, 1)</f>
        <v/>
      </c>
      <c r="C109" s="4">
        <f>INDEX(ACT_COPULA_STUDENT_T(B7:D9, B12, B13, B14), 91, 2)</f>
        <v/>
      </c>
      <c r="D109" s="4">
        <f>INDEX(ACT_COPULA_STUDENT_T(B7:D9, B12, B13, B14), 91, 3)</f>
        <v/>
      </c>
    </row>
    <row r="110">
      <c r="A110" s="4" t="n">
        <v>92</v>
      </c>
      <c r="B110" s="4">
        <f>INDEX(ACT_COPULA_STUDENT_T(B7:D9, B12, B13, B14), 92, 1)</f>
        <v/>
      </c>
      <c r="C110" s="4">
        <f>INDEX(ACT_COPULA_STUDENT_T(B7:D9, B12, B13, B14), 92, 2)</f>
        <v/>
      </c>
      <c r="D110" s="4">
        <f>INDEX(ACT_COPULA_STUDENT_T(B7:D9, B12, B13, B14), 92, 3)</f>
        <v/>
      </c>
    </row>
    <row r="111">
      <c r="A111" s="4" t="n">
        <v>93</v>
      </c>
      <c r="B111" s="4">
        <f>INDEX(ACT_COPULA_STUDENT_T(B7:D9, B12, B13, B14), 93, 1)</f>
        <v/>
      </c>
      <c r="C111" s="4">
        <f>INDEX(ACT_COPULA_STUDENT_T(B7:D9, B12, B13, B14), 93, 2)</f>
        <v/>
      </c>
      <c r="D111" s="4">
        <f>INDEX(ACT_COPULA_STUDENT_T(B7:D9, B12, B13, B14), 93, 3)</f>
        <v/>
      </c>
    </row>
    <row r="112">
      <c r="A112" s="4" t="n">
        <v>94</v>
      </c>
      <c r="B112" s="4">
        <f>INDEX(ACT_COPULA_STUDENT_T(B7:D9, B12, B13, B14), 94, 1)</f>
        <v/>
      </c>
      <c r="C112" s="4">
        <f>INDEX(ACT_COPULA_STUDENT_T(B7:D9, B12, B13, B14), 94, 2)</f>
        <v/>
      </c>
      <c r="D112" s="4">
        <f>INDEX(ACT_COPULA_STUDENT_T(B7:D9, B12, B13, B14), 94, 3)</f>
        <v/>
      </c>
    </row>
    <row r="113">
      <c r="A113" s="4" t="n">
        <v>95</v>
      </c>
      <c r="B113" s="4">
        <f>INDEX(ACT_COPULA_STUDENT_T(B7:D9, B12, B13, B14), 95, 1)</f>
        <v/>
      </c>
      <c r="C113" s="4">
        <f>INDEX(ACT_COPULA_STUDENT_T(B7:D9, B12, B13, B14), 95, 2)</f>
        <v/>
      </c>
      <c r="D113" s="4">
        <f>INDEX(ACT_COPULA_STUDENT_T(B7:D9, B12, B13, B14), 95, 3)</f>
        <v/>
      </c>
    </row>
    <row r="114">
      <c r="A114" s="4" t="n">
        <v>96</v>
      </c>
      <c r="B114" s="4">
        <f>INDEX(ACT_COPULA_STUDENT_T(B7:D9, B12, B13, B14), 96, 1)</f>
        <v/>
      </c>
      <c r="C114" s="4">
        <f>INDEX(ACT_COPULA_STUDENT_T(B7:D9, B12, B13, B14), 96, 2)</f>
        <v/>
      </c>
      <c r="D114" s="4">
        <f>INDEX(ACT_COPULA_STUDENT_T(B7:D9, B12, B13, B14), 96, 3)</f>
        <v/>
      </c>
    </row>
    <row r="115">
      <c r="A115" s="4" t="n">
        <v>97</v>
      </c>
      <c r="B115" s="4">
        <f>INDEX(ACT_COPULA_STUDENT_T(B7:D9, B12, B13, B14), 97, 1)</f>
        <v/>
      </c>
      <c r="C115" s="4">
        <f>INDEX(ACT_COPULA_STUDENT_T(B7:D9, B12, B13, B14), 97, 2)</f>
        <v/>
      </c>
      <c r="D115" s="4">
        <f>INDEX(ACT_COPULA_STUDENT_T(B7:D9, B12, B13, B14), 97, 3)</f>
        <v/>
      </c>
    </row>
    <row r="116">
      <c r="A116" s="4" t="n">
        <v>98</v>
      </c>
      <c r="B116" s="4">
        <f>INDEX(ACT_COPULA_STUDENT_T(B7:D9, B12, B13, B14), 98, 1)</f>
        <v/>
      </c>
      <c r="C116" s="4">
        <f>INDEX(ACT_COPULA_STUDENT_T(B7:D9, B12, B13, B14), 98, 2)</f>
        <v/>
      </c>
      <c r="D116" s="4">
        <f>INDEX(ACT_COPULA_STUDENT_T(B7:D9, B12, B13, B14), 98, 3)</f>
        <v/>
      </c>
    </row>
    <row r="117">
      <c r="A117" s="4" t="n">
        <v>99</v>
      </c>
      <c r="B117" s="4">
        <f>INDEX(ACT_COPULA_STUDENT_T(B7:D9, B12, B13, B14), 99, 1)</f>
        <v/>
      </c>
      <c r="C117" s="4">
        <f>INDEX(ACT_COPULA_STUDENT_T(B7:D9, B12, B13, B14), 99, 2)</f>
        <v/>
      </c>
      <c r="D117" s="4">
        <f>INDEX(ACT_COPULA_STUDENT_T(B7:D9, B12, B13, B14), 99, 3)</f>
        <v/>
      </c>
    </row>
    <row r="118">
      <c r="A118" s="4" t="n">
        <v>100</v>
      </c>
      <c r="B118" s="4">
        <f>INDEX(ACT_COPULA_STUDENT_T(B7:D9, B12, B13, B14), 100, 1)</f>
        <v/>
      </c>
      <c r="C118" s="4">
        <f>INDEX(ACT_COPULA_STUDENT_T(B7:D9, B12, B13, B14), 100, 2)</f>
        <v/>
      </c>
      <c r="D118" s="4">
        <f>INDEX(ACT_COPULA_STUDENT_T(B7:D9, B12, B13, B14), 100, 3)</f>
        <v/>
      </c>
    </row>
    <row r="120">
      <c r="A120" s="6" t="inlineStr">
        <is>
          <t>Note: Results are uniform[0,1] values. Apply inverse CDF to get desired marginal distributions.</t>
        </is>
      </c>
    </row>
  </sheetData>
  <conditionalFormatting sqref="B7:D9">
    <cfRule type="colorScale" priority="1">
      <colorScale>
        <cfvo type="num" val="0"/>
        <cfvo type="num" val="1"/>
        <color rgb="FFFFFFFF"/>
        <color rgb="FFFF6B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4"/>
    <col width="5" customWidth="1" min="5" max="5"/>
    <col width="16" customWidth="1" min="6" max="6"/>
    <col width="14" customWidth="1" min="7" max="9"/>
  </cols>
  <sheetData>
    <row r="1" ht="18.75" customHeight="1">
      <c r="A1" s="1" t="inlineStr">
        <is>
          <t>Aggregate Claims - Panjer Recursion</t>
        </is>
      </c>
    </row>
    <row r="3">
      <c r="A3" s="6" t="inlineStr">
        <is>
          <t>Compute S = X1 + X2 + ... + Xn where N ~ frequency, Xi ~ severity (iid)</t>
        </is>
      </c>
    </row>
    <row r="4">
      <c r="A4" s="6" t="inlineStr">
        <is>
          <t>Workflow: discretize severity -&gt; Panjer recursion -&gt; aggregate statistics</t>
        </is>
      </c>
    </row>
    <row r="6">
      <c r="A6" s="6" t="inlineStr">
        <is>
          <t>SECTION 1: SEVERITY DISCRETIZATION</t>
        </is>
      </c>
    </row>
    <row r="7">
      <c r="A7" s="6" t="inlineStr">
        <is>
          <t>Exponential(rate=1) discretized on grid h=0.5, m=20 points</t>
        </is>
      </c>
    </row>
    <row r="9">
      <c r="A9" s="2" t="inlineStr">
        <is>
          <t>Rate:</t>
        </is>
      </c>
      <c r="B9" t="n">
        <v>1</v>
      </c>
    </row>
    <row r="10">
      <c r="A10" s="2" t="inlineStr">
        <is>
          <t>Grid spacing (h):</t>
        </is>
      </c>
      <c r="B10" t="n">
        <v>0.5</v>
      </c>
    </row>
    <row r="11">
      <c r="A11" s="2" t="inlineStr">
        <is>
          <t>Grid points (m):</t>
        </is>
      </c>
      <c r="B11" t="n">
        <v>20</v>
      </c>
    </row>
    <row r="13">
      <c r="A13" s="3" t="inlineStr">
        <is>
          <t>Index (s)</t>
        </is>
      </c>
      <c r="B13" s="3" t="inlineStr">
        <is>
          <t>Value (s*h)</t>
        </is>
      </c>
      <c r="C13" s="3" t="inlineStr">
        <is>
          <t>PMF f(s)</t>
        </is>
      </c>
    </row>
    <row r="14">
      <c r="A14" s="7" t="n">
        <v>0</v>
      </c>
      <c r="B14" s="7" t="n">
        <v>0</v>
      </c>
      <c r="C14" s="14">
        <f>INDEX(ACT_DISCRETIZE_EXPONENTIAL(B9, B10, B11), 1)</f>
        <v/>
      </c>
    </row>
    <row r="15">
      <c r="A15" s="7" t="n">
        <v>1</v>
      </c>
      <c r="B15" s="7" t="n">
        <v>0.5</v>
      </c>
      <c r="C15" s="14">
        <f>INDEX(ACT_DISCRETIZE_EXPONENTIAL(B9, B10, B11), 2)</f>
        <v/>
      </c>
    </row>
    <row r="16">
      <c r="A16" s="7" t="n">
        <v>2</v>
      </c>
      <c r="B16" s="7" t="n">
        <v>1</v>
      </c>
      <c r="C16" s="14">
        <f>INDEX(ACT_DISCRETIZE_EXPONENTIAL(B9, B10, B11), 3)</f>
        <v/>
      </c>
    </row>
    <row r="17">
      <c r="A17" s="7" t="n">
        <v>3</v>
      </c>
      <c r="B17" s="7" t="n">
        <v>1.5</v>
      </c>
      <c r="C17" s="14">
        <f>INDEX(ACT_DISCRETIZE_EXPONENTIAL(B9, B10, B11), 4)</f>
        <v/>
      </c>
    </row>
    <row r="18">
      <c r="A18" s="7" t="n">
        <v>4</v>
      </c>
      <c r="B18" s="7" t="n">
        <v>2</v>
      </c>
      <c r="C18" s="14">
        <f>INDEX(ACT_DISCRETIZE_EXPONENTIAL(B9, B10, B11), 5)</f>
        <v/>
      </c>
    </row>
    <row r="19">
      <c r="A19" s="7" t="n">
        <v>5</v>
      </c>
      <c r="B19" s="7" t="n">
        <v>2.5</v>
      </c>
      <c r="C19" s="14">
        <f>INDEX(ACT_DISCRETIZE_EXPONENTIAL(B9, B10, B11), 6)</f>
        <v/>
      </c>
    </row>
    <row r="20">
      <c r="A20" s="7" t="n">
        <v>6</v>
      </c>
      <c r="B20" s="7" t="n">
        <v>3</v>
      </c>
      <c r="C20" s="14">
        <f>INDEX(ACT_DISCRETIZE_EXPONENTIAL(B9, B10, B11), 7)</f>
        <v/>
      </c>
    </row>
    <row r="21">
      <c r="A21" s="7" t="n">
        <v>7</v>
      </c>
      <c r="B21" s="7" t="n">
        <v>3.5</v>
      </c>
      <c r="C21" s="14">
        <f>INDEX(ACT_DISCRETIZE_EXPONENTIAL(B9, B10, B11), 8)</f>
        <v/>
      </c>
    </row>
    <row r="22">
      <c r="A22" s="7" t="n">
        <v>8</v>
      </c>
      <c r="B22" s="7" t="n">
        <v>4</v>
      </c>
      <c r="C22" s="14">
        <f>INDEX(ACT_DISCRETIZE_EXPONENTIAL(B9, B10, B11), 9)</f>
        <v/>
      </c>
    </row>
    <row r="23">
      <c r="A23" s="7" t="n">
        <v>9</v>
      </c>
      <c r="B23" s="7" t="n">
        <v>4.5</v>
      </c>
      <c r="C23" s="14">
        <f>INDEX(ACT_DISCRETIZE_EXPONENTIAL(B9, B10, B11), 10)</f>
        <v/>
      </c>
    </row>
    <row r="24">
      <c r="A24" s="7" t="n">
        <v>10</v>
      </c>
      <c r="B24" s="7" t="n">
        <v>5</v>
      </c>
      <c r="C24" s="14">
        <f>INDEX(ACT_DISCRETIZE_EXPONENTIAL(B9, B10, B11), 11)</f>
        <v/>
      </c>
    </row>
    <row r="25">
      <c r="A25" s="7" t="n">
        <v>11</v>
      </c>
      <c r="B25" s="7" t="n">
        <v>5.5</v>
      </c>
      <c r="C25" s="14">
        <f>INDEX(ACT_DISCRETIZE_EXPONENTIAL(B9, B10, B11), 12)</f>
        <v/>
      </c>
    </row>
    <row r="26">
      <c r="A26" s="7" t="n">
        <v>12</v>
      </c>
      <c r="B26" s="7" t="n">
        <v>6</v>
      </c>
      <c r="C26" s="14">
        <f>INDEX(ACT_DISCRETIZE_EXPONENTIAL(B9, B10, B11), 13)</f>
        <v/>
      </c>
    </row>
    <row r="27">
      <c r="A27" s="7" t="n">
        <v>13</v>
      </c>
      <c r="B27" s="7" t="n">
        <v>6.5</v>
      </c>
      <c r="C27" s="14">
        <f>INDEX(ACT_DISCRETIZE_EXPONENTIAL(B9, B10, B11), 14)</f>
        <v/>
      </c>
    </row>
    <row r="28">
      <c r="A28" s="7" t="n">
        <v>14</v>
      </c>
      <c r="B28" s="7" t="n">
        <v>7</v>
      </c>
      <c r="C28" s="14">
        <f>INDEX(ACT_DISCRETIZE_EXPONENTIAL(B9, B10, B11), 15)</f>
        <v/>
      </c>
    </row>
    <row r="29">
      <c r="A29" s="7" t="n">
        <v>15</v>
      </c>
      <c r="B29" s="7" t="n">
        <v>7.5</v>
      </c>
      <c r="C29" s="14">
        <f>INDEX(ACT_DISCRETIZE_EXPONENTIAL(B9, B10, B11), 16)</f>
        <v/>
      </c>
    </row>
    <row r="30">
      <c r="A30" s="7" t="n">
        <v>16</v>
      </c>
      <c r="B30" s="7" t="n">
        <v>8</v>
      </c>
      <c r="C30" s="14">
        <f>INDEX(ACT_DISCRETIZE_EXPONENTIAL(B9, B10, B11), 17)</f>
        <v/>
      </c>
    </row>
    <row r="31">
      <c r="A31" s="7" t="n">
        <v>17</v>
      </c>
      <c r="B31" s="7" t="n">
        <v>8.5</v>
      </c>
      <c r="C31" s="14">
        <f>INDEX(ACT_DISCRETIZE_EXPONENTIAL(B9, B10, B11), 18)</f>
        <v/>
      </c>
    </row>
    <row r="32">
      <c r="A32" s="7" t="n">
        <v>18</v>
      </c>
      <c r="B32" s="7" t="n">
        <v>9</v>
      </c>
      <c r="C32" s="14">
        <f>INDEX(ACT_DISCRETIZE_EXPONENTIAL(B9, B10, B11), 19)</f>
        <v/>
      </c>
    </row>
    <row r="33">
      <c r="A33" s="7" t="n">
        <v>19</v>
      </c>
      <c r="B33" s="7" t="n">
        <v>9.5</v>
      </c>
      <c r="C33" s="14">
        <f>INDEX(ACT_DISCRETIZE_EXPONENTIAL(B9, B10, B11), 20)</f>
        <v/>
      </c>
    </row>
    <row r="35">
      <c r="A35" s="6" t="inlineStr">
        <is>
          <t>SECTION 2: PANJER RECURSION - Poisson(lambda=2) frequency</t>
        </is>
      </c>
    </row>
    <row r="36">
      <c r="A36" s="6" t="inlineStr">
        <is>
          <t>Aggregate PMF via Panjer recursion, max_s=40 -&gt; 41 values</t>
        </is>
      </c>
    </row>
    <row r="38">
      <c r="A38" s="2" t="inlineStr">
        <is>
          <t>Lambda:</t>
        </is>
      </c>
      <c r="B38" t="n">
        <v>2</v>
      </c>
    </row>
    <row r="39">
      <c r="A39" s="2" t="inlineStr">
        <is>
          <t>Max index:</t>
        </is>
      </c>
      <c r="B39" t="n">
        <v>40</v>
      </c>
    </row>
    <row r="41">
      <c r="A41" s="3" t="inlineStr">
        <is>
          <t>Index (s)</t>
        </is>
      </c>
      <c r="B41" s="3" t="inlineStr">
        <is>
          <t>Aggregate Loss (s*h)</t>
        </is>
      </c>
      <c r="C41" s="3" t="inlineStr">
        <is>
          <t>PMF P(S=s*h)</t>
        </is>
      </c>
      <c r="D41" s="3" t="inlineStr">
        <is>
          <t>CDF P(S&lt;=s*h)</t>
        </is>
      </c>
    </row>
    <row r="42">
      <c r="A42" s="7" t="n">
        <v>0</v>
      </c>
      <c r="B42" s="7" t="n">
        <v>0</v>
      </c>
      <c r="C42" s="14">
        <f>INDEX(ACT_PANJER_POISSON(B38, C14:C33, B39), 1)</f>
        <v/>
      </c>
      <c r="D42" s="14">
        <f>SUM(C42:C42)</f>
        <v/>
      </c>
    </row>
    <row r="43">
      <c r="A43" s="7" t="n">
        <v>1</v>
      </c>
      <c r="B43" s="7" t="n">
        <v>0.5</v>
      </c>
      <c r="C43" s="14">
        <f>INDEX(ACT_PANJER_POISSON(B38, C14:C33, B39), 2)</f>
        <v/>
      </c>
      <c r="D43" s="14">
        <f>SUM(C42:C43)</f>
        <v/>
      </c>
    </row>
    <row r="44">
      <c r="A44" s="7" t="n">
        <v>2</v>
      </c>
      <c r="B44" s="7" t="n">
        <v>1</v>
      </c>
      <c r="C44" s="14">
        <f>INDEX(ACT_PANJER_POISSON(B38, C14:C33, B39), 3)</f>
        <v/>
      </c>
      <c r="D44" s="14">
        <f>SUM(C42:C44)</f>
        <v/>
      </c>
    </row>
    <row r="45">
      <c r="A45" s="7" t="n">
        <v>3</v>
      </c>
      <c r="B45" s="7" t="n">
        <v>1.5</v>
      </c>
      <c r="C45" s="14">
        <f>INDEX(ACT_PANJER_POISSON(B38, C14:C33, B39), 4)</f>
        <v/>
      </c>
      <c r="D45" s="14">
        <f>SUM(C42:C45)</f>
        <v/>
      </c>
    </row>
    <row r="46">
      <c r="A46" s="7" t="n">
        <v>4</v>
      </c>
      <c r="B46" s="7" t="n">
        <v>2</v>
      </c>
      <c r="C46" s="14">
        <f>INDEX(ACT_PANJER_POISSON(B38, C14:C33, B39), 5)</f>
        <v/>
      </c>
      <c r="D46" s="14">
        <f>SUM(C42:C46)</f>
        <v/>
      </c>
    </row>
    <row r="47">
      <c r="A47" s="7" t="n">
        <v>5</v>
      </c>
      <c r="B47" s="7" t="n">
        <v>2.5</v>
      </c>
      <c r="C47" s="14">
        <f>INDEX(ACT_PANJER_POISSON(B38, C14:C33, B39), 6)</f>
        <v/>
      </c>
      <c r="D47" s="14">
        <f>SUM(C42:C47)</f>
        <v/>
      </c>
    </row>
    <row r="48">
      <c r="A48" s="7" t="n">
        <v>6</v>
      </c>
      <c r="B48" s="7" t="n">
        <v>3</v>
      </c>
      <c r="C48" s="14">
        <f>INDEX(ACT_PANJER_POISSON(B38, C14:C33, B39), 7)</f>
        <v/>
      </c>
      <c r="D48" s="14">
        <f>SUM(C42:C48)</f>
        <v/>
      </c>
    </row>
    <row r="49">
      <c r="A49" s="7" t="n">
        <v>7</v>
      </c>
      <c r="B49" s="7" t="n">
        <v>3.5</v>
      </c>
      <c r="C49" s="14">
        <f>INDEX(ACT_PANJER_POISSON(B38, C14:C33, B39), 8)</f>
        <v/>
      </c>
      <c r="D49" s="14">
        <f>SUM(C42:C49)</f>
        <v/>
      </c>
    </row>
    <row r="50">
      <c r="A50" s="7" t="n">
        <v>8</v>
      </c>
      <c r="B50" s="7" t="n">
        <v>4</v>
      </c>
      <c r="C50" s="14">
        <f>INDEX(ACT_PANJER_POISSON(B38, C14:C33, B39), 9)</f>
        <v/>
      </c>
      <c r="D50" s="14">
        <f>SUM(C42:C50)</f>
        <v/>
      </c>
    </row>
    <row r="51">
      <c r="A51" s="7" t="n">
        <v>9</v>
      </c>
      <c r="B51" s="7" t="n">
        <v>4.5</v>
      </c>
      <c r="C51" s="14">
        <f>INDEX(ACT_PANJER_POISSON(B38, C14:C33, B39), 10)</f>
        <v/>
      </c>
      <c r="D51" s="14">
        <f>SUM(C42:C51)</f>
        <v/>
      </c>
    </row>
    <row r="52">
      <c r="A52" s="7" t="n">
        <v>10</v>
      </c>
      <c r="B52" s="7" t="n">
        <v>5</v>
      </c>
      <c r="C52" s="14">
        <f>INDEX(ACT_PANJER_POISSON(B38, C14:C33, B39), 11)</f>
        <v/>
      </c>
      <c r="D52" s="14">
        <f>SUM(C42:C52)</f>
        <v/>
      </c>
    </row>
    <row r="53">
      <c r="A53" s="7" t="n">
        <v>11</v>
      </c>
      <c r="B53" s="7" t="n">
        <v>5.5</v>
      </c>
      <c r="C53" s="14">
        <f>INDEX(ACT_PANJER_POISSON(B38, C14:C33, B39), 12)</f>
        <v/>
      </c>
      <c r="D53" s="14">
        <f>SUM(C42:C53)</f>
        <v/>
      </c>
    </row>
    <row r="54">
      <c r="A54" s="7" t="n">
        <v>12</v>
      </c>
      <c r="B54" s="7" t="n">
        <v>6</v>
      </c>
      <c r="C54" s="14">
        <f>INDEX(ACT_PANJER_POISSON(B38, C14:C33, B39), 13)</f>
        <v/>
      </c>
      <c r="D54" s="14">
        <f>SUM(C42:C54)</f>
        <v/>
      </c>
    </row>
    <row r="55">
      <c r="A55" s="7" t="n">
        <v>13</v>
      </c>
      <c r="B55" s="7" t="n">
        <v>6.5</v>
      </c>
      <c r="C55" s="14">
        <f>INDEX(ACT_PANJER_POISSON(B38, C14:C33, B39), 14)</f>
        <v/>
      </c>
      <c r="D55" s="14">
        <f>SUM(C42:C55)</f>
        <v/>
      </c>
    </row>
    <row r="56">
      <c r="A56" s="7" t="n">
        <v>14</v>
      </c>
      <c r="B56" s="7" t="n">
        <v>7</v>
      </c>
      <c r="C56" s="14">
        <f>INDEX(ACT_PANJER_POISSON(B38, C14:C33, B39), 15)</f>
        <v/>
      </c>
      <c r="D56" s="14">
        <f>SUM(C42:C56)</f>
        <v/>
      </c>
    </row>
    <row r="57">
      <c r="A57" s="7" t="n">
        <v>15</v>
      </c>
      <c r="B57" s="7" t="n">
        <v>7.5</v>
      </c>
      <c r="C57" s="14">
        <f>INDEX(ACT_PANJER_POISSON(B38, C14:C33, B39), 16)</f>
        <v/>
      </c>
      <c r="D57" s="14">
        <f>SUM(C42:C57)</f>
        <v/>
      </c>
    </row>
    <row r="58">
      <c r="A58" s="7" t="n">
        <v>16</v>
      </c>
      <c r="B58" s="7" t="n">
        <v>8</v>
      </c>
      <c r="C58" s="14">
        <f>INDEX(ACT_PANJER_POISSON(B38, C14:C33, B39), 17)</f>
        <v/>
      </c>
      <c r="D58" s="14">
        <f>SUM(C42:C58)</f>
        <v/>
      </c>
    </row>
    <row r="59">
      <c r="A59" s="7" t="n">
        <v>17</v>
      </c>
      <c r="B59" s="7" t="n">
        <v>8.5</v>
      </c>
      <c r="C59" s="14">
        <f>INDEX(ACT_PANJER_POISSON(B38, C14:C33, B39), 18)</f>
        <v/>
      </c>
      <c r="D59" s="14">
        <f>SUM(C42:C59)</f>
        <v/>
      </c>
    </row>
    <row r="60">
      <c r="A60" s="7" t="n">
        <v>18</v>
      </c>
      <c r="B60" s="7" t="n">
        <v>9</v>
      </c>
      <c r="C60" s="14">
        <f>INDEX(ACT_PANJER_POISSON(B38, C14:C33, B39), 19)</f>
        <v/>
      </c>
      <c r="D60" s="14">
        <f>SUM(C42:C60)</f>
        <v/>
      </c>
    </row>
    <row r="61">
      <c r="A61" s="7" t="n">
        <v>19</v>
      </c>
      <c r="B61" s="7" t="n">
        <v>9.5</v>
      </c>
      <c r="C61" s="14">
        <f>INDEX(ACT_PANJER_POISSON(B38, C14:C33, B39), 20)</f>
        <v/>
      </c>
      <c r="D61" s="14">
        <f>SUM(C42:C61)</f>
        <v/>
      </c>
    </row>
    <row r="62">
      <c r="A62" s="7" t="n">
        <v>20</v>
      </c>
      <c r="B62" s="7" t="n">
        <v>10</v>
      </c>
      <c r="C62" s="14">
        <f>INDEX(ACT_PANJER_POISSON(B38, C14:C33, B39), 21)</f>
        <v/>
      </c>
      <c r="D62" s="14">
        <f>SUM(C42:C62)</f>
        <v/>
      </c>
    </row>
    <row r="63">
      <c r="A63" s="7" t="n">
        <v>21</v>
      </c>
      <c r="B63" s="7" t="n">
        <v>10.5</v>
      </c>
      <c r="C63" s="14">
        <f>INDEX(ACT_PANJER_POISSON(B38, C14:C33, B39), 22)</f>
        <v/>
      </c>
      <c r="D63" s="14">
        <f>SUM(C42:C63)</f>
        <v/>
      </c>
    </row>
    <row r="64">
      <c r="A64" s="7" t="n">
        <v>22</v>
      </c>
      <c r="B64" s="7" t="n">
        <v>11</v>
      </c>
      <c r="C64" s="14">
        <f>INDEX(ACT_PANJER_POISSON(B38, C14:C33, B39), 23)</f>
        <v/>
      </c>
      <c r="D64" s="14">
        <f>SUM(C42:C64)</f>
        <v/>
      </c>
    </row>
    <row r="65">
      <c r="A65" s="7" t="n">
        <v>23</v>
      </c>
      <c r="B65" s="7" t="n">
        <v>11.5</v>
      </c>
      <c r="C65" s="14">
        <f>INDEX(ACT_PANJER_POISSON(B38, C14:C33, B39), 24)</f>
        <v/>
      </c>
      <c r="D65" s="14">
        <f>SUM(C42:C65)</f>
        <v/>
      </c>
    </row>
    <row r="66">
      <c r="A66" s="7" t="n">
        <v>24</v>
      </c>
      <c r="B66" s="7" t="n">
        <v>12</v>
      </c>
      <c r="C66" s="14">
        <f>INDEX(ACT_PANJER_POISSON(B38, C14:C33, B39), 25)</f>
        <v/>
      </c>
      <c r="D66" s="14">
        <f>SUM(C42:C66)</f>
        <v/>
      </c>
    </row>
    <row r="67">
      <c r="A67" s="7" t="n">
        <v>25</v>
      </c>
      <c r="B67" s="7" t="n">
        <v>12.5</v>
      </c>
      <c r="C67" s="14">
        <f>INDEX(ACT_PANJER_POISSON(B38, C14:C33, B39), 26)</f>
        <v/>
      </c>
      <c r="D67" s="14">
        <f>SUM(C42:C67)</f>
        <v/>
      </c>
    </row>
    <row r="68">
      <c r="A68" s="7" t="n">
        <v>26</v>
      </c>
      <c r="B68" s="7" t="n">
        <v>13</v>
      </c>
      <c r="C68" s="14">
        <f>INDEX(ACT_PANJER_POISSON(B38, C14:C33, B39), 27)</f>
        <v/>
      </c>
      <c r="D68" s="14">
        <f>SUM(C42:C68)</f>
        <v/>
      </c>
    </row>
    <row r="69">
      <c r="A69" s="7" t="n">
        <v>27</v>
      </c>
      <c r="B69" s="7" t="n">
        <v>13.5</v>
      </c>
      <c r="C69" s="14">
        <f>INDEX(ACT_PANJER_POISSON(B38, C14:C33, B39), 28)</f>
        <v/>
      </c>
      <c r="D69" s="14">
        <f>SUM(C42:C69)</f>
        <v/>
      </c>
    </row>
    <row r="70">
      <c r="A70" s="7" t="n">
        <v>28</v>
      </c>
      <c r="B70" s="7" t="n">
        <v>14</v>
      </c>
      <c r="C70" s="14">
        <f>INDEX(ACT_PANJER_POISSON(B38, C14:C33, B39), 29)</f>
        <v/>
      </c>
      <c r="D70" s="14">
        <f>SUM(C42:C70)</f>
        <v/>
      </c>
    </row>
    <row r="71">
      <c r="A71" s="7" t="n">
        <v>29</v>
      </c>
      <c r="B71" s="7" t="n">
        <v>14.5</v>
      </c>
      <c r="C71" s="14">
        <f>INDEX(ACT_PANJER_POISSON(B38, C14:C33, B39), 30)</f>
        <v/>
      </c>
      <c r="D71" s="14">
        <f>SUM(C42:C71)</f>
        <v/>
      </c>
    </row>
    <row r="72">
      <c r="A72" s="7" t="n">
        <v>30</v>
      </c>
      <c r="B72" s="7" t="n">
        <v>15</v>
      </c>
      <c r="C72" s="14">
        <f>INDEX(ACT_PANJER_POISSON(B38, C14:C33, B39), 31)</f>
        <v/>
      </c>
      <c r="D72" s="14">
        <f>SUM(C42:C72)</f>
        <v/>
      </c>
    </row>
    <row r="73">
      <c r="A73" s="7" t="n">
        <v>31</v>
      </c>
      <c r="B73" s="7" t="n">
        <v>15.5</v>
      </c>
      <c r="C73" s="14">
        <f>INDEX(ACT_PANJER_POISSON(B38, C14:C33, B39), 32)</f>
        <v/>
      </c>
      <c r="D73" s="14">
        <f>SUM(C42:C73)</f>
        <v/>
      </c>
    </row>
    <row r="74">
      <c r="A74" s="7" t="n">
        <v>32</v>
      </c>
      <c r="B74" s="7" t="n">
        <v>16</v>
      </c>
      <c r="C74" s="14">
        <f>INDEX(ACT_PANJER_POISSON(B38, C14:C33, B39), 33)</f>
        <v/>
      </c>
      <c r="D74" s="14">
        <f>SUM(C42:C74)</f>
        <v/>
      </c>
    </row>
    <row r="75">
      <c r="A75" s="7" t="n">
        <v>33</v>
      </c>
      <c r="B75" s="7" t="n">
        <v>16.5</v>
      </c>
      <c r="C75" s="14">
        <f>INDEX(ACT_PANJER_POISSON(B38, C14:C33, B39), 34)</f>
        <v/>
      </c>
      <c r="D75" s="14">
        <f>SUM(C42:C75)</f>
        <v/>
      </c>
    </row>
    <row r="76">
      <c r="A76" s="7" t="n">
        <v>34</v>
      </c>
      <c r="B76" s="7" t="n">
        <v>17</v>
      </c>
      <c r="C76" s="14">
        <f>INDEX(ACT_PANJER_POISSON(B38, C14:C33, B39), 35)</f>
        <v/>
      </c>
      <c r="D76" s="14">
        <f>SUM(C42:C76)</f>
        <v/>
      </c>
    </row>
    <row r="77">
      <c r="A77" s="7" t="n">
        <v>35</v>
      </c>
      <c r="B77" s="7" t="n">
        <v>17.5</v>
      </c>
      <c r="C77" s="14">
        <f>INDEX(ACT_PANJER_POISSON(B38, C14:C33, B39), 36)</f>
        <v/>
      </c>
      <c r="D77" s="14">
        <f>SUM(C42:C77)</f>
        <v/>
      </c>
    </row>
    <row r="78">
      <c r="A78" s="7" t="n">
        <v>36</v>
      </c>
      <c r="B78" s="7" t="n">
        <v>18</v>
      </c>
      <c r="C78" s="14">
        <f>INDEX(ACT_PANJER_POISSON(B38, C14:C33, B39), 37)</f>
        <v/>
      </c>
      <c r="D78" s="14">
        <f>SUM(C42:C78)</f>
        <v/>
      </c>
    </row>
    <row r="79">
      <c r="A79" s="7" t="n">
        <v>37</v>
      </c>
      <c r="B79" s="7" t="n">
        <v>18.5</v>
      </c>
      <c r="C79" s="14">
        <f>INDEX(ACT_PANJER_POISSON(B38, C14:C33, B39), 38)</f>
        <v/>
      </c>
      <c r="D79" s="14">
        <f>SUM(C42:C79)</f>
        <v/>
      </c>
    </row>
    <row r="80">
      <c r="A80" s="7" t="n">
        <v>38</v>
      </c>
      <c r="B80" s="7" t="n">
        <v>19</v>
      </c>
      <c r="C80" s="14">
        <f>INDEX(ACT_PANJER_POISSON(B38, C14:C33, B39), 39)</f>
        <v/>
      </c>
      <c r="D80" s="14">
        <f>SUM(C42:C80)</f>
        <v/>
      </c>
    </row>
    <row r="81">
      <c r="A81" s="7" t="n">
        <v>39</v>
      </c>
      <c r="B81" s="7" t="n">
        <v>19.5</v>
      </c>
      <c r="C81" s="14">
        <f>INDEX(ACT_PANJER_POISSON(B38, C14:C33, B39), 40)</f>
        <v/>
      </c>
      <c r="D81" s="14">
        <f>SUM(C42:C81)</f>
        <v/>
      </c>
    </row>
    <row r="82">
      <c r="A82" s="7" t="n">
        <v>40</v>
      </c>
      <c r="B82" s="7" t="n">
        <v>20</v>
      </c>
      <c r="C82" s="14">
        <f>INDEX(ACT_PANJER_POISSON(B38, C14:C33, B39), 41)</f>
        <v/>
      </c>
      <c r="D82" s="14">
        <f>SUM(C42:C82)</f>
        <v/>
      </c>
    </row>
    <row r="84">
      <c r="A84" s="6" t="inlineStr">
        <is>
          <t>SECTION 3: AGGREGATE STATISTICS</t>
        </is>
      </c>
    </row>
    <row r="86">
      <c r="A86" s="3" t="inlineStr">
        <is>
          <t>Statistic</t>
        </is>
      </c>
      <c r="B86" s="3" t="inlineStr">
        <is>
          <t>Formula Result</t>
        </is>
      </c>
      <c r="C86" s="3" t="inlineStr">
        <is>
          <t>Theoretical</t>
        </is>
      </c>
    </row>
    <row r="87">
      <c r="A87" s="4" t="inlineStr">
        <is>
          <t>Mean</t>
        </is>
      </c>
      <c r="B87" s="15">
        <f>ACT_AGGREGATE_MEAN(C42:C82, B10)</f>
        <v/>
      </c>
      <c r="C87" s="16" t="inlineStr">
        <is>
          <t>2/1 = 2.0 (lambda/rate)</t>
        </is>
      </c>
    </row>
    <row r="88">
      <c r="A88" s="4" t="inlineStr">
        <is>
          <t>Std Dev</t>
        </is>
      </c>
      <c r="B88" s="15">
        <f>ACT_AGGREGATE_STDEV(C42:C82, B10)</f>
        <v/>
      </c>
      <c r="C88" s="16" t="inlineStr">
        <is>
          <t>sqrt(lambda*(1/rate^2 + 1/rate^2)) = 2.0</t>
        </is>
      </c>
    </row>
    <row r="89">
      <c r="A89" s="4" t="inlineStr">
        <is>
          <t>Variance</t>
        </is>
      </c>
      <c r="B89" s="15">
        <f>ACT_AGGREGATE_VAR_STAT(C42:C82, B10)</f>
        <v/>
      </c>
      <c r="C89" s="16" t="inlineStr">
        <is>
          <t>4.0</t>
        </is>
      </c>
    </row>
    <row r="90">
      <c r="A90" s="4" t="inlineStr">
        <is>
          <t>VaR(95%)</t>
        </is>
      </c>
      <c r="B90" s="15">
        <f>ACT_AGGREGATE_VAR(0.95, C42:C82, B10)</f>
        <v/>
      </c>
      <c r="C90" s="16" t="n"/>
    </row>
    <row r="91">
      <c r="A91" s="4" t="inlineStr">
        <is>
          <t>TVaR(95%)</t>
        </is>
      </c>
      <c r="B91" s="15">
        <f>ACT_AGGREGATE_TVAR(0.95, C42:C82, B10)</f>
        <v/>
      </c>
      <c r="C91" s="16" t="n"/>
    </row>
    <row r="92">
      <c r="A92" s="4" t="inlineStr">
        <is>
          <t>CDF at x=3</t>
        </is>
      </c>
      <c r="B92" s="15">
        <f>ACT_AGGREGATE_CDF(3, C42:C82, B10)</f>
        <v/>
      </c>
      <c r="C92" s="16" t="n"/>
    </row>
    <row r="94">
      <c r="A94" s="6" t="inlineStr">
        <is>
          <t>SECTION 4: ALTERNATIVE FREQUENCY - NegBin(r=2, p=0.5)</t>
        </is>
      </c>
    </row>
    <row r="95">
      <c r="A95" s="6" t="inlineStr">
        <is>
          <t>Same severity, different frequency distribution</t>
        </is>
      </c>
    </row>
    <row r="97">
      <c r="A97" s="2" t="inlineStr">
        <is>
          <t>r:</t>
        </is>
      </c>
      <c r="B97" t="n">
        <v>2</v>
      </c>
    </row>
    <row r="98">
      <c r="A98" s="2" t="inlineStr">
        <is>
          <t>p:</t>
        </is>
      </c>
      <c r="B98" t="n">
        <v>0.5</v>
      </c>
    </row>
    <row r="100">
      <c r="A100" s="3" t="inlineStr">
        <is>
          <t>Index (s)</t>
        </is>
      </c>
      <c r="B100" s="3" t="inlineStr">
        <is>
          <t>Aggregate Loss (s*h)</t>
        </is>
      </c>
      <c r="C100" s="3" t="inlineStr">
        <is>
          <t>PMF (NegBin)</t>
        </is>
      </c>
      <c r="D100" s="3" t="inlineStr">
        <is>
          <t>CDF (NegBin)</t>
        </is>
      </c>
    </row>
    <row r="101">
      <c r="A101" s="7" t="n">
        <v>0</v>
      </c>
      <c r="B101" s="7" t="n">
        <v>0</v>
      </c>
      <c r="C101" s="14">
        <f>INDEX(ACT_PANJER_NEGBIN(B97, B98, C14:C33, B39), 1)</f>
        <v/>
      </c>
      <c r="D101" s="14">
        <f>SUM(C101:C101)</f>
        <v/>
      </c>
    </row>
    <row r="102">
      <c r="A102" s="7" t="n">
        <v>1</v>
      </c>
      <c r="B102" s="7" t="n">
        <v>0.5</v>
      </c>
      <c r="C102" s="14">
        <f>INDEX(ACT_PANJER_NEGBIN(B97, B98, C14:C33, B39), 2)</f>
        <v/>
      </c>
      <c r="D102" s="14">
        <f>SUM(C101:C102)</f>
        <v/>
      </c>
    </row>
    <row r="103">
      <c r="A103" s="7" t="n">
        <v>2</v>
      </c>
      <c r="B103" s="7" t="n">
        <v>1</v>
      </c>
      <c r="C103" s="14">
        <f>INDEX(ACT_PANJER_NEGBIN(B97, B98, C14:C33, B39), 3)</f>
        <v/>
      </c>
      <c r="D103" s="14">
        <f>SUM(C101:C103)</f>
        <v/>
      </c>
    </row>
    <row r="104">
      <c r="A104" s="7" t="n">
        <v>3</v>
      </c>
      <c r="B104" s="7" t="n">
        <v>1.5</v>
      </c>
      <c r="C104" s="14">
        <f>INDEX(ACT_PANJER_NEGBIN(B97, B98, C14:C33, B39), 4)</f>
        <v/>
      </c>
      <c r="D104" s="14">
        <f>SUM(C101:C104)</f>
        <v/>
      </c>
    </row>
    <row r="105">
      <c r="A105" s="7" t="n">
        <v>4</v>
      </c>
      <c r="B105" s="7" t="n">
        <v>2</v>
      </c>
      <c r="C105" s="14">
        <f>INDEX(ACT_PANJER_NEGBIN(B97, B98, C14:C33, B39), 5)</f>
        <v/>
      </c>
      <c r="D105" s="14">
        <f>SUM(C101:C105)</f>
        <v/>
      </c>
    </row>
    <row r="106">
      <c r="A106" s="7" t="n">
        <v>5</v>
      </c>
      <c r="B106" s="7" t="n">
        <v>2.5</v>
      </c>
      <c r="C106" s="14">
        <f>INDEX(ACT_PANJER_NEGBIN(B97, B98, C14:C33, B39), 6)</f>
        <v/>
      </c>
      <c r="D106" s="14">
        <f>SUM(C101:C106)</f>
        <v/>
      </c>
    </row>
    <row r="107">
      <c r="A107" s="7" t="n">
        <v>6</v>
      </c>
      <c r="B107" s="7" t="n">
        <v>3</v>
      </c>
      <c r="C107" s="14">
        <f>INDEX(ACT_PANJER_NEGBIN(B97, B98, C14:C33, B39), 7)</f>
        <v/>
      </c>
      <c r="D107" s="14">
        <f>SUM(C101:C107)</f>
        <v/>
      </c>
    </row>
    <row r="108">
      <c r="A108" s="7" t="n">
        <v>7</v>
      </c>
      <c r="B108" s="7" t="n">
        <v>3.5</v>
      </c>
      <c r="C108" s="14">
        <f>INDEX(ACT_PANJER_NEGBIN(B97, B98, C14:C33, B39), 8)</f>
        <v/>
      </c>
      <c r="D108" s="14">
        <f>SUM(C101:C108)</f>
        <v/>
      </c>
    </row>
    <row r="109">
      <c r="A109" s="7" t="n">
        <v>8</v>
      </c>
      <c r="B109" s="7" t="n">
        <v>4</v>
      </c>
      <c r="C109" s="14">
        <f>INDEX(ACT_PANJER_NEGBIN(B97, B98, C14:C33, B39), 9)</f>
        <v/>
      </c>
      <c r="D109" s="14">
        <f>SUM(C101:C109)</f>
        <v/>
      </c>
    </row>
    <row r="110">
      <c r="A110" s="7" t="n">
        <v>9</v>
      </c>
      <c r="B110" s="7" t="n">
        <v>4.5</v>
      </c>
      <c r="C110" s="14">
        <f>INDEX(ACT_PANJER_NEGBIN(B97, B98, C14:C33, B39), 10)</f>
        <v/>
      </c>
      <c r="D110" s="14">
        <f>SUM(C101:C110)</f>
        <v/>
      </c>
    </row>
    <row r="111">
      <c r="A111" s="7" t="n">
        <v>10</v>
      </c>
      <c r="B111" s="7" t="n">
        <v>5</v>
      </c>
      <c r="C111" s="14">
        <f>INDEX(ACT_PANJER_NEGBIN(B97, B98, C14:C33, B39), 11)</f>
        <v/>
      </c>
      <c r="D111" s="14">
        <f>SUM(C101:C111)</f>
        <v/>
      </c>
    </row>
    <row r="112">
      <c r="A112" s="7" t="n">
        <v>11</v>
      </c>
      <c r="B112" s="7" t="n">
        <v>5.5</v>
      </c>
      <c r="C112" s="14">
        <f>INDEX(ACT_PANJER_NEGBIN(B97, B98, C14:C33, B39), 12)</f>
        <v/>
      </c>
      <c r="D112" s="14">
        <f>SUM(C101:C112)</f>
        <v/>
      </c>
    </row>
    <row r="113">
      <c r="A113" s="7" t="n">
        <v>12</v>
      </c>
      <c r="B113" s="7" t="n">
        <v>6</v>
      </c>
      <c r="C113" s="14">
        <f>INDEX(ACT_PANJER_NEGBIN(B97, B98, C14:C33, B39), 13)</f>
        <v/>
      </c>
      <c r="D113" s="14">
        <f>SUM(C101:C113)</f>
        <v/>
      </c>
    </row>
    <row r="114">
      <c r="A114" s="7" t="n">
        <v>13</v>
      </c>
      <c r="B114" s="7" t="n">
        <v>6.5</v>
      </c>
      <c r="C114" s="14">
        <f>INDEX(ACT_PANJER_NEGBIN(B97, B98, C14:C33, B39), 14)</f>
        <v/>
      </c>
      <c r="D114" s="14">
        <f>SUM(C101:C114)</f>
        <v/>
      </c>
    </row>
    <row r="115">
      <c r="A115" s="7" t="n">
        <v>14</v>
      </c>
      <c r="B115" s="7" t="n">
        <v>7</v>
      </c>
      <c r="C115" s="14">
        <f>INDEX(ACT_PANJER_NEGBIN(B97, B98, C14:C33, B39), 15)</f>
        <v/>
      </c>
      <c r="D115" s="14">
        <f>SUM(C101:C115)</f>
        <v/>
      </c>
    </row>
    <row r="116">
      <c r="A116" s="7" t="n">
        <v>15</v>
      </c>
      <c r="B116" s="7" t="n">
        <v>7.5</v>
      </c>
      <c r="C116" s="14">
        <f>INDEX(ACT_PANJER_NEGBIN(B97, B98, C14:C33, B39), 16)</f>
        <v/>
      </c>
      <c r="D116" s="14">
        <f>SUM(C101:C116)</f>
        <v/>
      </c>
    </row>
    <row r="117">
      <c r="A117" s="7" t="n">
        <v>16</v>
      </c>
      <c r="B117" s="7" t="n">
        <v>8</v>
      </c>
      <c r="C117" s="14">
        <f>INDEX(ACT_PANJER_NEGBIN(B97, B98, C14:C33, B39), 17)</f>
        <v/>
      </c>
      <c r="D117" s="14">
        <f>SUM(C101:C117)</f>
        <v/>
      </c>
    </row>
    <row r="118">
      <c r="A118" s="7" t="n">
        <v>17</v>
      </c>
      <c r="B118" s="7" t="n">
        <v>8.5</v>
      </c>
      <c r="C118" s="14">
        <f>INDEX(ACT_PANJER_NEGBIN(B97, B98, C14:C33, B39), 18)</f>
        <v/>
      </c>
      <c r="D118" s="14">
        <f>SUM(C101:C118)</f>
        <v/>
      </c>
    </row>
    <row r="119">
      <c r="A119" s="7" t="n">
        <v>18</v>
      </c>
      <c r="B119" s="7" t="n">
        <v>9</v>
      </c>
      <c r="C119" s="14">
        <f>INDEX(ACT_PANJER_NEGBIN(B97, B98, C14:C33, B39), 19)</f>
        <v/>
      </c>
      <c r="D119" s="14">
        <f>SUM(C101:C119)</f>
        <v/>
      </c>
    </row>
    <row r="120">
      <c r="A120" s="7" t="n">
        <v>19</v>
      </c>
      <c r="B120" s="7" t="n">
        <v>9.5</v>
      </c>
      <c r="C120" s="14">
        <f>INDEX(ACT_PANJER_NEGBIN(B97, B98, C14:C33, B39), 20)</f>
        <v/>
      </c>
      <c r="D120" s="14">
        <f>SUM(C101:C120)</f>
        <v/>
      </c>
    </row>
    <row r="121">
      <c r="A121" s="7" t="n">
        <v>20</v>
      </c>
      <c r="B121" s="7" t="n">
        <v>10</v>
      </c>
      <c r="C121" s="14">
        <f>INDEX(ACT_PANJER_NEGBIN(B97, B98, C14:C33, B39), 21)</f>
        <v/>
      </c>
      <c r="D121" s="14">
        <f>SUM(C101:C121)</f>
        <v/>
      </c>
    </row>
    <row r="122">
      <c r="A122" s="7" t="n">
        <v>21</v>
      </c>
      <c r="B122" s="7" t="n">
        <v>10.5</v>
      </c>
      <c r="C122" s="14">
        <f>INDEX(ACT_PANJER_NEGBIN(B97, B98, C14:C33, B39), 22)</f>
        <v/>
      </c>
      <c r="D122" s="14">
        <f>SUM(C101:C122)</f>
        <v/>
      </c>
    </row>
    <row r="123">
      <c r="A123" s="7" t="n">
        <v>22</v>
      </c>
      <c r="B123" s="7" t="n">
        <v>11</v>
      </c>
      <c r="C123" s="14">
        <f>INDEX(ACT_PANJER_NEGBIN(B97, B98, C14:C33, B39), 23)</f>
        <v/>
      </c>
      <c r="D123" s="14">
        <f>SUM(C101:C123)</f>
        <v/>
      </c>
    </row>
    <row r="124">
      <c r="A124" s="7" t="n">
        <v>23</v>
      </c>
      <c r="B124" s="7" t="n">
        <v>11.5</v>
      </c>
      <c r="C124" s="14">
        <f>INDEX(ACT_PANJER_NEGBIN(B97, B98, C14:C33, B39), 24)</f>
        <v/>
      </c>
      <c r="D124" s="14">
        <f>SUM(C101:C124)</f>
        <v/>
      </c>
    </row>
    <row r="125">
      <c r="A125" s="7" t="n">
        <v>24</v>
      </c>
      <c r="B125" s="7" t="n">
        <v>12</v>
      </c>
      <c r="C125" s="14">
        <f>INDEX(ACT_PANJER_NEGBIN(B97, B98, C14:C33, B39), 25)</f>
        <v/>
      </c>
      <c r="D125" s="14">
        <f>SUM(C101:C125)</f>
        <v/>
      </c>
    </row>
    <row r="126">
      <c r="A126" s="7" t="n">
        <v>25</v>
      </c>
      <c r="B126" s="7" t="n">
        <v>12.5</v>
      </c>
      <c r="C126" s="14">
        <f>INDEX(ACT_PANJER_NEGBIN(B97, B98, C14:C33, B39), 26)</f>
        <v/>
      </c>
      <c r="D126" s="14">
        <f>SUM(C101:C126)</f>
        <v/>
      </c>
    </row>
    <row r="127">
      <c r="A127" s="7" t="n">
        <v>26</v>
      </c>
      <c r="B127" s="7" t="n">
        <v>13</v>
      </c>
      <c r="C127" s="14">
        <f>INDEX(ACT_PANJER_NEGBIN(B97, B98, C14:C33, B39), 27)</f>
        <v/>
      </c>
      <c r="D127" s="14">
        <f>SUM(C101:C127)</f>
        <v/>
      </c>
    </row>
    <row r="128">
      <c r="A128" s="7" t="n">
        <v>27</v>
      </c>
      <c r="B128" s="7" t="n">
        <v>13.5</v>
      </c>
      <c r="C128" s="14">
        <f>INDEX(ACT_PANJER_NEGBIN(B97, B98, C14:C33, B39), 28)</f>
        <v/>
      </c>
      <c r="D128" s="14">
        <f>SUM(C101:C128)</f>
        <v/>
      </c>
    </row>
    <row r="129">
      <c r="A129" s="7" t="n">
        <v>28</v>
      </c>
      <c r="B129" s="7" t="n">
        <v>14</v>
      </c>
      <c r="C129" s="14">
        <f>INDEX(ACT_PANJER_NEGBIN(B97, B98, C14:C33, B39), 29)</f>
        <v/>
      </c>
      <c r="D129" s="14">
        <f>SUM(C101:C129)</f>
        <v/>
      </c>
    </row>
    <row r="130">
      <c r="A130" s="7" t="n">
        <v>29</v>
      </c>
      <c r="B130" s="7" t="n">
        <v>14.5</v>
      </c>
      <c r="C130" s="14">
        <f>INDEX(ACT_PANJER_NEGBIN(B97, B98, C14:C33, B39), 30)</f>
        <v/>
      </c>
      <c r="D130" s="14">
        <f>SUM(C101:C130)</f>
        <v/>
      </c>
    </row>
    <row r="131">
      <c r="A131" s="7" t="n">
        <v>30</v>
      </c>
      <c r="B131" s="7" t="n">
        <v>15</v>
      </c>
      <c r="C131" s="14">
        <f>INDEX(ACT_PANJER_NEGBIN(B97, B98, C14:C33, B39), 31)</f>
        <v/>
      </c>
      <c r="D131" s="14">
        <f>SUM(C101:C131)</f>
        <v/>
      </c>
    </row>
    <row r="132">
      <c r="A132" s="7" t="n">
        <v>31</v>
      </c>
      <c r="B132" s="7" t="n">
        <v>15.5</v>
      </c>
      <c r="C132" s="14">
        <f>INDEX(ACT_PANJER_NEGBIN(B97, B98, C14:C33, B39), 32)</f>
        <v/>
      </c>
      <c r="D132" s="14">
        <f>SUM(C101:C132)</f>
        <v/>
      </c>
    </row>
    <row r="133">
      <c r="A133" s="7" t="n">
        <v>32</v>
      </c>
      <c r="B133" s="7" t="n">
        <v>16</v>
      </c>
      <c r="C133" s="14">
        <f>INDEX(ACT_PANJER_NEGBIN(B97, B98, C14:C33, B39), 33)</f>
        <v/>
      </c>
      <c r="D133" s="14">
        <f>SUM(C101:C133)</f>
        <v/>
      </c>
    </row>
    <row r="134">
      <c r="A134" s="7" t="n">
        <v>33</v>
      </c>
      <c r="B134" s="7" t="n">
        <v>16.5</v>
      </c>
      <c r="C134" s="14">
        <f>INDEX(ACT_PANJER_NEGBIN(B97, B98, C14:C33, B39), 34)</f>
        <v/>
      </c>
      <c r="D134" s="14">
        <f>SUM(C101:C134)</f>
        <v/>
      </c>
    </row>
    <row r="135">
      <c r="A135" s="7" t="n">
        <v>34</v>
      </c>
      <c r="B135" s="7" t="n">
        <v>17</v>
      </c>
      <c r="C135" s="14">
        <f>INDEX(ACT_PANJER_NEGBIN(B97, B98, C14:C33, B39), 35)</f>
        <v/>
      </c>
      <c r="D135" s="14">
        <f>SUM(C101:C135)</f>
        <v/>
      </c>
    </row>
    <row r="136">
      <c r="A136" s="7" t="n">
        <v>35</v>
      </c>
      <c r="B136" s="7" t="n">
        <v>17.5</v>
      </c>
      <c r="C136" s="14">
        <f>INDEX(ACT_PANJER_NEGBIN(B97, B98, C14:C33, B39), 36)</f>
        <v/>
      </c>
      <c r="D136" s="14">
        <f>SUM(C101:C136)</f>
        <v/>
      </c>
    </row>
    <row r="137">
      <c r="A137" s="7" t="n">
        <v>36</v>
      </c>
      <c r="B137" s="7" t="n">
        <v>18</v>
      </c>
      <c r="C137" s="14">
        <f>INDEX(ACT_PANJER_NEGBIN(B97, B98, C14:C33, B39), 37)</f>
        <v/>
      </c>
      <c r="D137" s="14">
        <f>SUM(C101:C137)</f>
        <v/>
      </c>
    </row>
    <row r="138">
      <c r="A138" s="7" t="n">
        <v>37</v>
      </c>
      <c r="B138" s="7" t="n">
        <v>18.5</v>
      </c>
      <c r="C138" s="14">
        <f>INDEX(ACT_PANJER_NEGBIN(B97, B98, C14:C33, B39), 38)</f>
        <v/>
      </c>
      <c r="D138" s="14">
        <f>SUM(C101:C138)</f>
        <v/>
      </c>
    </row>
    <row r="139">
      <c r="A139" s="7" t="n">
        <v>38</v>
      </c>
      <c r="B139" s="7" t="n">
        <v>19</v>
      </c>
      <c r="C139" s="14">
        <f>INDEX(ACT_PANJER_NEGBIN(B97, B98, C14:C33, B39), 39)</f>
        <v/>
      </c>
      <c r="D139" s="14">
        <f>SUM(C101:C139)</f>
        <v/>
      </c>
    </row>
    <row r="140">
      <c r="A140" s="7" t="n">
        <v>39</v>
      </c>
      <c r="B140" s="7" t="n">
        <v>19.5</v>
      </c>
      <c r="C140" s="14">
        <f>INDEX(ACT_PANJER_NEGBIN(B97, B98, C14:C33, B39), 40)</f>
        <v/>
      </c>
      <c r="D140" s="14">
        <f>SUM(C101:C140)</f>
        <v/>
      </c>
    </row>
    <row r="141">
      <c r="A141" s="7" t="n">
        <v>40</v>
      </c>
      <c r="B141" s="7" t="n">
        <v>20</v>
      </c>
      <c r="C141" s="14">
        <f>INDEX(ACT_PANJER_NEGBIN(B97, B98, C14:C33, B39), 41)</f>
        <v/>
      </c>
      <c r="D141" s="14">
        <f>SUM(C101:C141)</f>
        <v/>
      </c>
    </row>
    <row r="143">
      <c r="A143" s="6" t="inlineStr">
        <is>
          <t>NEGBIN AGGREGATE STATISTICS</t>
        </is>
      </c>
    </row>
    <row r="144">
      <c r="A144" s="3" t="inlineStr">
        <is>
          <t>Statistic</t>
        </is>
      </c>
      <c r="B144" s="3" t="inlineStr">
        <is>
          <t>Formula Result</t>
        </is>
      </c>
      <c r="C144" s="3" t="inlineStr">
        <is>
          <t>Notes</t>
        </is>
      </c>
    </row>
    <row r="145">
      <c r="A145" s="4" t="inlineStr">
        <is>
          <t>Mean</t>
        </is>
      </c>
      <c r="B145" s="15">
        <f>ACT_AGGREGATE_MEAN(C101:C141, B10)</f>
        <v/>
      </c>
      <c r="C145" s="16" t="inlineStr">
        <is>
          <t>E[N]*E[X] = r(1-p)/p / rate = 2</t>
        </is>
      </c>
    </row>
    <row r="146">
      <c r="A146" s="4" t="inlineStr">
        <is>
          <t>Std Dev</t>
        </is>
      </c>
      <c r="B146" s="15">
        <f>ACT_AGGREGATE_STDEV(C101:C141, B10)</f>
        <v/>
      </c>
      <c r="C146" s="16" t="n"/>
    </row>
    <row r="147">
      <c r="A147" s="4" t="inlineStr">
        <is>
          <t>VaR(95%)</t>
        </is>
      </c>
      <c r="B147" s="15">
        <f>ACT_AGGREGATE_VAR(0.95, C101:C141, B10)</f>
        <v/>
      </c>
      <c r="C147" s="16" t="n"/>
    </row>
    <row r="148">
      <c r="A148" s="4" t="inlineStr">
        <is>
          <t>TVaR(95%)</t>
        </is>
      </c>
      <c r="B148" s="15">
        <f>ACT_AGGREGATE_TVAR(0.95, C101:C141, B10)</f>
        <v/>
      </c>
      <c r="C148" s="1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8" customWidth="1" min="1" max="2"/>
    <col width="20" customWidth="1" min="3" max="3"/>
    <col width="30" customWidth="1" min="4" max="4"/>
    <col width="5" customWidth="1" min="5" max="5"/>
  </cols>
  <sheetData>
    <row r="1" ht="18.75" customHeight="1">
      <c r="A1" s="1" t="inlineStr">
        <is>
          <t>Return Period Functions</t>
        </is>
      </c>
    </row>
    <row r="3">
      <c r="A3" s="6" t="inlineStr">
        <is>
          <t>Generate losses from return period tables (OEP/AEP curves)</t>
        </is>
      </c>
    </row>
    <row r="5">
      <c r="A5" s="6" t="inlineStr">
        <is>
          <t>SAMPLE EXCEEDANCE PROBABILITY CURVE</t>
        </is>
      </c>
    </row>
    <row r="6">
      <c r="A6" s="3" t="inlineStr">
        <is>
          <t>Return Period</t>
        </is>
      </c>
      <c r="B6" s="3" t="inlineStr">
        <is>
          <t>OEP Loss</t>
        </is>
      </c>
    </row>
    <row r="7">
      <c r="A7" s="4" t="n">
        <v>10</v>
      </c>
      <c r="B7" s="8" t="n">
        <v>100000</v>
      </c>
    </row>
    <row r="8">
      <c r="A8" s="4" t="n">
        <v>25</v>
      </c>
      <c r="B8" s="8" t="n">
        <v>250000</v>
      </c>
    </row>
    <row r="9">
      <c r="A9" s="4" t="n">
        <v>50</v>
      </c>
      <c r="B9" s="8" t="n">
        <v>500000</v>
      </c>
    </row>
    <row r="10">
      <c r="A10" s="4" t="n">
        <v>100</v>
      </c>
      <c r="B10" s="8" t="n">
        <v>1000000</v>
      </c>
    </row>
    <row r="11">
      <c r="A11" s="4" t="n">
        <v>250</v>
      </c>
      <c r="B11" s="8" t="n">
        <v>2500000</v>
      </c>
    </row>
    <row r="13">
      <c r="A13" s="6" t="inlineStr">
        <is>
          <t>LOSS INTERPOLATION</t>
        </is>
      </c>
    </row>
    <row r="14">
      <c r="A14" s="3" t="inlineStr">
        <is>
          <t>Target RP</t>
        </is>
      </c>
      <c r="B14" s="3" t="inlineStr">
        <is>
          <t>Loss (LOG)</t>
        </is>
      </c>
      <c r="C14" s="3" t="inlineStr">
        <is>
          <t>Loss (LINEAR)</t>
        </is>
      </c>
      <c r="D14" s="3" t="inlineStr">
        <is>
          <t>Notes</t>
        </is>
      </c>
    </row>
    <row r="15">
      <c r="A15" s="4" t="n">
        <v>20</v>
      </c>
      <c r="B15" s="8">
        <f>ACT_RETURN_PERIOD_LOSS(A7:A11, B7:B11, A15, "LOG")</f>
        <v/>
      </c>
      <c r="C15" s="8">
        <f>ACT_RETURN_PERIOD_LOSS(A7:A11, B7:B11, A15, "LINEAR")</f>
        <v/>
      </c>
      <c r="D15" s="4" t="inlineStr">
        <is>
          <t>Log interpolation typical for cat curves</t>
        </is>
      </c>
    </row>
    <row r="16">
      <c r="A16" s="4" t="n">
        <v>75</v>
      </c>
      <c r="B16" s="8">
        <f>ACT_RETURN_PERIOD_LOSS(A7:A11, B7:B11, A16, "LOG")</f>
        <v/>
      </c>
      <c r="C16" s="8">
        <f>ACT_RETURN_PERIOD_LOSS(A7:A11, B7:B11, A16, "LINEAR")</f>
        <v/>
      </c>
      <c r="D16" s="4" t="inlineStr">
        <is>
          <t>Log interpolation typical for cat curves</t>
        </is>
      </c>
    </row>
    <row r="17">
      <c r="A17" s="4" t="n">
        <v>150</v>
      </c>
      <c r="B17" s="8">
        <f>ACT_RETURN_PERIOD_LOSS(A7:A11, B7:B11, A17, "LOG")</f>
        <v/>
      </c>
      <c r="C17" s="8">
        <f>ACT_RETURN_PERIOD_LOSS(A7:A11, B7:B11, A17, "LINEAR")</f>
        <v/>
      </c>
      <c r="D17" s="4" t="inlineStr">
        <is>
          <t>Log interpolation typical for cat curves</t>
        </is>
      </c>
    </row>
    <row r="18">
      <c r="A18" s="4" t="n">
        <v>200</v>
      </c>
      <c r="B18" s="8">
        <f>ACT_RETURN_PERIOD_LOSS(A7:A11, B7:B11, A18, "LOG")</f>
        <v/>
      </c>
      <c r="C18" s="8">
        <f>ACT_RETURN_PERIOD_LOSS(A7:A11, B7:B11, A18, "LINEAR")</f>
        <v/>
      </c>
      <c r="D18" s="4" t="inlineStr">
        <is>
          <t>Log interpolation typical for cat curves</t>
        </is>
      </c>
    </row>
    <row r="20">
      <c r="A20" s="6" t="inlineStr">
        <is>
          <t>AVERAGE ANNUAL LOSS (AAL) FROM OEP CURVE</t>
        </is>
      </c>
    </row>
    <row r="21">
      <c r="A21" s="2" t="inlineStr">
        <is>
          <t>AAL:</t>
        </is>
      </c>
      <c r="B21" s="17">
        <f>ACT_AAL_FROM_OEP(A7:A11, B7:B11)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2026-02-22T10:39:56Z</dcterms:created>
  <dcterms:modified xsi:type="dcterms:W3CDTF">2026-05-04T09:59:46Z</dcterms:modified>
  <cp:lastModifiedBy>Matthew Evans</cp:lastModifiedBy>
</cp:coreProperties>
</file>