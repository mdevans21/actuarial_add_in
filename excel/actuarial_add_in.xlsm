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Versions" sheetId="1" state="visible" r:id="rId1"/>
    <sheet name="All Functions Test" sheetId="2" state="visible" r:id="rId2"/>
    <sheet name="Distributions" sheetId="3" state="visible" r:id="rId3"/>
    <sheet name="Exposure Curves" sheetId="4" state="visible" r:id="rId4"/>
    <sheet name="Reinsurance" sheetId="5" state="visible" r:id="rId5"/>
    <sheet name="Interpolation" sheetId="6" state="visible" r:id="rId6"/>
    <sheet name="Chain Ladder" sheetId="7" state="visible" r:id="rId7"/>
    <sheet name="Copulas" sheetId="8" state="visible" r:id="rId8"/>
    <sheet name="Return Periods" sheetId="9" state="visible" r:id="rId9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  <font>
      <b val="1"/>
    </font>
    <font>
      <name val="Calibri"/>
      <family val="2"/>
      <color theme="10"/>
      <sz val="12"/>
      <scheme val="minor"/>
    </font>
    <font>
      <b val="1"/>
      <sz val="12"/>
    </font>
  </fonts>
  <fills count="4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D9D9D9"/>
        <bgColor rgb="00D9D9D9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2">
    <xf numFmtId="0" fontId="0" fillId="0" borderId="0"/>
    <xf numFmtId="0" fontId="6" fillId="0" borderId="0"/>
  </cellStyleXfs>
  <cellXfs count="15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  <xf numFmtId="0" fontId="5" fillId="0" borderId="0" pivotButton="0" quotePrefix="0" xfId="0"/>
    <xf numFmtId="0" fontId="6" fillId="0" borderId="0" pivotButton="0" quotePrefix="0" xfId="1"/>
    <xf numFmtId="0" fontId="7" fillId="0" borderId="0" pivotButton="0" quotePrefix="0" xfId="0"/>
    <xf numFmtId="0" fontId="5" fillId="3" borderId="1" pivotButton="0" quotePrefix="0" xfId="0"/>
  </cellXfs>
  <cellStyles count="2">
    <cellStyle name="Normal" xfId="0" builtinId="0"/>
    <cellStyle name="Hyperlink" xfId="1" builtinId="8" hidden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Relationship Type="http://schemas.microsoft.com/office/2006/relationships/vbaProject" Target="vbaProject.bin" Id="rId1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'Distributions'!$A$7:$A$15</f>
            </numRef>
          </xVal>
          <yVal>
            <numRef>
              <f>'Distributions'!$B$7:$B$15</f>
            </numRef>
          </yVal>
        </ser>
        <axId val="10"/>
        <axId val="20"/>
      </scatterChart>
      <valAx>
        <axId val="10"/>
        <scaling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Negative Binomial PMF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'Distributions'!$A$37:$A$48</f>
            </numRef>
          </xVal>
          <yVal>
            <numRef>
              <f>'Distributions'!$B$37:$B$48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'Distributions'!$A$52:$A$61</f>
            </numRef>
          </xVal>
          <yVal>
            <numRef>
              <f>'Distributions'!$B$52:$B$61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'Distributions'!$A$67:$A$75</f>
            </numRef>
          </xVal>
          <yVal>
            <numRef>
              <f>'Distributions'!$B$67:$B$75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 PDF (λ=1)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'Distributions'!$A$82:$A$90</f>
            </numRef>
          </xVal>
          <yVal>
            <numRef>
              <f>'Distributions'!$B$82:$B$90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Weibull PDF (k=2,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'Distributions'!$A$97:$A$105</f>
            </numRef>
          </xVal>
          <yVal>
            <numRef>
              <f>'Distributions'!$B$97:$B$105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Beta PDF (α=2, β=5)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'Distributions'!$A$112:$A$122</f>
            </numRef>
          </xVal>
          <yVal>
            <numRef>
              <f>'Distributions'!$B$112:$B$122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Pareto I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'Distributions'!$A$127:$A$134</f>
            </numRef>
          </xVal>
          <yVal>
            <numRef>
              <f>'Distributions'!$B$127:$B$134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Lomax PDF (α=2,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'Distributions'!$A$142:$A$150</f>
            </numRef>
          </xVal>
          <yVal>
            <numRef>
              <f>'Distributions'!$B$142:$B$150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GPD PDF (ξ=0.5,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'Distributions'!$A$157:$A$165</f>
            </numRef>
          </xVal>
          <yVal>
            <numRef>
              <f>'Distributions'!$B$157:$B$165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Burr XII PDF (c=2, k=1, λ=1)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'Distributions'!$A$172:$A$180</f>
            </numRef>
          </xVal>
          <yVal>
            <numRef>
              <f>'Distributions'!$B$172:$B$180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Lognormal-Pareto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'Distributions'!$A$187:$A$196</f>
            </numRef>
          </xVal>
          <yVal>
            <numRef>
              <f>'Distributions'!$B$187:$B$196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Exponential-Pareto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'Distributions'!$A$202:$A$211</f>
            </numRef>
          </xVal>
          <yVal>
            <numRef>
              <f>'Distributions'!$B$202:$B$211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Power-Pareto PDF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'Distributions'!$A$217:$A$226</f>
            </numRef>
          </xVal>
          <yVal>
            <numRef>
              <f>'Distributions'!$B$217:$B$226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Known Data Points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Ladder'!D25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Ladder'!$D$26:$D$35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Ultimate vs Latest by Accident Year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'Chain Ladder'!B25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Ladder'!$B$26:$B$35</f>
            </numRef>
          </val>
        </ser>
        <ser>
          <idx val="1"/>
          <order val="1"/>
          <tx>
            <strRef>
              <f>'Chain Ladder'!C25</f>
            </strRef>
          </tx>
          <spPr>
            <a:ln>
              <a:prstDash val="solid"/>
            </a:ln>
          </spPr>
          <cat>
            <numRef>
              <f>'Chain Ladder'!$A$26:$A$35</f>
            </numRef>
          </cat>
          <val>
            <numRef>
              <f>'Chain Ladder'!$C$26:$C$35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tickLblPos val="low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barChart>
        <barDir val="col"/>
        <grouping val="clustered"/>
        <varyColors val="0"/>
        <ser>
          <idx val="0"/>
          <order val="0"/>
          <tx>
            <strRef>
              <f>'Chain Ladder'!B39</f>
            </strRef>
          </tx>
          <spPr>
            <a:ln>
              <a:prstDash val="solid"/>
            </a:ln>
          </spPr>
          <cat>
            <numRef>
              <f>'Chain Ladder'!$A$40:$A$49</f>
            </numRef>
          </cat>
          <val>
            <numRef>
              <f>'Chain Ladder'!$B$40:$B$49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delete val="0"/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tickLblPos val="low"/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>None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solidFill>
                <a:srgbClr val="4472C4"/>
              </a:solidFill>
              <a:ln>
                <a:prstDash val="solid"/>
              </a:ln>
            </spPr>
          </marker>
          <xVal>
            <numRef>
              <f>'Copulas'!$B$19:$B$118</f>
            </numRef>
          </xVal>
          <yVal>
            <numRef>
              <f>'Copulas'!$C$19:$C$118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ax val="1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tickLblPos val="low"/>
        <crossAx val="20"/>
      </valAx>
      <valAx>
        <axId val="20"/>
        <scaling>
          <orientation val="minMax"/>
          <min val="0"/>
        </scaling>
        <delete val="0"/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tickLblPos val="low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Relationship Type="http://schemas.openxmlformats.org/officeDocument/2006/relationships/chart" Target="/xl/charts/chart12.xml" Id="rId12" /><Relationship Type="http://schemas.openxmlformats.org/officeDocument/2006/relationships/chart" Target="/xl/charts/chart13.xml" Id="rId13" /><Relationship Type="http://schemas.openxmlformats.org/officeDocument/2006/relationships/chart" Target="/xl/charts/chart14.xml" Id="rId14" /><Relationship Type="http://schemas.openxmlformats.org/officeDocument/2006/relationships/chart" Target="/xl/charts/chart15.xml" Id="rId1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6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7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8.xml" Id="rId1" /><Relationship Type="http://schemas.openxmlformats.org/officeDocument/2006/relationships/chart" Target="/xl/charts/chart19.xml" Id="rId2" /><Relationship Type="http://schemas.openxmlformats.org/officeDocument/2006/relationships/chart" Target="/xl/charts/chart20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21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2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4</row>
      <rowOff>0</rowOff>
    </from>
    <ext cx="2880000" cy="216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2880000" cy="216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34</row>
      <rowOff>0</rowOff>
    </from>
    <ext cx="2880000" cy="216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49</row>
      <rowOff>0</rowOff>
    </from>
    <ext cx="2880000" cy="216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64</row>
      <rowOff>0</rowOff>
    </from>
    <ext cx="2880000" cy="216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  <oneCellAnchor>
    <from>
      <col>5</col>
      <colOff>0</colOff>
      <row>79</row>
      <rowOff>0</rowOff>
    </from>
    <ext cx="2880000" cy="2160000"/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oneCellAnchor>
  <oneCellAnchor>
    <from>
      <col>5</col>
      <colOff>0</colOff>
      <row>94</row>
      <rowOff>0</rowOff>
    </from>
    <ext cx="2880000" cy="2160000"/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oneCellAnchor>
  <oneCellAnchor>
    <from>
      <col>5</col>
      <colOff>0</colOff>
      <row>109</row>
      <rowOff>0</rowOff>
    </from>
    <ext cx="2880000" cy="2160000"/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oneCellAnchor>
  <oneCellAnchor>
    <from>
      <col>5</col>
      <colOff>0</colOff>
      <row>124</row>
      <rowOff>0</rowOff>
    </from>
    <ext cx="2880000" cy="2160000"/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oneCellAnchor>
  <oneCellAnchor>
    <from>
      <col>5</col>
      <colOff>0</colOff>
      <row>139</row>
      <rowOff>0</rowOff>
    </from>
    <ext cx="2880000" cy="2160000"/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oneCellAnchor>
  <oneCellAnchor>
    <from>
      <col>5</col>
      <colOff>0</colOff>
      <row>154</row>
      <rowOff>0</rowOff>
    </from>
    <ext cx="2880000" cy="2160000"/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oneCellAnchor>
  <oneCellAnchor>
    <from>
      <col>5</col>
      <colOff>0</colOff>
      <row>169</row>
      <rowOff>0</rowOff>
    </from>
    <ext cx="2880000" cy="2160000"/>
    <graphicFrame>
      <nvGraphicFramePr>
        <cNvPr id="12" name="Chart 12"/>
        <cNvGraphicFramePr/>
      </nvGraphicFramePr>
      <xfrm/>
      <a:graphic>
        <a:graphicData uri="http://schemas.openxmlformats.org/drawingml/2006/chart">
          <c:chart r:id="rId12"/>
        </a:graphicData>
      </a:graphic>
    </graphicFrame>
    <clientData/>
  </oneCellAnchor>
  <oneCellAnchor>
    <from>
      <col>5</col>
      <colOff>0</colOff>
      <row>184</row>
      <rowOff>0</rowOff>
    </from>
    <ext cx="2880000" cy="2160000"/>
    <graphicFrame>
      <nvGraphicFramePr>
        <cNvPr id="13" name="Chart 13"/>
        <cNvGraphicFramePr/>
      </nvGraphicFramePr>
      <xfrm/>
      <a:graphic>
        <a:graphicData uri="http://schemas.openxmlformats.org/drawingml/2006/chart">
          <c:chart r:id="rId13"/>
        </a:graphicData>
      </a:graphic>
    </graphicFrame>
    <clientData/>
  </oneCellAnchor>
  <oneCellAnchor>
    <from>
      <col>5</col>
      <colOff>0</colOff>
      <row>199</row>
      <rowOff>0</rowOff>
    </from>
    <ext cx="2880000" cy="2160000"/>
    <graphicFrame>
      <nvGraphicFramePr>
        <cNvPr id="14" name="Chart 14"/>
        <cNvGraphicFramePr/>
      </nvGraphicFramePr>
      <xfrm/>
      <a:graphic>
        <a:graphicData uri="http://schemas.openxmlformats.org/drawingml/2006/chart">
          <c:chart r:id="rId14"/>
        </a:graphicData>
      </a:graphic>
    </graphicFrame>
    <clientData/>
  </oneCellAnchor>
  <oneCellAnchor>
    <from>
      <col>5</col>
      <colOff>0</colOff>
      <row>214</row>
      <rowOff>0</rowOff>
    </from>
    <ext cx="2880000" cy="2160000"/>
    <graphicFrame>
      <nvGraphicFramePr>
        <cNvPr id="15" name="Chart 15"/>
        <cNvGraphicFramePr/>
      </nvGraphicFramePr>
      <xfrm/>
      <a:graphic>
        <a:graphicData uri="http://schemas.openxmlformats.org/drawingml/2006/chart">
          <c:chart r:id="rId1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github.com/mdevans21/actuarial_add_in" TargetMode="Externa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47"/>
  <sheetViews>
    <sheetView workbookViewId="0">
      <selection activeCell="A1" sqref="A1"/>
    </sheetView>
  </sheetViews>
  <sheetFormatPr baseColWidth="8" defaultRowHeight="15"/>
  <cols>
    <col width="30" customWidth="1" min="1" max="1"/>
    <col width="25" customWidth="1" min="2" max="2"/>
    <col width="60" customWidth="1" min="3" max="3"/>
  </cols>
  <sheetData>
    <row r="1">
      <c r="A1" s="1" t="inlineStr">
        <is>
          <t>Actuarial Add-In Version History</t>
        </is>
      </c>
    </row>
    <row r="3">
      <c r="A3" s="11" t="inlineStr">
        <is>
          <t>Current Version:</t>
        </is>
      </c>
      <c r="B3" t="inlineStr">
        <is>
          <t>0.1.0</t>
        </is>
      </c>
    </row>
    <row r="4">
      <c r="A4" s="11" t="inlineStr">
        <is>
          <t>Build Date:</t>
        </is>
      </c>
      <c r="B4" t="inlineStr">
        <is>
          <t>2026-01-18</t>
        </is>
      </c>
    </row>
    <row r="5">
      <c r="A5" s="11" t="inlineStr">
        <is>
          <t>GitHub:</t>
        </is>
      </c>
      <c r="B5" s="12" t="inlineStr">
        <is>
          <t>https://github.com/mdevans21/actuarial_add_in</t>
        </is>
      </c>
    </row>
    <row r="7">
      <c r="A7" s="13" t="inlineStr">
        <is>
          <t>Version Functions:</t>
        </is>
      </c>
    </row>
    <row r="8">
      <c r="A8" s="11" t="inlineStr">
        <is>
          <t>ACT_VERSION()</t>
        </is>
      </c>
      <c r="B8">
        <f>ACT_VERSION()</f>
        <v/>
      </c>
    </row>
    <row r="9">
      <c r="A9" s="11" t="inlineStr">
        <is>
          <t>ACT_BUILD_DATE()</t>
        </is>
      </c>
      <c r="B9">
        <f>ACT_BUILD_DATE()</f>
        <v/>
      </c>
    </row>
    <row r="10">
      <c r="A10" s="11" t="inlineStr">
        <is>
          <t>ACT_GITHUB_URL()</t>
        </is>
      </c>
      <c r="B10">
        <f>ACT_GITHUB_URL()</f>
        <v/>
      </c>
    </row>
    <row r="11">
      <c r="A11" s="11" t="inlineStr">
        <is>
          <t>ACT_COMMIT_COUNT()</t>
        </is>
      </c>
      <c r="B11">
        <f>ACT_COMMIT_COUNT()</f>
        <v/>
      </c>
    </row>
    <row r="12">
      <c r="A12" s="11" t="inlineStr">
        <is>
          <t>ACT_COMMIT_INFO(n, field)</t>
        </is>
      </c>
      <c r="B12">
        <f>ACT_COMMIT_INFO(1, "message")</f>
        <v/>
      </c>
    </row>
    <row r="14">
      <c r="A14" s="13" t="inlineStr">
        <is>
          <t>Commit History</t>
        </is>
      </c>
    </row>
    <row r="15">
      <c r="A15" s="14" t="inlineStr">
        <is>
          <t>Commit</t>
        </is>
      </c>
      <c r="B15" s="14" t="inlineStr">
        <is>
          <t>Date</t>
        </is>
      </c>
      <c r="C15" s="14" t="inlineStr">
        <is>
          <t>Message</t>
        </is>
      </c>
    </row>
    <row r="16">
      <c r="A16" s="5" t="inlineStr">
        <is>
          <t>b2a74d4</t>
        </is>
      </c>
      <c r="B16" s="5" t="inlineStr">
        <is>
          <t>2026-01-18</t>
        </is>
      </c>
      <c r="C16" s="5" t="inlineStr">
        <is>
          <t>Add Phase 6: Credibility and experience rating functions</t>
        </is>
      </c>
    </row>
    <row r="17">
      <c r="A17" s="5" t="inlineStr">
        <is>
          <t>8e5109b</t>
        </is>
      </c>
      <c r="B17" s="5" t="inlineStr">
        <is>
          <t>2026-01-18</t>
        </is>
      </c>
      <c r="C17" s="5" t="inlineStr">
        <is>
          <t>Add Phase 5: Reserving enhancements - Cape Cod, triangle utilities, calendar year</t>
        </is>
      </c>
    </row>
    <row r="18">
      <c r="A18" s="5" t="inlineStr">
        <is>
          <t>6a2d830</t>
        </is>
      </c>
      <c r="B18" s="5" t="inlineStr">
        <is>
          <t>2026-01-18</t>
        </is>
      </c>
      <c r="C18" s="5" t="inlineStr">
        <is>
          <t>Add Phase 3: Archimedean copulas and utility functions</t>
        </is>
      </c>
    </row>
    <row r="19">
      <c r="A19" s="5" t="inlineStr">
        <is>
          <t>2f71e98</t>
        </is>
      </c>
      <c r="B19" s="5" t="inlineStr">
        <is>
          <t>2026-01-18</t>
        </is>
      </c>
      <c r="C19" s="5" t="inlineStr">
        <is>
          <t>Add Phase 2: Parameter estimation functions for distribution fitting</t>
        </is>
      </c>
    </row>
    <row r="20">
      <c r="A20" s="5" t="inlineStr">
        <is>
          <t>79ef7bc</t>
        </is>
      </c>
      <c r="B20" s="5" t="inlineStr">
        <is>
          <t>2026-01-18</t>
        </is>
      </c>
      <c r="C20" s="5" t="inlineStr">
        <is>
          <t>Implement Phase 1 from next_steps.md: distributions, copulas, and help text</t>
        </is>
      </c>
    </row>
    <row r="21">
      <c r="A21" s="5" t="inlineStr">
        <is>
          <t>bc30112</t>
        </is>
      </c>
      <c r="B21" s="5" t="inlineStr">
        <is>
          <t>2026-01-18</t>
        </is>
      </c>
      <c r="C21" s="5" t="inlineStr">
        <is>
          <t>Add comprehensive review and roadmap for actuarial add-in</t>
        </is>
      </c>
    </row>
    <row r="22">
      <c r="A22" s="5" t="inlineStr">
        <is>
          <t>fb0a7fe</t>
        </is>
      </c>
      <c r="B22" s="5" t="inlineStr">
        <is>
          <t>2026-01-17</t>
        </is>
      </c>
      <c r="C22" s="5" t="inlineStr">
        <is>
          <t>Merge branch 'main'</t>
        </is>
      </c>
    </row>
    <row r="23">
      <c r="A23" s="5" t="inlineStr">
        <is>
          <t>83a9008</t>
        </is>
      </c>
      <c r="B23" s="5" t="inlineStr">
        <is>
          <t>2026-01-17</t>
        </is>
      </c>
      <c r="C23" s="5" t="inlineStr">
        <is>
          <t>Add chain ladder enhancements and update examples</t>
        </is>
      </c>
    </row>
    <row r="24">
      <c r="A24" s="5" t="inlineStr">
        <is>
          <t>b16e651</t>
        </is>
      </c>
      <c r="B24" s="5" t="inlineStr">
        <is>
          <t>2026-01-17</t>
        </is>
      </c>
      <c r="C24" s="5" t="inlineStr">
        <is>
          <t>Update README.md</t>
        </is>
      </c>
    </row>
    <row r="25">
      <c r="A25" s="5" t="inlineStr">
        <is>
          <t>7bb88e5</t>
        </is>
      </c>
      <c r="B25" s="5" t="inlineStr">
        <is>
          <t>2026-01-17</t>
        </is>
      </c>
      <c r="C25" s="5" t="inlineStr">
        <is>
          <t>Update README.md</t>
        </is>
      </c>
    </row>
    <row r="26">
      <c r="A26" s="5" t="inlineStr">
        <is>
          <t>7458388</t>
        </is>
      </c>
      <c r="B26" s="5" t="inlineStr">
        <is>
          <t>2026-01-17</t>
        </is>
      </c>
      <c r="C26" s="5" t="inlineStr">
        <is>
          <t>Add charts to Excel sheets and update Chain Ladder with Taylor-Ashe data</t>
        </is>
      </c>
    </row>
    <row r="27">
      <c r="A27" s="5" t="inlineStr">
        <is>
          <t>dc52de8</t>
        </is>
      </c>
      <c r="B27" s="5" t="inlineStr">
        <is>
          <t>2026-01-17</t>
        </is>
      </c>
      <c r="C27" s="5" t="inlineStr">
        <is>
          <t>Add documentation, examples, and agent instructions</t>
        </is>
      </c>
    </row>
    <row r="28">
      <c r="A28" s="5" t="inlineStr">
        <is>
          <t>1fbd1ef</t>
        </is>
      </c>
      <c r="B28" s="5" t="inlineStr">
        <is>
          <t>2026-01-17</t>
        </is>
      </c>
      <c r="C28" s="5" t="inlineStr">
        <is>
          <t>Rename PRD file to fix double extension</t>
        </is>
      </c>
    </row>
    <row r="29">
      <c r="A29" s="5" t="inlineStr">
        <is>
          <t>d2323be</t>
        </is>
      </c>
      <c r="B29" s="5" t="inlineStr">
        <is>
          <t>2026-01-17</t>
        </is>
      </c>
      <c r="C29" s="5" t="inlineStr">
        <is>
          <t>Fix Poisson inverse CDF implementation</t>
        </is>
      </c>
    </row>
    <row r="30">
      <c r="A30" s="5" t="inlineStr">
        <is>
          <t>62c42d7</t>
        </is>
      </c>
      <c r="B30" s="5" t="inlineStr">
        <is>
          <t>2026-01-17</t>
        </is>
      </c>
      <c r="C30" s="5" t="inlineStr">
        <is>
          <t>Initial implementation of Actuarial Excel Add-in</t>
        </is>
      </c>
    </row>
    <row r="32">
      <c r="A32" s="13" t="inlineStr">
        <is>
          <t>Note on Array Formulas:</t>
        </is>
      </c>
    </row>
    <row r="33">
      <c r="A33" t="inlineStr">
        <is>
          <t>If you see @ before function names in Excel 365, delete it.</t>
        </is>
      </c>
    </row>
    <row r="34">
      <c r="A34" t="inlineStr">
        <is>
          <t>Array functions need empty cells to spill their results.</t>
        </is>
      </c>
    </row>
    <row r="35">
      <c r="A35" t="inlineStr">
        <is>
          <t>Or use INDEX() to extract individual values.</t>
        </is>
      </c>
    </row>
    <row r="37">
      <c r="A37" s="13" t="inlineStr">
        <is>
          <t>Array-returning functions:</t>
        </is>
      </c>
    </row>
    <row r="38">
      <c r="A38" t="inlineStr">
        <is>
          <t>ACT_BAYESIAN_UPDATE_FULL</t>
        </is>
      </c>
      <c r="B38" t="inlineStr">
        <is>
          <t>ACT_BERQUIST_SHERMAN</t>
        </is>
      </c>
      <c r="C38" t="inlineStr">
        <is>
          <t>ACT_CL_BF_ULTIMATE</t>
        </is>
      </c>
    </row>
    <row r="39">
      <c r="A39" t="inlineStr">
        <is>
          <t>ACT_CL_BOOTSTRAP</t>
        </is>
      </c>
      <c r="B39" t="inlineStr">
        <is>
          <t>ACT_BOOTSTRAP_ORIGIN_CL</t>
        </is>
      </c>
      <c r="C39" t="inlineStr">
        <is>
          <t>ACT_BUHLMANN_STRAUB_PARAMS</t>
        </is>
      </c>
    </row>
    <row r="40">
      <c r="A40" t="inlineStr">
        <is>
          <t>ACT_CAPECOD_ULTIMATE</t>
        </is>
      </c>
      <c r="B40" t="inlineStr">
        <is>
          <t>ACT_CL_CALENDAR_ADJUST</t>
        </is>
      </c>
      <c r="C40" t="inlineStr">
        <is>
          <t>ACT_CL_CALENDAR_TOTALS</t>
        </is>
      </c>
    </row>
    <row r="41">
      <c r="A41" t="inlineStr">
        <is>
          <t>ACT_CL_FACTORS</t>
        </is>
      </c>
      <c r="B41" t="inlineStr">
        <is>
          <t>ACT_CL_IBNR</t>
        </is>
      </c>
      <c r="C41" t="inlineStr">
        <is>
          <t>ACT_CL_LATEST</t>
        </is>
      </c>
    </row>
    <row r="42">
      <c r="A42" t="inlineStr">
        <is>
          <t>ACT_CL_ULTIMATE</t>
        </is>
      </c>
      <c r="B42" t="inlineStr">
        <is>
          <t>ACT_CL_WEIGHTED_AVERAGE</t>
        </is>
      </c>
      <c r="C42" t="inlineStr">
        <is>
          <t>ACT_COMMIT_HISTORY</t>
        </is>
      </c>
    </row>
    <row r="43">
      <c r="A43" t="inlineStr">
        <is>
          <t>ACT_COPULA_CLAYTON</t>
        </is>
      </c>
      <c r="B43" t="inlineStr">
        <is>
          <t>ACT_COPULA_FRANK</t>
        </is>
      </c>
      <c r="C43" t="inlineStr">
        <is>
          <t>ACT_COPULA_GAUSSIAN</t>
        </is>
      </c>
    </row>
    <row r="44">
      <c r="A44" t="inlineStr">
        <is>
          <t>ACT_COPULA_GUMBEL</t>
        </is>
      </c>
      <c r="B44" t="inlineStr">
        <is>
          <t>ACT_COPULA_STUDENT_T</t>
        </is>
      </c>
      <c r="C44" t="inlineStr">
        <is>
          <t>ACT_ILF_TABLE</t>
        </is>
      </c>
    </row>
    <row r="45">
      <c r="A45" t="inlineStr">
        <is>
          <t>ACT_ILF_TABLE_STANDARD</t>
        </is>
      </c>
      <c r="B45" t="inlineStr">
        <is>
          <t>ACT_INCREMENTAL_TO_CUMULATIVE</t>
        </is>
      </c>
      <c r="C45" t="inlineStr">
        <is>
          <t>ACT_MACK_FACTOR_SE</t>
        </is>
      </c>
    </row>
    <row r="46">
      <c r="A46" t="inlineStr">
        <is>
          <t>ACT_MACK_RESERVE_SE</t>
        </is>
      </c>
      <c r="B46" t="inlineStr">
        <is>
          <t>ACT_RETRO_PARAMETERS</t>
        </is>
      </c>
      <c r="C46" t="inlineStr">
        <is>
          <t>ACT_RETURN_PERIOD_TABLE</t>
        </is>
      </c>
    </row>
    <row r="47">
      <c r="A47" t="inlineStr">
        <is>
          <t>ACT_TRIANGLE_DIAGONAL</t>
        </is>
      </c>
      <c r="B47" t="inlineStr">
        <is>
          <t>ACT_TRIANGLE_LINK_RATIOS</t>
        </is>
      </c>
      <c r="C47" t="inlineStr">
        <is>
          <t>ACT_TRIANGLE_TO_INCREMENTAL</t>
        </is>
      </c>
    </row>
  </sheetData>
  <mergeCells count="2">
    <mergeCell ref="A1:D1"/>
    <mergeCell ref="A14:C14"/>
  </mergeCells>
  <hyperlinks>
    <hyperlink xmlns:r="http://schemas.openxmlformats.org/officeDocument/2006/relationships" ref="B5" r:id="rId1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49"/>
  <sheetViews>
    <sheetView workbookViewId="0">
      <selection activeCell="A1" sqref="A1"/>
    </sheetView>
  </sheetViews>
  <sheetFormatPr baseColWidth="8" defaultRowHeight="15"/>
  <cols>
    <col width="35" customWidth="1" min="1" max="1"/>
    <col width="100" customWidth="1" min="2" max="2"/>
    <col width="30" customWidth="1" min="3" max="3"/>
  </cols>
  <sheetData>
    <row r="1">
      <c r="A1" s="1" t="inlineStr">
        <is>
          <t>COMPREHENSIVE FUNCTION TESTS - ALL 140 FUNCTIONS</t>
        </is>
      </c>
    </row>
    <row r="2"/>
    <row r="3">
      <c r="A3" s="13" t="inlineStr">
        <is>
          <t>DISTRIBUTIONS - Frequency</t>
        </is>
      </c>
    </row>
    <row r="4"/>
    <row r="5">
      <c r="A5" s="13" t="inlineStr">
        <is>
          <t>Poisson Distribution (λ=5)</t>
        </is>
      </c>
    </row>
    <row r="6">
      <c r="A6" s="11" t="inlineStr">
        <is>
          <t>ACT_DIST_POISSON_PDF</t>
        </is>
      </c>
      <c r="B6">
        <f>ACT_DIST_POISSON_PDF(3, 5)</f>
        <v/>
      </c>
      <c r="C6" t="inlineStr">
        <is>
          <t>P(X=3) for Poisson</t>
        </is>
      </c>
    </row>
    <row r="7">
      <c r="A7" s="11" t="inlineStr">
        <is>
          <t>ACT_DIST_POISSON_CDF</t>
        </is>
      </c>
      <c r="B7">
        <f>ACT_DIST_POISSON_CDF(3, 5)</f>
        <v/>
      </c>
      <c r="C7" t="inlineStr">
        <is>
          <t>P(X≤3)</t>
        </is>
      </c>
    </row>
    <row r="8">
      <c r="A8" s="11" t="inlineStr">
        <is>
          <t>ACT_DIST_POISSON_INV</t>
        </is>
      </c>
      <c r="B8">
        <f>ACT_DIST_POISSON_INV(0.5, 5)</f>
        <v/>
      </c>
      <c r="C8" t="inlineStr">
        <is>
          <t>Median</t>
        </is>
      </c>
    </row>
    <row r="9">
      <c r="A9" s="11" t="inlineStr">
        <is>
          <t>ACT_DIST_POISSON_FIT</t>
        </is>
      </c>
      <c r="B9">
        <f>ACT_DIST_POISSON_FIT({1,2,3,4,5,6,7})</f>
        <v/>
      </c>
      <c r="C9" t="inlineStr">
        <is>
          <t>MLE estimate of λ</t>
        </is>
      </c>
    </row>
    <row r="10"/>
    <row r="11">
      <c r="A11" s="13" t="inlineStr">
        <is>
          <t>Negative Binomial (r=5, p=0.3)</t>
        </is>
      </c>
    </row>
    <row r="12">
      <c r="A12" s="11" t="inlineStr">
        <is>
          <t>ACT_DIST_NEGBIN_PDF</t>
        </is>
      </c>
      <c r="B12">
        <f>ACT_DIST_NEGBIN_PDF(5, 5, 0.3)</f>
        <v/>
      </c>
      <c r="C12" t="inlineStr">
        <is>
          <t>P(X=5)</t>
        </is>
      </c>
    </row>
    <row r="13">
      <c r="A13" s="11" t="inlineStr">
        <is>
          <t>ACT_DIST_NEGBIN_CDF</t>
        </is>
      </c>
      <c r="B13">
        <f>ACT_DIST_NEGBIN_CDF(5, 5, 0.3)</f>
        <v/>
      </c>
      <c r="C13" t="inlineStr">
        <is>
          <t>P(X≤5)</t>
        </is>
      </c>
    </row>
    <row r="14">
      <c r="A14" s="11" t="inlineStr">
        <is>
          <t>ACT_DIST_NEGBIN_INV</t>
        </is>
      </c>
      <c r="B14">
        <f>ACT_DIST_NEGBIN_INV(0.5, 5, 0.3)</f>
        <v/>
      </c>
      <c r="C14" t="inlineStr">
        <is>
          <t>Median</t>
        </is>
      </c>
    </row>
    <row r="15">
      <c r="A15" s="11" t="inlineStr">
        <is>
          <t>ACT_DIST_NEGBIN_FIT</t>
        </is>
      </c>
      <c r="B15">
        <f>ACT_DIST_NEGBIN_FIT({1,2,3,4,5,6,7,8,9,10})</f>
        <v/>
      </c>
      <c r="C15" t="inlineStr">
        <is>
          <t>MLE r,p</t>
        </is>
      </c>
    </row>
    <row r="16"/>
    <row r="17">
      <c r="A17" s="13" t="inlineStr">
        <is>
          <t>DISTRIBUTIONS - Severity</t>
        </is>
      </c>
    </row>
    <row r="18"/>
    <row r="19">
      <c r="A19" s="13" t="inlineStr">
        <is>
          <t>Lognormal (μ=0, σ=1)</t>
        </is>
      </c>
    </row>
    <row r="20">
      <c r="A20" s="11" t="inlineStr">
        <is>
          <t>ACT_DIST_LOGNORM_PDF</t>
        </is>
      </c>
      <c r="B20">
        <f>ACT_DIST_LOGNORM_PDF(1, 0, 1)</f>
        <v/>
      </c>
      <c r="C20" t="inlineStr">
        <is>
          <t>f(1)</t>
        </is>
      </c>
    </row>
    <row r="21">
      <c r="A21" s="11" t="inlineStr">
        <is>
          <t>ACT_DIST_LOGNORM_CDF</t>
        </is>
      </c>
      <c r="B21">
        <f>ACT_DIST_LOGNORM_CDF(1, 0, 1)</f>
        <v/>
      </c>
      <c r="C21" t="inlineStr">
        <is>
          <t>F(1)</t>
        </is>
      </c>
    </row>
    <row r="22">
      <c r="A22" s="11" t="inlineStr">
        <is>
          <t>ACT_DIST_LOGNORM_INV</t>
        </is>
      </c>
      <c r="B22">
        <f>ACT_DIST_LOGNORM_INV(0.5, 0, 1)</f>
        <v/>
      </c>
      <c r="C22" t="inlineStr">
        <is>
          <t>Median = 1</t>
        </is>
      </c>
    </row>
    <row r="23">
      <c r="A23" s="11" t="inlineStr">
        <is>
          <t>ACT_DIST_LOGNORM_FIT</t>
        </is>
      </c>
      <c r="B23">
        <f>ACT_DIST_LOGNORM_FIT({1,2,3,4,5})</f>
        <v/>
      </c>
      <c r="C23" t="inlineStr">
        <is>
          <t>MLE μ,σ</t>
        </is>
      </c>
    </row>
    <row r="24"/>
    <row r="25">
      <c r="A25" s="13" t="inlineStr">
        <is>
          <t>Gamma (α=2, β=1)</t>
        </is>
      </c>
    </row>
    <row r="26">
      <c r="A26" s="11" t="inlineStr">
        <is>
          <t>ACT_DIST_GAMMA_PDF</t>
        </is>
      </c>
      <c r="B26">
        <f>ACT_DIST_GAMMA_PDF(1, 2, 1)</f>
        <v/>
      </c>
      <c r="C26" t="inlineStr">
        <is>
          <t>f(1)</t>
        </is>
      </c>
    </row>
    <row r="27">
      <c r="A27" s="11" t="inlineStr">
        <is>
          <t>ACT_DIST_GAMMA_CDF</t>
        </is>
      </c>
      <c r="B27">
        <f>ACT_DIST_GAMMA_CDF(1, 2, 1)</f>
        <v/>
      </c>
      <c r="C27" t="inlineStr">
        <is>
          <t>F(1)</t>
        </is>
      </c>
    </row>
    <row r="28">
      <c r="A28" s="11" t="inlineStr">
        <is>
          <t>ACT_DIST_GAMMA_INV</t>
        </is>
      </c>
      <c r="B28">
        <f>ACT_DIST_GAMMA_INV(0.5, 2, 1)</f>
        <v/>
      </c>
      <c r="C28" t="inlineStr">
        <is>
          <t>Median</t>
        </is>
      </c>
    </row>
    <row r="29">
      <c r="A29" s="11" t="inlineStr">
        <is>
          <t>ACT_DIST_GAMMA_FIT</t>
        </is>
      </c>
      <c r="B29">
        <f>ACT_DIST_GAMMA_FIT({1,2,3,4,5})</f>
        <v/>
      </c>
      <c r="C29" t="inlineStr">
        <is>
          <t>MLE α,β</t>
        </is>
      </c>
    </row>
    <row r="30"/>
    <row r="31">
      <c r="A31" s="13" t="inlineStr">
        <is>
          <t>Pareto (α=2, xm=1)</t>
        </is>
      </c>
    </row>
    <row r="32">
      <c r="A32" s="11" t="inlineStr">
        <is>
          <t>ACT_DIST_PARETO_PDF</t>
        </is>
      </c>
      <c r="B32">
        <f>ACT_DIST_PARETO_PDF(2, 2, 1)</f>
        <v/>
      </c>
      <c r="C32" t="inlineStr">
        <is>
          <t>f(2)</t>
        </is>
      </c>
    </row>
    <row r="33">
      <c r="A33" s="11" t="inlineStr">
        <is>
          <t>ACT_DIST_PARETO_CDF</t>
        </is>
      </c>
      <c r="B33">
        <f>ACT_DIST_PARETO_CDF(2, 2, 1)</f>
        <v/>
      </c>
      <c r="C33" t="inlineStr">
        <is>
          <t>F(2) = 0.75</t>
        </is>
      </c>
    </row>
    <row r="34">
      <c r="A34" s="11" t="inlineStr">
        <is>
          <t>ACT_DIST_PARETO_INV</t>
        </is>
      </c>
      <c r="B34">
        <f>ACT_DIST_PARETO_INV(0.5, 2, 1)</f>
        <v/>
      </c>
      <c r="C34" t="inlineStr">
        <is>
          <t>Median = √2</t>
        </is>
      </c>
    </row>
    <row r="35">
      <c r="A35" s="11" t="inlineStr">
        <is>
          <t>ACT_DIST_PARETO_FIT</t>
        </is>
      </c>
      <c r="B35">
        <f>ACT_DIST_PARETO_FIT({1.5,2,2.5,3,4,5}, 1)</f>
        <v/>
      </c>
      <c r="C35" t="inlineStr">
        <is>
          <t>MLE α</t>
        </is>
      </c>
    </row>
    <row r="36"/>
    <row r="37">
      <c r="A37" s="13" t="inlineStr">
        <is>
          <t>Weibull (k=2, λ=1)</t>
        </is>
      </c>
    </row>
    <row r="38">
      <c r="A38" s="11" t="inlineStr">
        <is>
          <t>ACT_DIST_WEIBULL_PDF</t>
        </is>
      </c>
      <c r="B38">
        <f>ACT_DIST_WEIBULL_PDF(0.5, 2, 1)</f>
        <v/>
      </c>
      <c r="C38" t="inlineStr">
        <is>
          <t>f(0.5)</t>
        </is>
      </c>
    </row>
    <row r="39">
      <c r="A39" s="11" t="inlineStr">
        <is>
          <t>ACT_DIST_WEIBULL_CDF</t>
        </is>
      </c>
      <c r="B39">
        <f>ACT_DIST_WEIBULL_CDF(0.5, 2, 1)</f>
        <v/>
      </c>
      <c r="C39" t="inlineStr">
        <is>
          <t>F(0.5)</t>
        </is>
      </c>
    </row>
    <row r="40">
      <c r="A40" s="11" t="inlineStr">
        <is>
          <t>ACT_DIST_WEIBULL_INV</t>
        </is>
      </c>
      <c r="B40">
        <f>ACT_DIST_WEIBULL_INV(0.5, 2, 1)</f>
        <v/>
      </c>
      <c r="C40" t="inlineStr">
        <is>
          <t>Median</t>
        </is>
      </c>
    </row>
    <row r="41">
      <c r="A41" s="11" t="inlineStr">
        <is>
          <t>ACT_DIST_WEIBULL_FIT</t>
        </is>
      </c>
      <c r="B41">
        <f>ACT_DIST_WEIBULL_FIT({0.5,1,1.5,2,2.5})</f>
        <v/>
      </c>
      <c r="C41" t="inlineStr">
        <is>
          <t>MLE k,λ</t>
        </is>
      </c>
    </row>
    <row r="42"/>
    <row r="43">
      <c r="A43" s="13" t="inlineStr">
        <is>
          <t>Beta (α=2, β=5)</t>
        </is>
      </c>
    </row>
    <row r="44">
      <c r="A44" s="11" t="inlineStr">
        <is>
          <t>ACT_DIST_BETA_PDF</t>
        </is>
      </c>
      <c r="B44">
        <f>ACT_DIST_BETA_PDF(0.3, 2, 5)</f>
        <v/>
      </c>
      <c r="C44" t="inlineStr">
        <is>
          <t>f(0.3)</t>
        </is>
      </c>
    </row>
    <row r="45">
      <c r="A45" s="11" t="inlineStr">
        <is>
          <t>ACT_DIST_BETA_CDF</t>
        </is>
      </c>
      <c r="B45">
        <f>ACT_DIST_BETA_CDF(0.3, 2, 5)</f>
        <v/>
      </c>
      <c r="C45" t="inlineStr">
        <is>
          <t>F(0.3)</t>
        </is>
      </c>
    </row>
    <row r="46">
      <c r="A46" s="11" t="inlineStr">
        <is>
          <t>ACT_DIST_BETA_INV</t>
        </is>
      </c>
      <c r="B46">
        <f>ACT_DIST_BETA_INV(0.5, 2, 5)</f>
        <v/>
      </c>
      <c r="C46" t="inlineStr">
        <is>
          <t>Median</t>
        </is>
      </c>
    </row>
    <row r="47">
      <c r="A47" s="11" t="inlineStr">
        <is>
          <t>ACT_DIST_BETA_FIT</t>
        </is>
      </c>
      <c r="B47">
        <f>ACT_DIST_BETA_FIT({0.1,0.2,0.3,0.4})</f>
        <v/>
      </c>
      <c r="C47" t="inlineStr">
        <is>
          <t>MLE α,β</t>
        </is>
      </c>
    </row>
    <row r="48"/>
    <row r="49">
      <c r="A49" s="13" t="inlineStr">
        <is>
          <t>Exponential (λ=0.5)</t>
        </is>
      </c>
    </row>
    <row r="50">
      <c r="A50" s="11" t="inlineStr">
        <is>
          <t>ACT_DIST_EXP_PDF</t>
        </is>
      </c>
      <c r="B50">
        <f>ACT_DIST_EXP_PDF(1, 0.5)</f>
        <v/>
      </c>
      <c r="C50" t="inlineStr">
        <is>
          <t>f(1)</t>
        </is>
      </c>
    </row>
    <row r="51">
      <c r="A51" s="11" t="inlineStr">
        <is>
          <t>ACT_DIST_EXP_CDF</t>
        </is>
      </c>
      <c r="B51">
        <f>ACT_DIST_EXP_CDF(1, 0.5)</f>
        <v/>
      </c>
      <c r="C51" t="inlineStr">
        <is>
          <t>F(1)</t>
        </is>
      </c>
    </row>
    <row r="52">
      <c r="A52" s="11" t="inlineStr">
        <is>
          <t>ACT_DIST_EXP_INV</t>
        </is>
      </c>
      <c r="B52">
        <f>ACT_DIST_EXP_INV(0.5, 0.5)</f>
        <v/>
      </c>
      <c r="C52" t="inlineStr">
        <is>
          <t>Median</t>
        </is>
      </c>
    </row>
    <row r="53">
      <c r="A53" s="11" t="inlineStr">
        <is>
          <t>ACT_DIST_EXP_FIT</t>
        </is>
      </c>
      <c r="B53">
        <f>ACT_DIST_EXP_FIT({1,2,3,4,5})</f>
        <v/>
      </c>
      <c r="C53" t="inlineStr">
        <is>
          <t>MLE λ</t>
        </is>
      </c>
    </row>
    <row r="54"/>
    <row r="55">
      <c r="A55" s="13" t="inlineStr">
        <is>
          <t>GPD (ξ=0.5, σ=1)</t>
        </is>
      </c>
    </row>
    <row r="56">
      <c r="A56" s="11" t="inlineStr">
        <is>
          <t>ACT_DIST_GPD_PDF</t>
        </is>
      </c>
      <c r="B56">
        <f>ACT_DIST_GPD_PDF(1, 0.5, 1)</f>
        <v/>
      </c>
      <c r="C56" t="inlineStr">
        <is>
          <t>f(1)</t>
        </is>
      </c>
    </row>
    <row r="57">
      <c r="A57" s="11" t="inlineStr">
        <is>
          <t>ACT_DIST_GPD_CDF</t>
        </is>
      </c>
      <c r="B57">
        <f>ACT_DIST_GPD_CDF(1, 0.5, 1)</f>
        <v/>
      </c>
      <c r="C57" t="inlineStr">
        <is>
          <t>F(1)</t>
        </is>
      </c>
    </row>
    <row r="58">
      <c r="A58" s="11" t="inlineStr">
        <is>
          <t>ACT_DIST_GPD_INV</t>
        </is>
      </c>
      <c r="B58">
        <f>ACT_DIST_GPD_INV(0.5, 0.5, 1)</f>
        <v/>
      </c>
      <c r="C58" t="inlineStr">
        <is>
          <t>Median</t>
        </is>
      </c>
    </row>
    <row r="59">
      <c r="A59" s="11" t="inlineStr">
        <is>
          <t>ACT_DIST_GPD_FIT</t>
        </is>
      </c>
      <c r="B59">
        <f>ACT_DIST_GPD_FIT({0.5,1.2,1.8,2.5,3.1,4.0,5.2,7.1,10.5,18.3,35.0,82.0})</f>
        <v/>
      </c>
      <c r="C59" t="inlineStr">
        <is>
          <t>MLE ξ,σ</t>
        </is>
      </c>
    </row>
    <row r="60"/>
    <row r="61">
      <c r="A61" s="13" t="inlineStr">
        <is>
          <t>Burr XII (c=2, k=3, λ=1)</t>
        </is>
      </c>
    </row>
    <row r="62">
      <c r="A62" s="11" t="inlineStr">
        <is>
          <t>ACT_DIST_BURR_PDF</t>
        </is>
      </c>
      <c r="B62">
        <f>ACT_DIST_BURR_PDF(1, 2, 3, 1)</f>
        <v/>
      </c>
      <c r="C62" t="inlineStr">
        <is>
          <t>f(1)</t>
        </is>
      </c>
    </row>
    <row r="63">
      <c r="A63" s="11" t="inlineStr">
        <is>
          <t>ACT_DIST_BURR_CDF</t>
        </is>
      </c>
      <c r="B63">
        <f>ACT_DIST_BURR_CDF(1, 2, 3, 1)</f>
        <v/>
      </c>
      <c r="C63" t="inlineStr">
        <is>
          <t>F(1)</t>
        </is>
      </c>
    </row>
    <row r="64">
      <c r="A64" s="11" t="inlineStr">
        <is>
          <t>ACT_DIST_BURR_INV</t>
        </is>
      </c>
      <c r="B64">
        <f>ACT_DIST_BURR_INV(0.5, 2, 3, 1)</f>
        <v/>
      </c>
      <c r="C64" t="inlineStr">
        <is>
          <t>Median</t>
        </is>
      </c>
    </row>
    <row r="65">
      <c r="A65" s="11" t="inlineStr">
        <is>
          <t>ACT_DIST_BURR_FIT</t>
        </is>
      </c>
      <c r="B65">
        <f>ACT_DIST_BURR_FIT({0.5,1,1.5,2,3})</f>
        <v/>
      </c>
      <c r="C65" t="inlineStr">
        <is>
          <t>MLE c,k,λ</t>
        </is>
      </c>
    </row>
    <row r="66"/>
    <row r="67">
      <c r="A67" s="11" t="inlineStr">
        <is>
          <t>Normal Distribution (μ=0, σ=1)</t>
        </is>
      </c>
    </row>
    <row r="68">
      <c r="A68" t="inlineStr">
        <is>
          <t>ACT_DIST_NORMAL_PDF</t>
        </is>
      </c>
      <c r="B68">
        <f>ACT_DIST_NORMAL_PDF(0, 0, 1)</f>
        <v/>
      </c>
      <c r="C68" t="inlineStr">
        <is>
          <t>φ(0) = 0.3989</t>
        </is>
      </c>
    </row>
    <row r="69">
      <c r="A69" t="inlineStr">
        <is>
          <t>ACT_DIST_NORMAL_CDF</t>
        </is>
      </c>
      <c r="B69">
        <f>ACT_DIST_NORMAL_CDF(0, 0, 1)</f>
        <v/>
      </c>
      <c r="C69" t="inlineStr">
        <is>
          <t>Φ(0) = 0.5</t>
        </is>
      </c>
    </row>
    <row r="70">
      <c r="A70" t="inlineStr">
        <is>
          <t>ACT_DIST_NORMAL_INV</t>
        </is>
      </c>
      <c r="B70">
        <f>ACT_DIST_NORMAL_INV(0.975, 0, 1)</f>
        <v/>
      </c>
      <c r="C70" t="inlineStr">
        <is>
          <t>97.5th percentile = 1.96</t>
        </is>
      </c>
    </row>
    <row r="71"/>
    <row r="72">
      <c r="A72" s="11" t="inlineStr">
        <is>
          <t>Lomax / Pareto II (α=2, λ=1)</t>
        </is>
      </c>
    </row>
    <row r="73">
      <c r="A73" t="inlineStr">
        <is>
          <t>ACT_DIST_LOMAX_PDF</t>
        </is>
      </c>
      <c r="B73">
        <f>ACT_DIST_LOMAX_PDF(1, 2, 1)</f>
        <v/>
      </c>
      <c r="C73" t="inlineStr">
        <is>
          <t>f(1)</t>
        </is>
      </c>
    </row>
    <row r="74">
      <c r="A74" t="inlineStr">
        <is>
          <t>ACT_DIST_LOMAX_CDF</t>
        </is>
      </c>
      <c r="B74">
        <f>ACT_DIST_LOMAX_CDF(1, 2, 1)</f>
        <v/>
      </c>
      <c r="C74" t="inlineStr">
        <is>
          <t>F(1) = 0.75</t>
        </is>
      </c>
    </row>
    <row r="75">
      <c r="A75" t="inlineStr">
        <is>
          <t>ACT_DIST_LOMAX_INV</t>
        </is>
      </c>
      <c r="B75">
        <f>ACT_DIST_LOMAX_INV(0.5, 2, 1)</f>
        <v/>
      </c>
      <c r="C75" t="inlineStr">
        <is>
          <t>Median</t>
        </is>
      </c>
    </row>
    <row r="76"/>
    <row r="77">
      <c r="A77" s="11" t="inlineStr">
        <is>
          <t>Fackler Composite Distributions</t>
        </is>
      </c>
    </row>
    <row r="78">
      <c r="A78" t="inlineStr">
        <is>
          <t>ACT_DIST_LNPARETO_PDF</t>
        </is>
      </c>
      <c r="B78">
        <f>ACT_DIST_LNPARETO_PDF(5, 0, 1, 10)</f>
        <v/>
      </c>
      <c r="C78" t="inlineStr">
        <is>
          <t>LN-Pareto PDF at x=5, μ=0, σ=1, θ=10</t>
        </is>
      </c>
    </row>
    <row r="79">
      <c r="A79" t="inlineStr">
        <is>
          <t>ACT_DIST_LNPARETO_CDF</t>
        </is>
      </c>
      <c r="B79">
        <f>ACT_DIST_LNPARETO_CDF(5, 0, 1, 10)</f>
        <v/>
      </c>
      <c r="C79" t="inlineStr">
        <is>
          <t>LN-Pareto CDF</t>
        </is>
      </c>
    </row>
    <row r="80">
      <c r="A80" t="inlineStr">
        <is>
          <t>ACT_DIST_LNPARETO_ALPHA</t>
        </is>
      </c>
      <c r="B80">
        <f>ACT_DIST_LNPARETO_ALPHA(0, 1, 10)</f>
        <v/>
      </c>
      <c r="C80" t="inlineStr">
        <is>
          <t>Derived tail index α</t>
        </is>
      </c>
    </row>
    <row r="81">
      <c r="A81" t="inlineStr">
        <is>
          <t>ACT_DIST_EXPPARETO_PDF</t>
        </is>
      </c>
      <c r="B81">
        <f>ACT_DIST_EXPPARETO_PDF(5, 0.5, 10)</f>
        <v/>
      </c>
      <c r="C81" t="inlineStr">
        <is>
          <t>Exp-Pareto PDF at x=5, rate=0.5, θ=10</t>
        </is>
      </c>
    </row>
    <row r="82">
      <c r="A82" t="inlineStr">
        <is>
          <t>ACT_DIST_EXPPARETO_CDF</t>
        </is>
      </c>
      <c r="B82">
        <f>ACT_DIST_EXPPARETO_CDF(5, 0.5, 10)</f>
        <v/>
      </c>
      <c r="C82" t="inlineStr">
        <is>
          <t>Exp-Pareto CDF</t>
        </is>
      </c>
    </row>
    <row r="83">
      <c r="A83" t="inlineStr">
        <is>
          <t>ACT_DIST_EXPPARETO_ALPHA</t>
        </is>
      </c>
      <c r="B83">
        <f>ACT_DIST_EXPPARETO_ALPHA(0.5, 10)</f>
        <v/>
      </c>
      <c r="C83" t="inlineStr">
        <is>
          <t>α = θ × rate = 5</t>
        </is>
      </c>
    </row>
    <row r="84">
      <c r="A84" t="inlineStr">
        <is>
          <t>ACT_DIST_POWPARETO_PDF</t>
        </is>
      </c>
      <c r="B84">
        <f>ACT_DIST_POWPARETO_PDF(5, 2, 0.5, 10)</f>
        <v/>
      </c>
      <c r="C84" t="inlineStr">
        <is>
          <t>Power-Pareto PDF at x=5, α=2, β=0.5, θ=10</t>
        </is>
      </c>
    </row>
    <row r="85">
      <c r="A85" t="inlineStr">
        <is>
          <t>ACT_DIST_POWPARETO_CDF</t>
        </is>
      </c>
      <c r="B85">
        <f>ACT_DIST_POWPARETO_CDF(5, 2, 0.5, 10)</f>
        <v/>
      </c>
      <c r="C85" t="inlineStr">
        <is>
          <t>Power-Pareto CDF</t>
        </is>
      </c>
    </row>
    <row r="86"/>
    <row r="87"/>
    <row r="88"/>
    <row r="89"/>
    <row r="90">
      <c r="A90" s="13" t="inlineStr">
        <is>
          <t>EXPOSURE CURVES</t>
        </is>
      </c>
    </row>
    <row r="91"/>
    <row r="92">
      <c r="A92" s="11" t="inlineStr">
        <is>
          <t>ACT_EXPOSURE_MBBEFD</t>
        </is>
      </c>
      <c r="B92">
        <f>ACT_EXPOSURE_MBBEFD(0.5, 2, 3)</f>
        <v/>
      </c>
      <c r="C92" t="inlineStr">
        <is>
          <t>MBBEFD at d=0.5, b=2, g=3</t>
        </is>
      </c>
    </row>
    <row r="93">
      <c r="A93" s="11" t="inlineStr">
        <is>
          <t>ACT_EXPOSURE_SWISSRE</t>
        </is>
      </c>
      <c r="B93">
        <f>ACT_EXPOSURE_SWISSRE(0.5, 1)</f>
        <v/>
      </c>
      <c r="C93" t="inlineStr">
        <is>
          <t>Swiss Re curve 1 (light)</t>
        </is>
      </c>
    </row>
    <row r="94">
      <c r="A94" s="11" t="inlineStr">
        <is>
          <t>ACT_EXPOSURE_SWISSRE</t>
        </is>
      </c>
      <c r="B94">
        <f>ACT_EXPOSURE_SWISSRE(0.5, 3)</f>
        <v/>
      </c>
      <c r="C94" t="inlineStr">
        <is>
          <t>Swiss Re curve 3 (medium)</t>
        </is>
      </c>
    </row>
    <row r="95">
      <c r="A95" s="11" t="inlineStr">
        <is>
          <t>ACT_EXPOSURE_SWISSRE</t>
        </is>
      </c>
      <c r="B95">
        <f>ACT_EXPOSURE_SWISSRE(0.5, 5)</f>
        <v/>
      </c>
      <c r="C95" t="inlineStr">
        <is>
          <t>Swiss Re curve 5 (heavy)</t>
        </is>
      </c>
    </row>
    <row r="96">
      <c r="A96" s="11" t="inlineStr">
        <is>
          <t>ACT_EXPOSURE_LLOYDS</t>
        </is>
      </c>
      <c r="B96">
        <f>ACT_EXPOSURE_LLOYDS(0.5, 1)</f>
        <v/>
      </c>
      <c r="C96" t="inlineStr">
        <is>
          <t>Lloyd's Y1 curve</t>
        </is>
      </c>
    </row>
    <row r="97">
      <c r="A97" s="11" t="inlineStr">
        <is>
          <t>ACT_EXPOSURE_LLOYDS</t>
        </is>
      </c>
      <c r="B97">
        <f>ACT_EXPOSURE_LLOYDS(0.5, 2)</f>
        <v/>
      </c>
      <c r="C97" t="inlineStr">
        <is>
          <t>Lloyd's Y2 curve</t>
        </is>
      </c>
    </row>
    <row r="98">
      <c r="A98" s="11" t="inlineStr">
        <is>
          <t>ACT_EXPOSURE_LLOYDS</t>
        </is>
      </c>
      <c r="B98">
        <f>ACT_EXPOSURE_LLOYDS(0.5, 3)</f>
        <v/>
      </c>
      <c r="C98" t="inlineStr">
        <is>
          <t>Lloyd's Y3 curve</t>
        </is>
      </c>
    </row>
    <row r="99">
      <c r="A99" s="11" t="inlineStr">
        <is>
          <t>ACT_EXPOSURE_LLOYDS</t>
        </is>
      </c>
      <c r="B99">
        <f>ACT_EXPOSURE_LLOYDS(0.5, 4)</f>
        <v/>
      </c>
      <c r="C99" t="inlineStr">
        <is>
          <t>Lloyd's Y4 curve</t>
        </is>
      </c>
    </row>
    <row r="100">
      <c r="A100" s="11" t="inlineStr">
        <is>
          <t>ACT_EXPOSURE_POWER</t>
        </is>
      </c>
      <c r="B100">
        <f>ACT_EXPOSURE_POWER(0.5, 2)</f>
        <v/>
      </c>
      <c r="C100" t="inlineStr">
        <is>
          <t>Power curve n=2</t>
        </is>
      </c>
    </row>
    <row r="101">
      <c r="A101" s="11" t="inlineStr">
        <is>
          <t>ACT_EXPOSURE_INVERSE_POWER</t>
        </is>
      </c>
      <c r="B101">
        <f>ACT_EXPOSURE_INVERSE_POWER(0.5, 2)</f>
        <v/>
      </c>
      <c r="C101" t="inlineStr">
        <is>
          <t>Inverse power n=2</t>
        </is>
      </c>
    </row>
    <row r="102">
      <c r="A102" s="11" t="inlineStr">
        <is>
          <t>ACT_EXPOSURE_PARETO</t>
        </is>
      </c>
      <c r="B102">
        <f>ACT_EXPOSURE_PARETO(0.5, 2)</f>
        <v/>
      </c>
      <c r="C102" t="inlineStr">
        <is>
          <t>Pareto exposure α=2</t>
        </is>
      </c>
    </row>
    <row r="103">
      <c r="A103" s="11" t="inlineStr">
        <is>
          <t>ACT_EXPOSURE_RIEBESELL</t>
        </is>
      </c>
      <c r="B103">
        <f>ACT_EXPOSURE_RIEBESELL(0.5, 0.8)</f>
        <v/>
      </c>
      <c r="C103" t="inlineStr">
        <is>
          <t>Riebesell c=0.8</t>
        </is>
      </c>
    </row>
    <row r="104">
      <c r="A104" s="11" t="inlineStr">
        <is>
          <t>ACT_EXPOSURE_RIEBESELL_INV</t>
        </is>
      </c>
      <c r="B104">
        <f>ACT_EXPOSURE_RIEBESELL_INV(0.7, 0.8)</f>
        <v/>
      </c>
      <c r="C104" t="inlineStr">
        <is>
          <t>Inverse Riebesell</t>
        </is>
      </c>
    </row>
    <row r="105"/>
    <row r="106">
      <c r="A106" s="13" t="inlineStr">
        <is>
          <t>REINSURANCE</t>
        </is>
      </c>
    </row>
    <row r="107"/>
    <row r="108">
      <c r="A108" s="11" t="inlineStr">
        <is>
          <t>ACT_XOL_LAYER_LOSS</t>
        </is>
      </c>
      <c r="B108">
        <f>ACT_XOL_LAYER_LOSS(5000000, 1000000, 4000000)</f>
        <v/>
      </c>
      <c r="C108" t="inlineStr">
        <is>
          <t>Layer loss: 5M ground-up, 4M xs 1M</t>
        </is>
      </c>
    </row>
    <row r="109">
      <c r="A109" s="11" t="inlineStr">
        <is>
          <t>ACT_XOL_EXPECTED_LOSS</t>
        </is>
      </c>
      <c r="B109">
        <f>ACT_XOL_EXPECTED_LOSS(1000000, 4000000, 2, 100000, 0.1)</f>
        <v/>
      </c>
      <c r="C109" t="inlineStr">
        <is>
          <t>Expected layer loss</t>
        </is>
      </c>
    </row>
    <row r="110">
      <c r="A110" s="11" t="inlineStr">
        <is>
          <t>ACT_ILF_PARETO</t>
        </is>
      </c>
      <c r="B110">
        <f>ACT_ILF_PARETO(2000000, 1000000, 2)</f>
        <v/>
      </c>
      <c r="C110" t="inlineStr">
        <is>
          <t>ILF at 2M, base 1M, α=2</t>
        </is>
      </c>
    </row>
    <row r="111">
      <c r="A111" s="11" t="inlineStr">
        <is>
          <t>ACT_EXPOSURE_LAYER_RATE</t>
        </is>
      </c>
      <c r="B111">
        <f>ACT_EXPOSURE_LAYER_RATE(0.1, 0.5, 0.05, 2, 3)</f>
        <v/>
      </c>
      <c r="C111" t="inlineStr">
        <is>
          <t>Rate on line</t>
        </is>
      </c>
    </row>
    <row r="112"/>
    <row r="113">
      <c r="A113" s="13" t="inlineStr">
        <is>
          <t>Return Period Functions</t>
        </is>
      </c>
    </row>
    <row r="114">
      <c r="A114" s="11" t="inlineStr">
        <is>
          <t>ACT_RETURN_PERIOD_LOSS</t>
        </is>
      </c>
      <c r="B114">
        <f>ACT_RETURN_PERIOD_LOSS({100,50,25,10,5}, {1000000,2000000,3000000,5000000,10000000}, 20, "LOG")</f>
        <v/>
      </c>
      <c r="C114" t="inlineStr">
        <is>
          <t>20-year loss</t>
        </is>
      </c>
    </row>
    <row r="115">
      <c r="A115" s="11" t="inlineStr">
        <is>
          <t>ACT_RETURN_PERIOD_TABLE</t>
        </is>
      </c>
      <c r="B115">
        <f>ACT_RETURN_PERIOD_TABLE({100,50,25,10,5}, {1000000,2000000,3000000,5000000,10000000}, {10,25,50,100})</f>
        <v/>
      </c>
      <c r="C115" t="inlineStr">
        <is>
          <t>RP table (array)</t>
        </is>
      </c>
    </row>
    <row r="116">
      <c r="A116" s="11" t="inlineStr">
        <is>
          <t>ACT_AAL_FROM_OEP</t>
        </is>
      </c>
      <c r="B116">
        <f>ACT_AAL_FROM_OEP({100,50,25,10,5}, {1000000,2000000,3000000,5000000,10000000})</f>
        <v/>
      </c>
      <c r="C116" t="inlineStr">
        <is>
          <t>AAL from OEP curve</t>
        </is>
      </c>
    </row>
    <row r="117"/>
    <row r="118">
      <c r="A118" s="13" t="inlineStr">
        <is>
          <t>INTERPOLATION</t>
        </is>
      </c>
    </row>
    <row r="119"/>
    <row r="120">
      <c r="A120" s="11" t="inlineStr">
        <is>
          <t>ACT_INTERP</t>
        </is>
      </c>
      <c r="B120">
        <f>ACT_INTERP({1,2,3,4,5}, {10,20,35,55,80}, 2.5, "LINEAR")</f>
        <v/>
      </c>
      <c r="C120" t="inlineStr">
        <is>
          <t>Linear interpolation</t>
        </is>
      </c>
    </row>
    <row r="121">
      <c r="A121" s="11" t="inlineStr">
        <is>
          <t>ACT_INTERP</t>
        </is>
      </c>
      <c r="B121">
        <f>ACT_INTERP({1,2,3,4,5}, {10,20,35,55,80}, 0.5, "FLAT")</f>
        <v/>
      </c>
      <c r="C121" t="inlineStr">
        <is>
          <t>Flat extrapolation</t>
        </is>
      </c>
    </row>
    <row r="122">
      <c r="A122" s="11" t="inlineStr">
        <is>
          <t>ACT_INTERP</t>
        </is>
      </c>
      <c r="B122">
        <f>ACT_INTERP({1,2,3,4,5}, {10,20,35,55,80}, 6, "GRADIENT")</f>
        <v/>
      </c>
      <c r="C122" t="inlineStr">
        <is>
          <t>Gradient extrapolation</t>
        </is>
      </c>
    </row>
    <row r="123">
      <c r="A123" s="11" t="inlineStr">
        <is>
          <t>ACT_INTERP_LOG</t>
        </is>
      </c>
      <c r="B123">
        <f>ACT_INTERP_LOG({1,2,3,4,5}, {10,20,35,55,80}, 2.5)</f>
        <v/>
      </c>
      <c r="C123" t="inlineStr">
        <is>
          <t>Log-linear interpolation</t>
        </is>
      </c>
    </row>
    <row r="124">
      <c r="A124" s="11" t="inlineStr">
        <is>
          <t>ACT_INTERP2D</t>
        </is>
      </c>
      <c r="B124">
        <f>ACT_INTERP2D({1,2,3}, {10,20,30}, {100,200,300;110,220,330;120,240,360}, 1.5, 15)</f>
        <v/>
      </c>
      <c r="C124" t="inlineStr">
        <is>
          <t>2D bilinear interpolation</t>
        </is>
      </c>
    </row>
    <row r="125"/>
    <row r="126">
      <c r="A126" s="13" t="inlineStr">
        <is>
          <t>CREDIBILITY - Bühlmann</t>
        </is>
      </c>
    </row>
    <row r="127"/>
    <row r="128">
      <c r="A128" s="11" t="inlineStr">
        <is>
          <t>ACT_CREDIBILITY_BUHLMANN</t>
        </is>
      </c>
      <c r="B128">
        <f>ACT_CREDIBILITY_BUHLMANN(10, 5)</f>
        <v/>
      </c>
      <c r="C128" t="inlineStr">
        <is>
          <t>Z = n/(n+k) = 10/15</t>
        </is>
      </c>
    </row>
    <row r="129">
      <c r="A129" s="11" t="inlineStr">
        <is>
          <t>ACT_CREDIBILITY_ESTIMATE</t>
        </is>
      </c>
      <c r="B129">
        <f>ACT_CREDIBILITY_ESTIMATE(0.05, 0.03, 0.67)</f>
        <v/>
      </c>
      <c r="C129" t="inlineStr">
        <is>
          <t>Blended estimate</t>
        </is>
      </c>
    </row>
    <row r="130">
      <c r="A130" s="11" t="inlineStr">
        <is>
          <t>ACT_CREDIBILITY_K</t>
        </is>
      </c>
      <c r="B130">
        <f>ACT_CREDIBILITY_K({0.05,0.06,0.04,0.055}, {100,150,120,110})</f>
        <v/>
      </c>
      <c r="C130" t="inlineStr">
        <is>
          <t>Estimate k from data</t>
        </is>
      </c>
    </row>
    <row r="131">
      <c r="A131" s="11" t="inlineStr">
        <is>
          <t>ACT_CREDIBILITY_BUHLMANN_STRAUB</t>
        </is>
      </c>
      <c r="B131">
        <f>ACT_CREDIBILITY_BUHLMANN_STRAUB(1000, 500)</f>
        <v/>
      </c>
      <c r="C131" t="inlineStr">
        <is>
          <t>B-S credibility</t>
        </is>
      </c>
    </row>
    <row r="132">
      <c r="A132" s="11" t="inlineStr">
        <is>
          <t>ACT_BUHLMANN_STRAUB_PARAMS</t>
        </is>
      </c>
      <c r="B132">
        <f>ACT_BUHLMANN_STRAUB_PARAMS({0.05,0.06,0.04,0.055}, {100,150,120,110})</f>
        <v/>
      </c>
      <c r="C132" t="inlineStr">
        <is>
          <t>B-S parameters (array)</t>
        </is>
      </c>
    </row>
    <row r="133"/>
    <row r="134">
      <c r="A134" s="13" t="inlineStr">
        <is>
          <t>CREDIBILITY - Experience Rating</t>
        </is>
      </c>
    </row>
    <row r="135">
      <c r="A135" s="11" t="inlineStr">
        <is>
          <t>ACT_EXPERIENCE_MOD</t>
        </is>
      </c>
      <c r="B135">
        <f>ACT_EXPERIENCE_MOD(50000, 70000, 0.7)</f>
        <v/>
      </c>
      <c r="C135" t="inlineStr">
        <is>
          <t>Experience mod factor</t>
        </is>
      </c>
    </row>
    <row r="136">
      <c r="A136" s="11" t="inlineStr">
        <is>
          <t>ACT_EXPERIENCE_MOD_SPLIT</t>
        </is>
      </c>
      <c r="B136">
        <f>ACT_EXPERIENCE_MOD_SPLIT(0.7, 50000, 70000, 25000, 0.3)</f>
        <v/>
      </c>
      <c r="C136" t="inlineStr">
        <is>
          <t>Split plan exp mod</t>
        </is>
      </c>
    </row>
    <row r="137"/>
    <row r="138">
      <c r="A138" s="13" t="inlineStr">
        <is>
          <t>CREDIBILITY - Full/Partial</t>
        </is>
      </c>
    </row>
    <row r="139">
      <c r="A139" s="11" t="inlineStr">
        <is>
          <t>ACT_FULL_CREDIBILITY_STANDARD</t>
        </is>
      </c>
      <c r="B139">
        <f>ACT_FULL_CREDIBILITY_STANDARD(0.90, 0.05, 1.5)</f>
        <v/>
      </c>
      <c r="C139" t="inlineStr">
        <is>
          <t>Full cred standard n₀</t>
        </is>
      </c>
    </row>
    <row r="140">
      <c r="A140" s="11" t="inlineStr">
        <is>
          <t>ACT_PARTIAL_CREDIBILITY</t>
        </is>
      </c>
      <c r="B140">
        <f>ACT_PARTIAL_CREDIBILITY(500, 1082)</f>
        <v/>
      </c>
      <c r="C140" t="inlineStr">
        <is>
          <t>Partial cred (sqrt rule)</t>
        </is>
      </c>
    </row>
    <row r="141">
      <c r="A141" s="11" t="inlineStr">
        <is>
          <t>ACT_LINEAR_CREDIBILITY</t>
        </is>
      </c>
      <c r="B141">
        <f>ACT_LINEAR_CREDIBILITY(500, 1082)</f>
        <v/>
      </c>
      <c r="C141" t="inlineStr">
        <is>
          <t>Linear credibility</t>
        </is>
      </c>
    </row>
    <row r="142">
      <c r="A142" s="11" t="inlineStr">
        <is>
          <t>ACT_ASYMPTOTIC_CREDIBILITY</t>
        </is>
      </c>
      <c r="B142">
        <f>ACT_ASYMPTOTIC_CREDIBILITY(10, 5, 0.5)</f>
        <v/>
      </c>
      <c r="C142" t="inlineStr">
        <is>
          <t>Asymptotic cred</t>
        </is>
      </c>
    </row>
    <row r="143"/>
    <row r="144">
      <c r="A144" s="13" t="inlineStr">
        <is>
          <t>CREDIBILITY - ILF</t>
        </is>
      </c>
    </row>
    <row r="145">
      <c r="A145" s="11" t="inlineStr">
        <is>
          <t>ACT_ILF_LAYER</t>
        </is>
      </c>
      <c r="B145">
        <f>ACT_ILF_LAYER(100000, 400000, 100000, 2, 50000)</f>
        <v/>
      </c>
      <c r="C145" t="inlineStr">
        <is>
          <t>Layer ILF</t>
        </is>
      </c>
    </row>
    <row r="146">
      <c r="A146" s="11" t="inlineStr">
        <is>
          <t>ACT_ILF_TABLE</t>
        </is>
      </c>
      <c r="B146">
        <f>ACT_ILF_TABLE(100000, {250000,500000,1000000,2000000}, 2)</f>
        <v/>
      </c>
      <c r="C146" t="inlineStr">
        <is>
          <t>ILF table (array)</t>
        </is>
      </c>
    </row>
    <row r="147">
      <c r="A147" s="11" t="inlineStr">
        <is>
          <t>ACT_ILF_TABLE_STANDARD</t>
        </is>
      </c>
      <c r="B147">
        <f>ACT_ILF_TABLE_STANDARD(100000, 5000000, 2)</f>
        <v/>
      </c>
      <c r="C147" t="inlineStr">
        <is>
          <t>Standard ILF table (array)</t>
        </is>
      </c>
    </row>
    <row r="148"/>
    <row r="149">
      <c r="A149" s="13" t="inlineStr">
        <is>
          <t>CREDIBILITY - Deductibles</t>
        </is>
      </c>
    </row>
    <row r="150">
      <c r="A150" s="11" t="inlineStr">
        <is>
          <t>ACT_LOSS_ELIMINATION_RATIO</t>
        </is>
      </c>
      <c r="B150">
        <f>ACT_LOSS_ELIMINATION_RATIO(10000, 2, 1000)</f>
        <v/>
      </c>
      <c r="C150" t="inlineStr">
        <is>
          <t>LER Pareto</t>
        </is>
      </c>
    </row>
    <row r="151">
      <c r="A151" s="11" t="inlineStr">
        <is>
          <t>ACT_LOSS_ELIMINATION_RATIO_LOGNORMAL</t>
        </is>
      </c>
      <c r="B151">
        <f>ACT_LOSS_ELIMINATION_RATIO_LOGNORMAL(10000, 10, 1)</f>
        <v/>
      </c>
      <c r="C151" t="inlineStr">
        <is>
          <t>LER Lognormal</t>
        </is>
      </c>
    </row>
    <row r="152">
      <c r="A152" s="11" t="inlineStr">
        <is>
          <t>ACT_DEDUCTIBLE_CREDIT</t>
        </is>
      </c>
      <c r="B152">
        <f>ACT_DEDUCTIBLE_CREDIT(0.95, 0.9)</f>
        <v/>
      </c>
      <c r="C152" t="inlineStr">
        <is>
          <t>Deductible credit</t>
        </is>
      </c>
    </row>
    <row r="153">
      <c r="A153" s="11" t="inlineStr">
        <is>
          <t>ACT_PREMIUM_WITH_DEDUCTIBLE</t>
        </is>
      </c>
      <c r="B153">
        <f>ACT_PREMIUM_WITH_DEDUCTIBLE(100000, 0.95, 0.65)</f>
        <v/>
      </c>
      <c r="C153" t="inlineStr">
        <is>
          <t>Premium with deductible</t>
        </is>
      </c>
    </row>
    <row r="154"/>
    <row r="155">
      <c r="A155" s="13" t="inlineStr">
        <is>
          <t>CREDIBILITY - Loading</t>
        </is>
      </c>
    </row>
    <row r="156">
      <c r="A156" s="11" t="inlineStr">
        <is>
          <t>ACT_LARGE_LOSS_LOAD</t>
        </is>
      </c>
      <c r="B156">
        <f>ACT_LARGE_LOSS_LOAD(0.1, 500000, 100000)</f>
        <v/>
      </c>
      <c r="C156" t="inlineStr">
        <is>
          <t>Large loss loading</t>
        </is>
      </c>
    </row>
    <row r="157">
      <c r="A157" s="11" t="inlineStr">
        <is>
          <t>ACT_SHOCK_LOSS_LOAD</t>
        </is>
      </c>
      <c r="B157">
        <f>ACT_SHOCK_LOSS_LOAD(0.01, 10000000, 1.5)</f>
        <v/>
      </c>
      <c r="C157" t="inlineStr">
        <is>
          <t>Shock loss loading</t>
        </is>
      </c>
    </row>
    <row r="158"/>
    <row r="159">
      <c r="A159" s="13" t="inlineStr">
        <is>
          <t>CREDIBILITY - Burning Cost</t>
        </is>
      </c>
    </row>
    <row r="160">
      <c r="A160" s="11" t="inlineStr">
        <is>
          <t>ACT_BURNING_COST</t>
        </is>
      </c>
      <c r="B160">
        <f>ACT_BURNING_COST({50000,60000,40000}, {1000000,1100000,1050000})</f>
        <v/>
      </c>
      <c r="C160" t="inlineStr">
        <is>
          <t>Burning cost</t>
        </is>
      </c>
    </row>
    <row r="161">
      <c r="A161" s="11" t="inlineStr">
        <is>
          <t>ACT_CREDIBILITY_RATE</t>
        </is>
      </c>
      <c r="B161">
        <f>ACT_CREDIBILITY_RATE(0.05, 0.03, 0.6, 1.0, 1.0)</f>
        <v/>
      </c>
      <c r="C161" t="inlineStr">
        <is>
          <t>Credibility-weighted rate</t>
        </is>
      </c>
    </row>
    <row r="162">
      <c r="A162" s="11" t="inlineStr">
        <is>
          <t>ACT_COMPOSITE_RATE</t>
        </is>
      </c>
      <c r="B162">
        <f>ACT_COMPOSITE_RATE({0.05,0.06,0.04}, {0.5,0.3,0.2})</f>
        <v/>
      </c>
      <c r="C162" t="inlineStr">
        <is>
          <t>Composite rate</t>
        </is>
      </c>
    </row>
    <row r="163">
      <c r="A163" s="11" t="inlineStr">
        <is>
          <t>ACT_MULTIYEAR_CREDIBILITY</t>
        </is>
      </c>
      <c r="B163">
        <f>ACT_MULTIYEAR_CREDIBILITY(0.5, 3, 0.1)</f>
        <v/>
      </c>
      <c r="C163" t="inlineStr">
        <is>
          <t>Multi-year credibility</t>
        </is>
      </c>
    </row>
    <row r="164"/>
    <row r="165">
      <c r="A165" s="13" t="inlineStr">
        <is>
          <t>CREDIBILITY - Schedule Rating</t>
        </is>
      </c>
    </row>
    <row r="166">
      <c r="A166" s="11" t="inlineStr">
        <is>
          <t>ACT_SCHEDULE_RATING</t>
        </is>
      </c>
      <c r="B166">
        <f>ACT_SCHEDULE_RATING(100000, {0.1,-0.05,0.15})</f>
        <v/>
      </c>
      <c r="C166" t="inlineStr">
        <is>
          <t>Schedule rating</t>
        </is>
      </c>
    </row>
    <row r="167">
      <c r="A167" s="11" t="inlineStr">
        <is>
          <t>ACT_SCHEDULE_RATING_CAPPED</t>
        </is>
      </c>
      <c r="B167">
        <f>ACT_SCHEDULE_RATING_CAPPED(100000, {0.1,-0.05,0.15}, {0.15,0.1,0.2})</f>
        <v/>
      </c>
      <c r="C167" t="inlineStr">
        <is>
          <t>Capped schedule rating</t>
        </is>
      </c>
    </row>
    <row r="168"/>
    <row r="169">
      <c r="A169" s="13" t="inlineStr">
        <is>
          <t>CREDIBILITY - Retrospective</t>
        </is>
      </c>
    </row>
    <row r="170">
      <c r="A170" s="11" t="inlineStr">
        <is>
          <t>ACT_RETRO_PREMIUM</t>
        </is>
      </c>
      <c r="B170">
        <f>ACT_RETRO_PREMIUM(100000, 50000, 1.1, 0.3, 1.03, 0.6, 1.2)</f>
        <v/>
      </c>
      <c r="C170" t="inlineStr">
        <is>
          <t>Retro premium</t>
        </is>
      </c>
    </row>
    <row r="171">
      <c r="A171" s="11" t="inlineStr">
        <is>
          <t>ACT_RETRO_PARAMETERS</t>
        </is>
      </c>
      <c r="B171">
        <f>ACT_RETRO_PARAMETERS(0.6, 0.6, 1.2, 1.03, 0.05)</f>
        <v/>
      </c>
      <c r="C171" t="inlineStr">
        <is>
          <t>Retro parameters (array)</t>
        </is>
      </c>
    </row>
    <row r="172">
      <c r="A172" s="11" t="inlineStr">
        <is>
          <t>ACT_RETRO_LOSS_LIMIT_CREDIT</t>
        </is>
      </c>
      <c r="B172">
        <f>ACT_RETRO_LOSS_LIMIT_CREDIT(250000, 0.65, 2, 10000)</f>
        <v/>
      </c>
      <c r="C172" t="inlineStr">
        <is>
          <t>Loss limit credit</t>
        </is>
      </c>
    </row>
    <row r="173"/>
    <row r="174">
      <c r="A174" s="13" t="inlineStr">
        <is>
          <t>CREDIBILITY - Bayesian</t>
        </is>
      </c>
    </row>
    <row r="175">
      <c r="A175" s="11" t="inlineStr">
        <is>
          <t>ACT_BAYESIAN_UPDATE</t>
        </is>
      </c>
      <c r="B175">
        <f>ACT_BAYESIAN_UPDATE(0.05, 0.01, 0.06, 0.005)</f>
        <v/>
      </c>
      <c r="C175" t="inlineStr">
        <is>
          <t>Bayesian posterior mean</t>
        </is>
      </c>
    </row>
    <row r="176">
      <c r="A176" s="11" t="inlineStr">
        <is>
          <t>ACT_BAYESIAN_UPDATE_FULL</t>
        </is>
      </c>
      <c r="B176">
        <f>ACT_BAYESIAN_UPDATE_FULL(0.05, 0.01, 0.06, 0.005)</f>
        <v/>
      </c>
      <c r="C176" t="inlineStr">
        <is>
          <t>Posterior mean &amp; var (array)</t>
        </is>
      </c>
    </row>
    <row r="177"/>
    <row r="178">
      <c r="A178" s="13" t="inlineStr">
        <is>
          <t>CREDIBILITY - Poisson</t>
        </is>
      </c>
    </row>
    <row r="179">
      <c r="A179" s="11" t="inlineStr">
        <is>
          <t>ACT_CREDIBILITY_POISSON</t>
        </is>
      </c>
      <c r="B179">
        <f>ACT_CREDIBILITY_POISSON(10, 5, 2)</f>
        <v/>
      </c>
      <c r="C179" t="inlineStr">
        <is>
          <t>Poisson credibility</t>
        </is>
      </c>
    </row>
    <row r="180">
      <c r="A180" s="11" t="inlineStr">
        <is>
          <t>ACT_FREQUENCY_ESTIMATE</t>
        </is>
      </c>
      <c r="B180">
        <f>ACT_FREQUENCY_ESTIMATE(10, 1000, 0.01, 0.0001)</f>
        <v/>
      </c>
      <c r="C180" t="inlineStr">
        <is>
          <t>Credibility frequency est</t>
        </is>
      </c>
    </row>
    <row r="181"/>
    <row r="182">
      <c r="A182" s="13" t="inlineStr">
        <is>
          <t>COPULAS - Gaussian</t>
        </is>
      </c>
    </row>
    <row r="183"/>
    <row r="184">
      <c r="A184" s="11" t="inlineStr">
        <is>
          <t>ACT_COPULA_GAUSSIAN</t>
        </is>
      </c>
      <c r="B184">
        <f>ACT_COPULA_GAUSSIAN({1,0.5;0.5,1}, 5, 42)</f>
        <v/>
      </c>
      <c r="C184" t="inlineStr">
        <is>
          <t>Gaussian copula samples (array)</t>
        </is>
      </c>
    </row>
    <row r="185">
      <c r="A185" s="11" t="inlineStr">
        <is>
          <t>ACT_COPULA_GAUSSIAN_SINGLE</t>
        </is>
      </c>
      <c r="B185">
        <f>ACT_COPULA_GAUSSIAN_SINGLE({1,0.5;0.5,1}, 42)</f>
        <v/>
      </c>
      <c r="C185" t="inlineStr">
        <is>
          <t>Single Gaussian sample</t>
        </is>
      </c>
    </row>
    <row r="186"/>
    <row r="187">
      <c r="A187" s="13" t="inlineStr">
        <is>
          <t>COPULAS - Student-t</t>
        </is>
      </c>
    </row>
    <row r="188">
      <c r="A188" s="11" t="inlineStr">
        <is>
          <t>ACT_COPULA_STUDENT_T</t>
        </is>
      </c>
      <c r="B188">
        <f>ACT_COPULA_STUDENT_T({1,0.5;0.5,1}, 5, 5, 42)</f>
        <v/>
      </c>
      <c r="C188" t="inlineStr">
        <is>
          <t>Student-t copula (array)</t>
        </is>
      </c>
    </row>
    <row r="189">
      <c r="A189" s="11" t="inlineStr">
        <is>
          <t>ACT_COPULA_STUDENT_T_SINGLE</t>
        </is>
      </c>
      <c r="B189">
        <f>ACT_COPULA_STUDENT_T_SINGLE({1,0.5;0.5,1}, 5, 42)</f>
        <v/>
      </c>
      <c r="C189" t="inlineStr">
        <is>
          <t>Single Student-t sample</t>
        </is>
      </c>
    </row>
    <row r="190"/>
    <row r="191">
      <c r="A191" s="13" t="inlineStr">
        <is>
          <t>COPULAS - Clayton (lower tail)</t>
        </is>
      </c>
    </row>
    <row r="192">
      <c r="A192" s="11" t="inlineStr">
        <is>
          <t>ACT_COPULA_CLAYTON</t>
        </is>
      </c>
      <c r="B192">
        <f>ACT_COPULA_CLAYTON(2, 5, 42)</f>
        <v/>
      </c>
      <c r="C192" t="inlineStr">
        <is>
          <t>Clayton copula (array)</t>
        </is>
      </c>
    </row>
    <row r="193">
      <c r="A193" s="11" t="inlineStr">
        <is>
          <t>ACT_COPULA_CLAYTON_SINGLE</t>
        </is>
      </c>
      <c r="B193">
        <f>ACT_COPULA_CLAYTON_SINGLE(2, 42)</f>
        <v/>
      </c>
      <c r="C193" t="inlineStr">
        <is>
          <t>Single Clayton sample</t>
        </is>
      </c>
    </row>
    <row r="194">
      <c r="A194" s="11" t="inlineStr">
        <is>
          <t>ACT_COPULA_CLAYTON_CDF</t>
        </is>
      </c>
      <c r="B194">
        <f>ACT_COPULA_CLAYTON_CDF(0.5, 0.5, 2)</f>
        <v/>
      </c>
      <c r="C194" t="inlineStr">
        <is>
          <t>Clayton CDF</t>
        </is>
      </c>
    </row>
    <row r="195"/>
    <row r="196">
      <c r="A196" s="13" t="inlineStr">
        <is>
          <t>COPULAS - Frank (symmetric)</t>
        </is>
      </c>
    </row>
    <row r="197">
      <c r="A197" s="11" t="inlineStr">
        <is>
          <t>ACT_COPULA_FRANK</t>
        </is>
      </c>
      <c r="B197">
        <f>ACT_COPULA_FRANK(5, 5, 42)</f>
        <v/>
      </c>
      <c r="C197" t="inlineStr">
        <is>
          <t>Frank copula (array)</t>
        </is>
      </c>
    </row>
    <row r="198">
      <c r="A198" s="11" t="inlineStr">
        <is>
          <t>ACT_COPULA_FRANK_SINGLE</t>
        </is>
      </c>
      <c r="B198">
        <f>ACT_COPULA_FRANK_SINGLE(5, 42)</f>
        <v/>
      </c>
      <c r="C198" t="inlineStr">
        <is>
          <t>Single Frank sample</t>
        </is>
      </c>
    </row>
    <row r="199">
      <c r="A199" s="11" t="inlineStr">
        <is>
          <t>ACT_COPULA_FRANK_CDF</t>
        </is>
      </c>
      <c r="B199">
        <f>ACT_COPULA_FRANK_CDF(0.5, 0.5, 5)</f>
        <v/>
      </c>
      <c r="C199" t="inlineStr">
        <is>
          <t>Frank CDF</t>
        </is>
      </c>
    </row>
    <row r="200"/>
    <row r="201">
      <c r="A201" s="13" t="inlineStr">
        <is>
          <t>COPULAS - Gumbel (upper tail)</t>
        </is>
      </c>
    </row>
    <row r="202">
      <c r="A202" s="11" t="inlineStr">
        <is>
          <t>ACT_COPULA_GUMBEL</t>
        </is>
      </c>
      <c r="B202">
        <f>ACT_COPULA_GUMBEL(2, 5, 42)</f>
        <v/>
      </c>
      <c r="C202" t="inlineStr">
        <is>
          <t>Gumbel copula (array)</t>
        </is>
      </c>
    </row>
    <row r="203">
      <c r="A203" s="11" t="inlineStr">
        <is>
          <t>ACT_COPULA_GUMBEL_SINGLE</t>
        </is>
      </c>
      <c r="B203">
        <f>ACT_COPULA_GUMBEL_SINGLE(2, 42)</f>
        <v/>
      </c>
      <c r="C203" t="inlineStr">
        <is>
          <t>Single Gumbel sample</t>
        </is>
      </c>
    </row>
    <row r="204">
      <c r="A204" s="11" t="inlineStr">
        <is>
          <t>ACT_COPULA_GUMBEL_CDF</t>
        </is>
      </c>
      <c r="B204">
        <f>ACT_COPULA_GUMBEL_CDF(0.5, 0.5, 2)</f>
        <v/>
      </c>
      <c r="C204" t="inlineStr">
        <is>
          <t>Gumbel CDF</t>
        </is>
      </c>
    </row>
    <row r="205"/>
    <row r="206">
      <c r="A206" s="13" t="inlineStr">
        <is>
          <t>COPULAS - Utilities</t>
        </is>
      </c>
    </row>
    <row r="207">
      <c r="A207" s="11" t="inlineStr">
        <is>
          <t>ACT_COPULA_TAU_TO_THETA</t>
        </is>
      </c>
      <c r="B207">
        <f>ACT_COPULA_TAU_TO_THETA(0.5, "CLAYTON")</f>
        <v/>
      </c>
      <c r="C207" t="inlineStr">
        <is>
          <t>Kendall τ → θ</t>
        </is>
      </c>
    </row>
    <row r="208">
      <c r="A208" s="11" t="inlineStr">
        <is>
          <t>ACT_COPULA_TAIL_LOWER</t>
        </is>
      </c>
      <c r="B208">
        <f>ACT_COPULA_TAIL_LOWER("CLAYTON", 2)</f>
        <v/>
      </c>
      <c r="C208" t="inlineStr">
        <is>
          <t>Lower tail dependence</t>
        </is>
      </c>
    </row>
    <row r="209">
      <c r="A209" s="11" t="inlineStr">
        <is>
          <t>ACT_COPULA_TAIL_UPPER</t>
        </is>
      </c>
      <c r="B209">
        <f>ACT_COPULA_TAIL_UPPER("GUMBEL", 2)</f>
        <v/>
      </c>
      <c r="C209" t="inlineStr">
        <is>
          <t>Upper tail dependence</t>
        </is>
      </c>
    </row>
    <row r="210">
      <c r="A210" s="11" t="inlineStr">
        <is>
          <t>ACT_COPULA_TAIL_LOWER</t>
        </is>
      </c>
      <c r="B210">
        <f>ACT_COPULA_TAIL_LOWER("STUDENT_T", 0.5, 5)</f>
        <v/>
      </c>
      <c r="C210" t="inlineStr">
        <is>
          <t>Student-t lower tail</t>
        </is>
      </c>
    </row>
    <row r="211">
      <c r="A211" s="11" t="inlineStr">
        <is>
          <t>ACT_COPULA_TAIL_UPPER</t>
        </is>
      </c>
      <c r="B211">
        <f>ACT_COPULA_TAIL_UPPER("STUDENT_T", 0.5, 5)</f>
        <v/>
      </c>
      <c r="C211" t="inlineStr">
        <is>
          <t>Student-t upper tail</t>
        </is>
      </c>
    </row>
    <row r="212"/>
    <row r="213">
      <c r="A213" s="13" t="inlineStr">
        <is>
          <t>CHAIN LADDER - See dedicated sheet</t>
        </is>
      </c>
    </row>
    <row r="214"/>
    <row r="215">
      <c r="A215" s="13" t="inlineStr">
        <is>
          <t>(Chain ladder functions tested in 'Chain Ladder' sheet with triangle data)</t>
        </is>
      </c>
    </row>
    <row r="216">
      <c r="A216" s="13" t="inlineStr">
        <is>
          <t>ACT_CL_FACTORS - Development factors (array)</t>
        </is>
      </c>
    </row>
    <row r="217">
      <c r="A217" s="13" t="inlineStr">
        <is>
          <t>ACT_CL_LATEST - Latest diagonal (array)</t>
        </is>
      </c>
    </row>
    <row r="218">
      <c r="A218" s="13" t="inlineStr">
        <is>
          <t>ACT_CL_ULTIMATE - Projected ultimates (array)</t>
        </is>
      </c>
    </row>
    <row r="219">
      <c r="A219" s="13" t="inlineStr">
        <is>
          <t>ACT_CL_IBNR - IBNR reserves (array)</t>
        </is>
      </c>
    </row>
    <row r="220">
      <c r="A220" s="13" t="inlineStr">
        <is>
          <t>ACT_CL_BF_ULTIMATE - Bornhuetter-Ferguson (array)</t>
        </is>
      </c>
    </row>
    <row r="221">
      <c r="A221" s="13" t="inlineStr">
        <is>
          <t>ACT_MACK_FACTOR_SE - Factor std errors (array)</t>
        </is>
      </c>
    </row>
    <row r="222">
      <c r="A222" s="13" t="inlineStr">
        <is>
          <t>ACT_MACK_RESERVE_SE - Reserve std errors (array)</t>
        </is>
      </c>
    </row>
    <row r="223">
      <c r="A223" s="13" t="inlineStr">
        <is>
          <t>ACT_CL_BOOTSTRAP - Bootstrap total (array)</t>
        </is>
      </c>
    </row>
    <row r="224">
      <c r="A224" s="13" t="inlineStr">
        <is>
          <t>ACT_BOOTSTRAP_ORIGIN_CL - Bootstrap by AY (array)</t>
        </is>
      </c>
    </row>
    <row r="225">
      <c r="A225" s="13" t="inlineStr">
        <is>
          <t>ACT_CAPECOD_ULTIMATE - Cape Cod (array)</t>
        </is>
      </c>
    </row>
    <row r="226">
      <c r="A226" s="13" t="inlineStr">
        <is>
          <t>ACT_CAPECOD_ELR - Cape Cod ELR</t>
        </is>
      </c>
    </row>
    <row r="227">
      <c r="A227" s="13" t="inlineStr">
        <is>
          <t>ACT_TRIANGLE_TO_INCREMENTAL - Cum→Inc (array)</t>
        </is>
      </c>
    </row>
    <row r="228">
      <c r="A228" s="13" t="inlineStr">
        <is>
          <t>ACT_INCREMENTAL_TO_CUMULATIVE - Inc→Cum (array)</t>
        </is>
      </c>
    </row>
    <row r="229">
      <c r="A229" s="13" t="inlineStr">
        <is>
          <t>ACT_TRIANGLE_DIAGONAL - Extract diagonal (array)</t>
        </is>
      </c>
    </row>
    <row r="230">
      <c r="A230" s="13" t="inlineStr">
        <is>
          <t>ACT_TRIANGLE_LINK_RATIOS - Link ratios (array)</t>
        </is>
      </c>
    </row>
    <row r="231">
      <c r="A231" s="13" t="inlineStr">
        <is>
          <t>ACT_CL_CALENDAR_ADJUST - Calendar adjust (array)</t>
        </is>
      </c>
    </row>
    <row r="232">
      <c r="A232" s="13" t="inlineStr">
        <is>
          <t>ACT_CL_CALENDAR_TOTALS - Calendar totals (array)</t>
        </is>
      </c>
    </row>
    <row r="233">
      <c r="A233" s="13" t="inlineStr">
        <is>
          <t>ACT_CL_WEIGHTED_AVERAGE - Weighted avg (array)</t>
        </is>
      </c>
    </row>
    <row r="234"/>
    <row r="235">
      <c r="A235" s="13" t="inlineStr">
        <is>
          <t>VERSION INFO</t>
        </is>
      </c>
    </row>
    <row r="236"/>
    <row r="237">
      <c r="A237" s="11" t="inlineStr">
        <is>
          <t>ACT_VERSION</t>
        </is>
      </c>
      <c r="B237">
        <f>ACT_VERSION()</f>
        <v/>
      </c>
      <c r="C237" t="inlineStr">
        <is>
          <t>Current version</t>
        </is>
      </c>
    </row>
    <row r="238">
      <c r="A238" s="11" t="inlineStr">
        <is>
          <t>ACT_BUILD_DATE</t>
        </is>
      </c>
      <c r="B238">
        <f>ACT_BUILD_DATE()</f>
        <v/>
      </c>
      <c r="C238" t="inlineStr">
        <is>
          <t>Build date</t>
        </is>
      </c>
    </row>
    <row r="239">
      <c r="A239" s="11" t="inlineStr">
        <is>
          <t>ACT_GITHUB_URL</t>
        </is>
      </c>
      <c r="B239">
        <f>ACT_GITHUB_URL()</f>
        <v/>
      </c>
      <c r="C239" t="inlineStr">
        <is>
          <t>GitHub URL</t>
        </is>
      </c>
    </row>
    <row r="240">
      <c r="A240" s="11" t="inlineStr">
        <is>
          <t>ACT_COMMIT_COUNT</t>
        </is>
      </c>
      <c r="B240">
        <f>ACT_COMMIT_COUNT()</f>
        <v/>
      </c>
      <c r="C240" t="inlineStr">
        <is>
          <t>Number of commits</t>
        </is>
      </c>
    </row>
    <row r="241">
      <c r="A241" s="11" t="inlineStr">
        <is>
          <t>ACT_COMMIT_INFO</t>
        </is>
      </c>
      <c r="B241">
        <f>ACT_COMMIT_INFO(1, "hash")</f>
        <v/>
      </c>
      <c r="C241" t="inlineStr">
        <is>
          <t>Latest commit hash</t>
        </is>
      </c>
    </row>
    <row r="242">
      <c r="A242" s="11" t="inlineStr">
        <is>
          <t>ACT_COMMIT_INFO</t>
        </is>
      </c>
      <c r="B242">
        <f>ACT_COMMIT_INFO(1, "date")</f>
        <v/>
      </c>
      <c r="C242" t="inlineStr">
        <is>
          <t>Latest commit date</t>
        </is>
      </c>
    </row>
    <row r="243">
      <c r="A243" s="11" t="inlineStr">
        <is>
          <t>ACT_COMMIT_INFO</t>
        </is>
      </c>
      <c r="B243">
        <f>ACT_COMMIT_INFO(1, "message")</f>
        <v/>
      </c>
      <c r="C243" t="inlineStr">
        <is>
          <t>Latest commit message</t>
        </is>
      </c>
    </row>
    <row r="244">
      <c r="A244" s="11" t="inlineStr">
        <is>
          <t>ACT_COMMIT_HISTORY</t>
        </is>
      </c>
      <c r="B244">
        <f>ACT_COMMIT_HISTORY()</f>
        <v/>
      </c>
      <c r="C244" t="inlineStr">
        <is>
          <t>Full history (array)</t>
        </is>
      </c>
    </row>
    <row r="245"/>
    <row r="246"/>
    <row r="247"/>
    <row r="248"/>
    <row r="249"/>
  </sheetData>
  <mergeCells count="1">
    <mergeCell ref="A1:C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226"/>
  <sheetViews>
    <sheetView workbookViewId="0">
      <selection activeCell="A1" sqref="A1"/>
    </sheetView>
  </sheetViews>
  <sheetFormatPr baseColWidth="8" defaultRowHeight="15"/>
  <cols>
    <col width="12" customWidth="1" min="1" max="1"/>
    <col width="15" customWidth="1" min="2" max="2"/>
    <col width="15" customWidth="1" min="3" max="3"/>
    <col width="20" customWidth="1" min="4" max="4"/>
    <col width="5" customWidth="1" min="5" max="5"/>
    <col width="15" customWidth="1" min="6" max="6"/>
  </cols>
  <sheetData>
    <row r="1">
      <c r="A1" s="1" t="inlineStr">
        <is>
          <t>Statistical Distributions</t>
        </is>
      </c>
    </row>
    <row r="3">
      <c r="A3" s="2" t="inlineStr">
        <is>
          <t>PDF = Probability Density Function, CDF = Cumulative Distribution Function</t>
        </is>
      </c>
    </row>
    <row r="5">
      <c r="A5" s="2" t="inlineStr">
        <is>
          <t>NORMAL DISTRIBUTION (mu=0, sigma=1)</t>
        </is>
      </c>
    </row>
    <row r="6">
      <c r="A6" s="3" t="inlineStr">
        <is>
          <t>x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-3</v>
      </c>
      <c r="B7" s="4">
        <f>ACT_DIST_NORMAL_PDF(A7, 0, 1)</f>
        <v/>
      </c>
      <c r="C7" s="4">
        <f>ACT_DIST_NORMAL_CDF(A7, 0, 1)</f>
        <v/>
      </c>
      <c r="D7" s="4" t="inlineStr"/>
    </row>
    <row r="8">
      <c r="A8" s="4" t="n">
        <v>-2</v>
      </c>
      <c r="B8" s="4">
        <f>ACT_DIST_NORMAL_PDF(A8, 0, 1)</f>
        <v/>
      </c>
      <c r="C8" s="4">
        <f>ACT_DIST_NORMAL_CDF(A8, 0, 1)</f>
        <v/>
      </c>
      <c r="D8" s="4" t="inlineStr"/>
    </row>
    <row r="9">
      <c r="A9" s="4" t="n">
        <v>-1</v>
      </c>
      <c r="B9" s="4">
        <f>ACT_DIST_NORMAL_PDF(A9, 0, 1)</f>
        <v/>
      </c>
      <c r="C9" s="4">
        <f>ACT_DIST_NORMAL_CDF(A9, 0, 1)</f>
        <v/>
      </c>
      <c r="D9" s="4" t="inlineStr"/>
    </row>
    <row r="10">
      <c r="A10" s="4" t="n">
        <v>-0.5</v>
      </c>
      <c r="B10" s="4">
        <f>ACT_DIST_NORMAL_PDF(A10, 0, 1)</f>
        <v/>
      </c>
      <c r="C10" s="4">
        <f>ACT_DIST_NORMAL_CDF(A10, 0, 1)</f>
        <v/>
      </c>
      <c r="D10" s="4" t="inlineStr"/>
    </row>
    <row r="11">
      <c r="A11" s="4" t="n">
        <v>0</v>
      </c>
      <c r="B11" s="4">
        <f>ACT_DIST_NORMAL_PDF(A11, 0, 1)</f>
        <v/>
      </c>
      <c r="C11" s="4">
        <f>ACT_DIST_NORMAL_CDF(A11, 0, 1)</f>
        <v/>
      </c>
      <c r="D11" s="4" t="inlineStr">
        <is>
          <t>Mean</t>
        </is>
      </c>
    </row>
    <row r="12">
      <c r="A12" s="4" t="n">
        <v>0.5</v>
      </c>
      <c r="B12" s="4">
        <f>ACT_DIST_NORMAL_PDF(A12, 0, 1)</f>
        <v/>
      </c>
      <c r="C12" s="4">
        <f>ACT_DIST_NORMAL_CDF(A12, 0, 1)</f>
        <v/>
      </c>
      <c r="D12" s="4" t="inlineStr"/>
    </row>
    <row r="13">
      <c r="A13" s="4" t="n">
        <v>1</v>
      </c>
      <c r="B13" s="4">
        <f>ACT_DIST_NORMAL_PDF(A13, 0, 1)</f>
        <v/>
      </c>
      <c r="C13" s="4">
        <f>ACT_DIST_NORMAL_CDF(A13, 0, 1)</f>
        <v/>
      </c>
      <c r="D13" s="4" t="inlineStr"/>
    </row>
    <row r="14">
      <c r="A14" s="4" t="n">
        <v>2</v>
      </c>
      <c r="B14" s="4">
        <f>ACT_DIST_NORMAL_PDF(A14, 0, 1)</f>
        <v/>
      </c>
      <c r="C14" s="4">
        <f>ACT_DIST_NORMAL_CDF(A14, 0, 1)</f>
        <v/>
      </c>
      <c r="D14" s="4" t="inlineStr"/>
    </row>
    <row r="15">
      <c r="A15" s="4" t="n">
        <v>3</v>
      </c>
      <c r="B15" s="4">
        <f>ACT_DIST_NORMAL_PDF(A15, 0, 1)</f>
        <v/>
      </c>
      <c r="C15" s="4">
        <f>ACT_DIST_NORMAL_CDF(A15, 0, 1)</f>
        <v/>
      </c>
      <c r="D15" s="4" t="inlineStr"/>
    </row>
    <row r="20">
      <c r="A20" s="2" t="inlineStr">
        <is>
          <t>POISSON DISTRIBUTION (lambda=5)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ACT_DIST_POISSON_PDF(A22, 5)</f>
        <v/>
      </c>
      <c r="C22" s="4">
        <f>ACT_DIST_POISSON_CDF(A22, 5)</f>
        <v/>
      </c>
      <c r="D22" s="4" t="inlineStr"/>
    </row>
    <row r="23">
      <c r="A23" s="4" t="n">
        <v>1</v>
      </c>
      <c r="B23" s="4">
        <f>ACT_DIST_POISSON_PDF(A23, 5)</f>
        <v/>
      </c>
      <c r="C23" s="4">
        <f>ACT_DIST_POISSON_CDF(A23, 5)</f>
        <v/>
      </c>
      <c r="D23" s="4" t="inlineStr"/>
    </row>
    <row r="24">
      <c r="A24" s="4" t="n">
        <v>2</v>
      </c>
      <c r="B24" s="4">
        <f>ACT_DIST_POISSON_PDF(A24, 5)</f>
        <v/>
      </c>
      <c r="C24" s="4">
        <f>ACT_DIST_POISSON_CDF(A24, 5)</f>
        <v/>
      </c>
      <c r="D24" s="4" t="inlineStr"/>
    </row>
    <row r="25">
      <c r="A25" s="4" t="n">
        <v>3</v>
      </c>
      <c r="B25" s="4">
        <f>ACT_DIST_POISSON_PDF(A25, 5)</f>
        <v/>
      </c>
      <c r="C25" s="4">
        <f>ACT_DIST_POISSON_CDF(A25, 5)</f>
        <v/>
      </c>
      <c r="D25" s="4" t="inlineStr"/>
    </row>
    <row r="26">
      <c r="A26" s="4" t="n">
        <v>4</v>
      </c>
      <c r="B26" s="4">
        <f>ACT_DIST_POISSON_PDF(A26, 5)</f>
        <v/>
      </c>
      <c r="C26" s="4">
        <f>ACT_DIST_POISSON_CDF(A26, 5)</f>
        <v/>
      </c>
      <c r="D26" s="4" t="inlineStr"/>
    </row>
    <row r="27">
      <c r="A27" s="4" t="n">
        <v>5</v>
      </c>
      <c r="B27" s="4">
        <f>ACT_DIST_POISSON_PDF(A27, 5)</f>
        <v/>
      </c>
      <c r="C27" s="4">
        <f>ACT_DIST_POISSON_CDF(A27, 5)</f>
        <v/>
      </c>
      <c r="D27" s="4" t="inlineStr">
        <is>
          <t>Mode</t>
        </is>
      </c>
    </row>
    <row r="28">
      <c r="A28" s="4" t="n">
        <v>6</v>
      </c>
      <c r="B28" s="4">
        <f>ACT_DIST_POISSON_PDF(A28, 5)</f>
        <v/>
      </c>
      <c r="C28" s="4">
        <f>ACT_DIST_POISSON_CDF(A28, 5)</f>
        <v/>
      </c>
      <c r="D28" s="4" t="inlineStr"/>
    </row>
    <row r="29">
      <c r="A29" s="4" t="n">
        <v>7</v>
      </c>
      <c r="B29" s="4">
        <f>ACT_DIST_POISSON_PDF(A29, 5)</f>
        <v/>
      </c>
      <c r="C29" s="4">
        <f>ACT_DIST_POISSON_CDF(A29, 5)</f>
        <v/>
      </c>
      <c r="D29" s="4" t="inlineStr"/>
    </row>
    <row r="30">
      <c r="A30" s="4" t="n">
        <v>8</v>
      </c>
      <c r="B30" s="4">
        <f>ACT_DIST_POISSON_PDF(A30, 5)</f>
        <v/>
      </c>
      <c r="C30" s="4">
        <f>ACT_DIST_POISSON_CDF(A30, 5)</f>
        <v/>
      </c>
      <c r="D30" s="4" t="inlineStr"/>
    </row>
    <row r="31">
      <c r="A31" s="4" t="n">
        <v>9</v>
      </c>
      <c r="B31" s="4">
        <f>ACT_DIST_POISSON_PDF(A31, 5)</f>
        <v/>
      </c>
      <c r="C31" s="4">
        <f>ACT_DIST_POISSON_CDF(A31, 5)</f>
        <v/>
      </c>
      <c r="D31" s="4" t="inlineStr"/>
    </row>
    <row r="32">
      <c r="A32" s="4" t="n">
        <v>10</v>
      </c>
      <c r="B32" s="4">
        <f>ACT_DIST_POISSON_PDF(A32, 5)</f>
        <v/>
      </c>
      <c r="C32" s="4">
        <f>ACT_DIST_POISSON_CDF(A32, 5)</f>
        <v/>
      </c>
      <c r="D32" s="4" t="inlineStr"/>
    </row>
    <row r="35">
      <c r="A35" s="2" t="inlineStr">
        <is>
          <t>NEGATIVE BINOMIAL DISTRIBUTION (r=5, p=0.3)</t>
        </is>
      </c>
    </row>
    <row r="36">
      <c r="A36" s="3" t="inlineStr">
        <is>
          <t>k</t>
        </is>
      </c>
      <c r="B36" s="3" t="inlineStr">
        <is>
          <t>PDF</t>
        </is>
      </c>
      <c r="C36" s="3" t="inlineStr">
        <is>
          <t>CDF</t>
        </is>
      </c>
      <c r="D36" s="3" t="inlineStr">
        <is>
          <t>Notes</t>
        </is>
      </c>
    </row>
    <row r="37">
      <c r="A37" s="4" t="n">
        <v>0</v>
      </c>
      <c r="B37" s="4">
        <f>ACT_DIST_NEGBIN_PDF(A37, 5, 0.3)</f>
        <v/>
      </c>
      <c r="C37" s="4">
        <f>ACT_DIST_NEGBIN_CDF(A37, 5, 0.3)</f>
        <v/>
      </c>
      <c r="D37" s="4" t="inlineStr"/>
    </row>
    <row r="38">
      <c r="A38" s="4" t="n">
        <v>1</v>
      </c>
      <c r="B38" s="4">
        <f>ACT_DIST_NEGBIN_PDF(A38, 5, 0.3)</f>
        <v/>
      </c>
      <c r="C38" s="4">
        <f>ACT_DIST_NEGBIN_CDF(A38, 5, 0.3)</f>
        <v/>
      </c>
      <c r="D38" s="4" t="inlineStr"/>
    </row>
    <row r="39">
      <c r="A39" s="4" t="n">
        <v>2</v>
      </c>
      <c r="B39" s="4">
        <f>ACT_DIST_NEGBIN_PDF(A39, 5, 0.3)</f>
        <v/>
      </c>
      <c r="C39" s="4">
        <f>ACT_DIST_NEGBIN_CDF(A39, 5, 0.3)</f>
        <v/>
      </c>
      <c r="D39" s="4" t="inlineStr"/>
    </row>
    <row r="40">
      <c r="A40" s="4" t="n">
        <v>3</v>
      </c>
      <c r="B40" s="4">
        <f>ACT_DIST_NEGBIN_PDF(A40, 5, 0.3)</f>
        <v/>
      </c>
      <c r="C40" s="4">
        <f>ACT_DIST_NEGBIN_CDF(A40, 5, 0.3)</f>
        <v/>
      </c>
      <c r="D40" s="4" t="inlineStr"/>
    </row>
    <row r="41">
      <c r="A41" s="4" t="n">
        <v>4</v>
      </c>
      <c r="B41" s="4">
        <f>ACT_DIST_NEGBIN_PDF(A41, 5, 0.3)</f>
        <v/>
      </c>
      <c r="C41" s="4">
        <f>ACT_DIST_NEGBIN_CDF(A41, 5, 0.3)</f>
        <v/>
      </c>
      <c r="D41" s="4" t="inlineStr"/>
    </row>
    <row r="42">
      <c r="A42" s="4" t="n">
        <v>5</v>
      </c>
      <c r="B42" s="4">
        <f>ACT_DIST_NEGBIN_PDF(A42, 5, 0.3)</f>
        <v/>
      </c>
      <c r="C42" s="4">
        <f>ACT_DIST_NEGBIN_CDF(A42, 5, 0.3)</f>
        <v/>
      </c>
      <c r="D42" s="4" t="inlineStr"/>
    </row>
    <row r="43">
      <c r="A43" s="4" t="n">
        <v>6</v>
      </c>
      <c r="B43" s="4">
        <f>ACT_DIST_NEGBIN_PDF(A43, 5, 0.3)</f>
        <v/>
      </c>
      <c r="C43" s="4">
        <f>ACT_DIST_NEGBIN_CDF(A43, 5, 0.3)</f>
        <v/>
      </c>
      <c r="D43" s="4" t="inlineStr"/>
    </row>
    <row r="44">
      <c r="A44" s="4" t="n">
        <v>7</v>
      </c>
      <c r="B44" s="4">
        <f>ACT_DIST_NEGBIN_PDF(A44, 5, 0.3)</f>
        <v/>
      </c>
      <c r="C44" s="4">
        <f>ACT_DIST_NEGBIN_CDF(A44, 5, 0.3)</f>
        <v/>
      </c>
      <c r="D44" s="4" t="inlineStr"/>
    </row>
    <row r="45">
      <c r="A45" s="4" t="n">
        <v>8</v>
      </c>
      <c r="B45" s="4">
        <f>ACT_DIST_NEGBIN_PDF(A45, 5, 0.3)</f>
        <v/>
      </c>
      <c r="C45" s="4">
        <f>ACT_DIST_NEGBIN_CDF(A45, 5, 0.3)</f>
        <v/>
      </c>
      <c r="D45" s="4" t="inlineStr"/>
    </row>
    <row r="46">
      <c r="A46" s="4" t="n">
        <v>9</v>
      </c>
      <c r="B46" s="4">
        <f>ACT_DIST_NEGBIN_PDF(A46, 5, 0.3)</f>
        <v/>
      </c>
      <c r="C46" s="4">
        <f>ACT_DIST_NEGBIN_CDF(A46, 5, 0.3)</f>
        <v/>
      </c>
      <c r="D46" s="4" t="inlineStr"/>
    </row>
    <row r="47">
      <c r="A47" s="4" t="n">
        <v>10</v>
      </c>
      <c r="B47" s="4">
        <f>ACT_DIST_NEGBIN_PDF(A47, 5, 0.3)</f>
        <v/>
      </c>
      <c r="C47" s="4">
        <f>ACT_DIST_NEGBIN_CDF(A47, 5, 0.3)</f>
        <v/>
      </c>
      <c r="D47" s="4" t="inlineStr"/>
    </row>
    <row r="48">
      <c r="A48" s="4" t="n">
        <v>11</v>
      </c>
      <c r="B48" s="4">
        <f>ACT_DIST_NEGBIN_PDF(A48, 5, 0.3)</f>
        <v/>
      </c>
      <c r="C48" s="4">
        <f>ACT_DIST_NEGBIN_CDF(A48, 5, 0.3)</f>
        <v/>
      </c>
      <c r="D48" s="4" t="inlineStr"/>
    </row>
    <row r="50">
      <c r="A50" s="2" t="inlineStr">
        <is>
          <t>LOGNORMAL DISTRIBUTION (mu=0, sigma=1)</t>
        </is>
      </c>
    </row>
    <row r="51">
      <c r="A51" s="3" t="inlineStr">
        <is>
          <t>x</t>
        </is>
      </c>
      <c r="B51" s="3" t="inlineStr">
        <is>
          <t>PDF</t>
        </is>
      </c>
      <c r="C51" s="3" t="inlineStr">
        <is>
          <t>CDF</t>
        </is>
      </c>
      <c r="D51" s="3" t="inlineStr">
        <is>
          <t>Notes</t>
        </is>
      </c>
    </row>
    <row r="52">
      <c r="A52" s="4" t="n">
        <v>0.1</v>
      </c>
      <c r="B52" s="4">
        <f>ACT_DIST_LOGNORM_PDF(A52, 0, 1)</f>
        <v/>
      </c>
      <c r="C52" s="4">
        <f>ACT_DIST_LOGNORM_CDF(A52, 0, 1)</f>
        <v/>
      </c>
      <c r="D52" s="4" t="inlineStr"/>
    </row>
    <row r="53">
      <c r="A53" s="4" t="n">
        <v>0.25</v>
      </c>
      <c r="B53" s="4">
        <f>ACT_DIST_LOGNORM_PDF(A53, 0, 1)</f>
        <v/>
      </c>
      <c r="C53" s="4">
        <f>ACT_DIST_LOGNORM_CDF(A53, 0, 1)</f>
        <v/>
      </c>
      <c r="D53" s="4" t="inlineStr"/>
    </row>
    <row r="54">
      <c r="A54" s="4" t="n">
        <v>0.5</v>
      </c>
      <c r="B54" s="4">
        <f>ACT_DIST_LOGNORM_PDF(A54, 0, 1)</f>
        <v/>
      </c>
      <c r="C54" s="4">
        <f>ACT_DIST_LOGNORM_CDF(A54, 0, 1)</f>
        <v/>
      </c>
      <c r="D54" s="4" t="inlineStr"/>
    </row>
    <row r="55">
      <c r="A55" s="4" t="n">
        <v>0.75</v>
      </c>
      <c r="B55" s="4">
        <f>ACT_DIST_LOGNORM_PDF(A55, 0, 1)</f>
        <v/>
      </c>
      <c r="C55" s="4">
        <f>ACT_DIST_LOGNORM_CDF(A55, 0, 1)</f>
        <v/>
      </c>
      <c r="D55" s="4" t="inlineStr"/>
    </row>
    <row r="56">
      <c r="A56" s="4" t="n">
        <v>1</v>
      </c>
      <c r="B56" s="4">
        <f>ACT_DIST_LOGNORM_PDF(A56, 0, 1)</f>
        <v/>
      </c>
      <c r="C56" s="4">
        <f>ACT_DIST_LOGNORM_CDF(A56, 0, 1)</f>
        <v/>
      </c>
      <c r="D56" s="4" t="inlineStr">
        <is>
          <t>Median</t>
        </is>
      </c>
    </row>
    <row r="57">
      <c r="A57" s="4" t="n">
        <v>1.5</v>
      </c>
      <c r="B57" s="4">
        <f>ACT_DIST_LOGNORM_PDF(A57, 0, 1)</f>
        <v/>
      </c>
      <c r="C57" s="4">
        <f>ACT_DIST_LOGNORM_CDF(A57, 0, 1)</f>
        <v/>
      </c>
      <c r="D57" s="4" t="inlineStr"/>
    </row>
    <row r="58">
      <c r="A58" s="4" t="n">
        <v>2</v>
      </c>
      <c r="B58" s="4">
        <f>ACT_DIST_LOGNORM_PDF(A58, 0, 1)</f>
        <v/>
      </c>
      <c r="C58" s="4">
        <f>ACT_DIST_LOGNORM_CDF(A58, 0, 1)</f>
        <v/>
      </c>
      <c r="D58" s="4" t="inlineStr"/>
    </row>
    <row r="59">
      <c r="A59" s="4" t="n">
        <v>3</v>
      </c>
      <c r="B59" s="4">
        <f>ACT_DIST_LOGNORM_PDF(A59, 0, 1)</f>
        <v/>
      </c>
      <c r="C59" s="4">
        <f>ACT_DIST_LOGNORM_CDF(A59, 0, 1)</f>
        <v/>
      </c>
      <c r="D59" s="4" t="inlineStr"/>
    </row>
    <row r="60">
      <c r="A60" s="4" t="n">
        <v>4</v>
      </c>
      <c r="B60" s="4">
        <f>ACT_DIST_LOGNORM_PDF(A60, 0, 1)</f>
        <v/>
      </c>
      <c r="C60" s="4">
        <f>ACT_DIST_LOGNORM_CDF(A60, 0, 1)</f>
        <v/>
      </c>
      <c r="D60" s="4" t="inlineStr"/>
    </row>
    <row r="61">
      <c r="A61" s="4" t="n">
        <v>5</v>
      </c>
      <c r="B61" s="4">
        <f>ACT_DIST_LOGNORM_PDF(A61, 0, 1)</f>
        <v/>
      </c>
      <c r="C61" s="4">
        <f>ACT_DIST_LOGNORM_CDF(A61, 0, 1)</f>
        <v/>
      </c>
      <c r="D61" s="4" t="inlineStr"/>
    </row>
    <row r="65">
      <c r="A65" s="2" t="inlineStr">
        <is>
          <t>GAMMA DISTRIBUTION (alpha=2, beta=1)</t>
        </is>
      </c>
    </row>
    <row r="66">
      <c r="A66" s="3" t="inlineStr">
        <is>
          <t>x</t>
        </is>
      </c>
      <c r="B66" s="3" t="inlineStr">
        <is>
          <t>PDF</t>
        </is>
      </c>
      <c r="C66" s="3" t="inlineStr">
        <is>
          <t>CDF</t>
        </is>
      </c>
      <c r="D66" s="3" t="inlineStr">
        <is>
          <t>Notes</t>
        </is>
      </c>
    </row>
    <row r="67">
      <c r="A67" s="4" t="n">
        <v>0</v>
      </c>
      <c r="B67" s="4">
        <f>ACT_DIST_GAMMA_PDF(A67, 2, 1)</f>
        <v/>
      </c>
      <c r="C67" s="4">
        <f>ACT_DIST_GAMMA_CDF(A67, 2, 1)</f>
        <v/>
      </c>
      <c r="D67" s="4" t="inlineStr"/>
    </row>
    <row r="68">
      <c r="A68" s="4" t="n">
        <v>0.5</v>
      </c>
      <c r="B68" s="4">
        <f>ACT_DIST_GAMMA_PDF(A68, 2, 1)</f>
        <v/>
      </c>
      <c r="C68" s="4">
        <f>ACT_DIST_GAMMA_CDF(A68, 2, 1)</f>
        <v/>
      </c>
      <c r="D68" s="4" t="inlineStr"/>
    </row>
    <row r="69">
      <c r="A69" s="4" t="n">
        <v>1</v>
      </c>
      <c r="B69" s="4">
        <f>ACT_DIST_GAMMA_PDF(A69, 2, 1)</f>
        <v/>
      </c>
      <c r="C69" s="4">
        <f>ACT_DIST_GAMMA_CDF(A69, 2, 1)</f>
        <v/>
      </c>
      <c r="D69" s="4" t="inlineStr"/>
    </row>
    <row r="70">
      <c r="A70" s="4" t="n">
        <v>1.5</v>
      </c>
      <c r="B70" s="4">
        <f>ACT_DIST_GAMMA_PDF(A70, 2, 1)</f>
        <v/>
      </c>
      <c r="C70" s="4">
        <f>ACT_DIST_GAMMA_CDF(A70, 2, 1)</f>
        <v/>
      </c>
      <c r="D70" s="4" t="inlineStr"/>
    </row>
    <row r="71">
      <c r="A71" s="4" t="n">
        <v>2</v>
      </c>
      <c r="B71" s="4">
        <f>ACT_DIST_GAMMA_PDF(A71, 2, 1)</f>
        <v/>
      </c>
      <c r="C71" s="4">
        <f>ACT_DIST_GAMMA_CDF(A71, 2, 1)</f>
        <v/>
      </c>
      <c r="D71" s="4" t="inlineStr">
        <is>
          <t>Mean</t>
        </is>
      </c>
    </row>
    <row r="72">
      <c r="A72" s="4" t="n">
        <v>3</v>
      </c>
      <c r="B72" s="4">
        <f>ACT_DIST_GAMMA_PDF(A72, 2, 1)</f>
        <v/>
      </c>
      <c r="C72" s="4">
        <f>ACT_DIST_GAMMA_CDF(A72, 2, 1)</f>
        <v/>
      </c>
      <c r="D72" s="4" t="inlineStr"/>
    </row>
    <row r="73">
      <c r="A73" s="4" t="n">
        <v>4</v>
      </c>
      <c r="B73" s="4">
        <f>ACT_DIST_GAMMA_PDF(A73, 2, 1)</f>
        <v/>
      </c>
      <c r="C73" s="4">
        <f>ACT_DIST_GAMMA_CDF(A73, 2, 1)</f>
        <v/>
      </c>
      <c r="D73" s="4" t="inlineStr"/>
    </row>
    <row r="74">
      <c r="A74" s="4" t="n">
        <v>5</v>
      </c>
      <c r="B74" s="4">
        <f>ACT_DIST_GAMMA_PDF(A74, 2, 1)</f>
        <v/>
      </c>
      <c r="C74" s="4">
        <f>ACT_DIST_GAMMA_CDF(A74, 2, 1)</f>
        <v/>
      </c>
      <c r="D74" s="4" t="inlineStr"/>
    </row>
    <row r="75">
      <c r="A75" s="4" t="n">
        <v>6</v>
      </c>
      <c r="B75" s="4">
        <f>ACT_DIST_GAMMA_PDF(A75, 2, 1)</f>
        <v/>
      </c>
      <c r="C75" s="4">
        <f>ACT_DIST_GAMMA_CDF(A75, 2, 1)</f>
        <v/>
      </c>
      <c r="D75" s="4" t="inlineStr"/>
    </row>
    <row r="80">
      <c r="A80" s="2" t="inlineStr">
        <is>
          <t>EXPONENTIAL DISTRIBUTION (lambda=1)</t>
        </is>
      </c>
    </row>
    <row r="81">
      <c r="A81" s="3" t="inlineStr">
        <is>
          <t>x</t>
        </is>
      </c>
      <c r="B81" s="3" t="inlineStr">
        <is>
          <t>PDF</t>
        </is>
      </c>
      <c r="C81" s="3" t="inlineStr">
        <is>
          <t>CDF</t>
        </is>
      </c>
      <c r="D81" s="3" t="inlineStr">
        <is>
          <t>Notes</t>
        </is>
      </c>
    </row>
    <row r="82">
      <c r="A82" s="4" t="n">
        <v>0</v>
      </c>
      <c r="B82" s="4">
        <f>ACT_DIST_EXP_PDF(A82, 1)</f>
        <v/>
      </c>
      <c r="C82" s="4">
        <f>ACT_DIST_EXP_CDF(A82, 1)</f>
        <v/>
      </c>
      <c r="D82" s="4" t="inlineStr"/>
    </row>
    <row r="83">
      <c r="A83" s="4" t="n">
        <v>0.5</v>
      </c>
      <c r="B83" s="4">
        <f>ACT_DIST_EXP_PDF(A83, 1)</f>
        <v/>
      </c>
      <c r="C83" s="4">
        <f>ACT_DIST_EXP_CDF(A83, 1)</f>
        <v/>
      </c>
      <c r="D83" s="4" t="inlineStr"/>
    </row>
    <row r="84">
      <c r="A84" s="4" t="n">
        <v>1</v>
      </c>
      <c r="B84" s="4">
        <f>ACT_DIST_EXP_PDF(A84, 1)</f>
        <v/>
      </c>
      <c r="C84" s="4">
        <f>ACT_DIST_EXP_CDF(A84, 1)</f>
        <v/>
      </c>
      <c r="D84" s="4" t="inlineStr">
        <is>
          <t>Mean</t>
        </is>
      </c>
    </row>
    <row r="85">
      <c r="A85" s="4" t="n">
        <v>1.5</v>
      </c>
      <c r="B85" s="4">
        <f>ACT_DIST_EXP_PDF(A85, 1)</f>
        <v/>
      </c>
      <c r="C85" s="4">
        <f>ACT_DIST_EXP_CDF(A85, 1)</f>
        <v/>
      </c>
      <c r="D85" s="4" t="inlineStr"/>
    </row>
    <row r="86">
      <c r="A86" s="4" t="n">
        <v>2</v>
      </c>
      <c r="B86" s="4">
        <f>ACT_DIST_EXP_PDF(A86, 1)</f>
        <v/>
      </c>
      <c r="C86" s="4">
        <f>ACT_DIST_EXP_CDF(A86, 1)</f>
        <v/>
      </c>
      <c r="D86" s="4" t="inlineStr"/>
    </row>
    <row r="87">
      <c r="A87" s="4" t="n">
        <v>2.5</v>
      </c>
      <c r="B87" s="4">
        <f>ACT_DIST_EXP_PDF(A87, 1)</f>
        <v/>
      </c>
      <c r="C87" s="4">
        <f>ACT_DIST_EXP_CDF(A87, 1)</f>
        <v/>
      </c>
      <c r="D87" s="4" t="inlineStr"/>
    </row>
    <row r="88">
      <c r="A88" s="4" t="n">
        <v>3</v>
      </c>
      <c r="B88" s="4">
        <f>ACT_DIST_EXP_PDF(A88, 1)</f>
        <v/>
      </c>
      <c r="C88" s="4">
        <f>ACT_DIST_EXP_CDF(A88, 1)</f>
        <v/>
      </c>
      <c r="D88" s="4" t="inlineStr"/>
    </row>
    <row r="89">
      <c r="A89" s="4" t="n">
        <v>4</v>
      </c>
      <c r="B89" s="4">
        <f>ACT_DIST_EXP_PDF(A89, 1)</f>
        <v/>
      </c>
      <c r="C89" s="4">
        <f>ACT_DIST_EXP_CDF(A89, 1)</f>
        <v/>
      </c>
      <c r="D89" s="4" t="inlineStr"/>
    </row>
    <row r="90">
      <c r="A90" s="4" t="n">
        <v>5</v>
      </c>
      <c r="B90" s="4">
        <f>ACT_DIST_EXP_PDF(A90, 1)</f>
        <v/>
      </c>
      <c r="C90" s="4">
        <f>ACT_DIST_EXP_CDF(A90, 1)</f>
        <v/>
      </c>
      <c r="D90" s="4" t="inlineStr"/>
    </row>
    <row r="95">
      <c r="A95" s="2" t="inlineStr">
        <is>
          <t>WEIBULL DISTRIBUTION (k=2, lambda=1)</t>
        </is>
      </c>
    </row>
    <row r="96">
      <c r="A96" s="3" t="inlineStr">
        <is>
          <t>x</t>
        </is>
      </c>
      <c r="B96" s="3" t="inlineStr">
        <is>
          <t>PDF</t>
        </is>
      </c>
      <c r="C96" s="3" t="inlineStr">
        <is>
          <t>CDF</t>
        </is>
      </c>
      <c r="D96" s="3" t="inlineStr">
        <is>
          <t>Notes</t>
        </is>
      </c>
    </row>
    <row r="97">
      <c r="A97" s="4" t="n">
        <v>0</v>
      </c>
      <c r="B97" s="4">
        <f>ACT_DIST_WEIBULL_PDF(A97, 2, 1)</f>
        <v/>
      </c>
      <c r="C97" s="4">
        <f>ACT_DIST_WEIBULL_CDF(A97, 2, 1)</f>
        <v/>
      </c>
      <c r="D97" s="4" t="inlineStr"/>
    </row>
    <row r="98">
      <c r="A98" s="4" t="n">
        <v>0.25</v>
      </c>
      <c r="B98" s="4">
        <f>ACT_DIST_WEIBULL_PDF(A98, 2, 1)</f>
        <v/>
      </c>
      <c r="C98" s="4">
        <f>ACT_DIST_WEIBULL_CDF(A98, 2, 1)</f>
        <v/>
      </c>
      <c r="D98" s="4" t="inlineStr"/>
    </row>
    <row r="99">
      <c r="A99" s="4" t="n">
        <v>0.5</v>
      </c>
      <c r="B99" s="4">
        <f>ACT_DIST_WEIBULL_PDF(A99, 2, 1)</f>
        <v/>
      </c>
      <c r="C99" s="4">
        <f>ACT_DIST_WEIBULL_CDF(A99, 2, 1)</f>
        <v/>
      </c>
      <c r="D99" s="4" t="inlineStr"/>
    </row>
    <row r="100">
      <c r="A100" s="4" t="n">
        <v>0.75</v>
      </c>
      <c r="B100" s="4">
        <f>ACT_DIST_WEIBULL_PDF(A100, 2, 1)</f>
        <v/>
      </c>
      <c r="C100" s="4">
        <f>ACT_DIST_WEIBULL_CDF(A100, 2, 1)</f>
        <v/>
      </c>
      <c r="D100" s="4" t="inlineStr"/>
    </row>
    <row r="101">
      <c r="A101" s="4" t="n">
        <v>1</v>
      </c>
      <c r="B101" s="4">
        <f>ACT_DIST_WEIBULL_PDF(A101, 2, 1)</f>
        <v/>
      </c>
      <c r="C101" s="4">
        <f>ACT_DIST_WEIBULL_CDF(A101, 2, 1)</f>
        <v/>
      </c>
      <c r="D101" s="4" t="inlineStr"/>
    </row>
    <row r="102">
      <c r="A102" s="4" t="n">
        <v>1.5</v>
      </c>
      <c r="B102" s="4">
        <f>ACT_DIST_WEIBULL_PDF(A102, 2, 1)</f>
        <v/>
      </c>
      <c r="C102" s="4">
        <f>ACT_DIST_WEIBULL_CDF(A102, 2, 1)</f>
        <v/>
      </c>
      <c r="D102" s="4" t="inlineStr"/>
    </row>
    <row r="103">
      <c r="A103" s="4" t="n">
        <v>2</v>
      </c>
      <c r="B103" s="4">
        <f>ACT_DIST_WEIBULL_PDF(A103, 2, 1)</f>
        <v/>
      </c>
      <c r="C103" s="4">
        <f>ACT_DIST_WEIBULL_CDF(A103, 2, 1)</f>
        <v/>
      </c>
      <c r="D103" s="4" t="inlineStr"/>
    </row>
    <row r="104">
      <c r="A104" s="4" t="n">
        <v>2.5</v>
      </c>
      <c r="B104" s="4">
        <f>ACT_DIST_WEIBULL_PDF(A104, 2, 1)</f>
        <v/>
      </c>
      <c r="C104" s="4">
        <f>ACT_DIST_WEIBULL_CDF(A104, 2, 1)</f>
        <v/>
      </c>
      <c r="D104" s="4" t="inlineStr"/>
    </row>
    <row r="105">
      <c r="A105" s="4" t="n">
        <v>3</v>
      </c>
      <c r="B105" s="4">
        <f>ACT_DIST_WEIBULL_PDF(A105, 2, 1)</f>
        <v/>
      </c>
      <c r="C105" s="4">
        <f>ACT_DIST_WEIBULL_CDF(A105, 2, 1)</f>
        <v/>
      </c>
      <c r="D105" s="4" t="inlineStr"/>
    </row>
    <row r="110">
      <c r="A110" s="2" t="inlineStr">
        <is>
          <t>BETA DISTRIBUTION (alpha=2, beta=5)</t>
        </is>
      </c>
    </row>
    <row r="111">
      <c r="A111" s="3" t="inlineStr">
        <is>
          <t>x</t>
        </is>
      </c>
      <c r="B111" s="3" t="inlineStr">
        <is>
          <t>PDF</t>
        </is>
      </c>
      <c r="C111" s="3" t="inlineStr">
        <is>
          <t>CDF</t>
        </is>
      </c>
      <c r="D111" s="3" t="inlineStr">
        <is>
          <t>Notes</t>
        </is>
      </c>
    </row>
    <row r="112">
      <c r="A112" s="4" t="n">
        <v>0</v>
      </c>
      <c r="B112" s="4">
        <f>ACT_DIST_BETA_PDF(A112, 2, 5)</f>
        <v/>
      </c>
      <c r="C112" s="4">
        <f>ACT_DIST_BETA_CDF(A112, 2, 5)</f>
        <v/>
      </c>
      <c r="D112" s="4" t="inlineStr"/>
    </row>
    <row r="113">
      <c r="A113" s="4" t="n">
        <v>0.1</v>
      </c>
      <c r="B113" s="4">
        <f>ACT_DIST_BETA_PDF(A113, 2, 5)</f>
        <v/>
      </c>
      <c r="C113" s="4">
        <f>ACT_DIST_BETA_CDF(A113, 2, 5)</f>
        <v/>
      </c>
      <c r="D113" s="4" t="inlineStr"/>
    </row>
    <row r="114">
      <c r="A114" s="4" t="n">
        <v>0.2</v>
      </c>
      <c r="B114" s="4">
        <f>ACT_DIST_BETA_PDF(A114, 2, 5)</f>
        <v/>
      </c>
      <c r="C114" s="4">
        <f>ACT_DIST_BETA_CDF(A114, 2, 5)</f>
        <v/>
      </c>
      <c r="D114" s="4" t="inlineStr"/>
    </row>
    <row r="115">
      <c r="A115" s="4" t="n">
        <v>0.3</v>
      </c>
      <c r="B115" s="4">
        <f>ACT_DIST_BETA_PDF(A115, 2, 5)</f>
        <v/>
      </c>
      <c r="C115" s="4">
        <f>ACT_DIST_BETA_CDF(A115, 2, 5)</f>
        <v/>
      </c>
      <c r="D115" s="4" t="inlineStr"/>
    </row>
    <row r="116">
      <c r="A116" s="4" t="n">
        <v>0.4</v>
      </c>
      <c r="B116" s="4">
        <f>ACT_DIST_BETA_PDF(A116, 2, 5)</f>
        <v/>
      </c>
      <c r="C116" s="4">
        <f>ACT_DIST_BETA_CDF(A116, 2, 5)</f>
        <v/>
      </c>
      <c r="D116" s="4" t="inlineStr"/>
    </row>
    <row r="117">
      <c r="A117" s="4" t="n">
        <v>0.5</v>
      </c>
      <c r="B117" s="4">
        <f>ACT_DIST_BETA_PDF(A117, 2, 5)</f>
        <v/>
      </c>
      <c r="C117" s="4">
        <f>ACT_DIST_BETA_CDF(A117, 2, 5)</f>
        <v/>
      </c>
      <c r="D117" s="4" t="inlineStr"/>
    </row>
    <row r="118">
      <c r="A118" s="4" t="n">
        <v>0.6</v>
      </c>
      <c r="B118" s="4">
        <f>ACT_DIST_BETA_PDF(A118, 2, 5)</f>
        <v/>
      </c>
      <c r="C118" s="4">
        <f>ACT_DIST_BETA_CDF(A118, 2, 5)</f>
        <v/>
      </c>
      <c r="D118" s="4" t="inlineStr"/>
    </row>
    <row r="119">
      <c r="A119" s="4" t="n">
        <v>0.7</v>
      </c>
      <c r="B119" s="4">
        <f>ACT_DIST_BETA_PDF(A119, 2, 5)</f>
        <v/>
      </c>
      <c r="C119" s="4">
        <f>ACT_DIST_BETA_CDF(A119, 2, 5)</f>
        <v/>
      </c>
      <c r="D119" s="4" t="inlineStr"/>
    </row>
    <row r="120">
      <c r="A120" s="4" t="n">
        <v>0.8</v>
      </c>
      <c r="B120" s="4">
        <f>ACT_DIST_BETA_PDF(A120, 2, 5)</f>
        <v/>
      </c>
      <c r="C120" s="4">
        <f>ACT_DIST_BETA_CDF(A120, 2, 5)</f>
        <v/>
      </c>
      <c r="D120" s="4" t="inlineStr"/>
    </row>
    <row r="121">
      <c r="A121" s="4" t="n">
        <v>0.9</v>
      </c>
      <c r="B121" s="4">
        <f>ACT_DIST_BETA_PDF(A121, 2, 5)</f>
        <v/>
      </c>
      <c r="C121" s="4">
        <f>ACT_DIST_BETA_CDF(A121, 2, 5)</f>
        <v/>
      </c>
      <c r="D121" s="4" t="inlineStr"/>
    </row>
    <row r="122">
      <c r="A122" s="4" t="n">
        <v>1</v>
      </c>
      <c r="B122" s="4">
        <f>ACT_DIST_BETA_PDF(A122, 2, 5)</f>
        <v/>
      </c>
      <c r="C122" s="4">
        <f>ACT_DIST_BETA_CDF(A122, 2, 5)</f>
        <v/>
      </c>
      <c r="D122" s="4" t="inlineStr"/>
    </row>
    <row r="125">
      <c r="A125" s="2" t="inlineStr">
        <is>
          <t>PARETO TYPE I DISTRIBUTION (alpha=2, xm=1)</t>
        </is>
      </c>
    </row>
    <row r="126">
      <c r="A126" s="3" t="inlineStr">
        <is>
          <t>x</t>
        </is>
      </c>
      <c r="B126" s="3" t="inlineStr">
        <is>
          <t>PDF</t>
        </is>
      </c>
      <c r="C126" s="3" t="inlineStr">
        <is>
          <t>CDF</t>
        </is>
      </c>
      <c r="D126" s="3" t="inlineStr">
        <is>
          <t>Notes</t>
        </is>
      </c>
    </row>
    <row r="127">
      <c r="A127" s="4" t="n">
        <v>1</v>
      </c>
      <c r="B127" s="4">
        <f>ACT_DIST_PARETO_PDF(A127, 2, 1)</f>
        <v/>
      </c>
      <c r="C127" s="4">
        <f>ACT_DIST_PARETO_CDF(A127, 2, 1)</f>
        <v/>
      </c>
      <c r="D127" s="4" t="inlineStr">
        <is>
          <t>Minimum (xm)</t>
        </is>
      </c>
    </row>
    <row r="128">
      <c r="A128" s="4" t="n">
        <v>1.5</v>
      </c>
      <c r="B128" s="4">
        <f>ACT_DIST_PARETO_PDF(A128, 2, 1)</f>
        <v/>
      </c>
      <c r="C128" s="4">
        <f>ACT_DIST_PARETO_CDF(A128, 2, 1)</f>
        <v/>
      </c>
      <c r="D128" s="4" t="inlineStr"/>
    </row>
    <row r="129">
      <c r="A129" s="4" t="n">
        <v>2</v>
      </c>
      <c r="B129" s="4">
        <f>ACT_DIST_PARETO_PDF(A129, 2, 1)</f>
        <v/>
      </c>
      <c r="C129" s="4">
        <f>ACT_DIST_PARETO_CDF(A129, 2, 1)</f>
        <v/>
      </c>
      <c r="D129" s="4" t="inlineStr"/>
    </row>
    <row r="130">
      <c r="A130" s="4" t="n">
        <v>3</v>
      </c>
      <c r="B130" s="4">
        <f>ACT_DIST_PARETO_PDF(A130, 2, 1)</f>
        <v/>
      </c>
      <c r="C130" s="4">
        <f>ACT_DIST_PARETO_CDF(A130, 2, 1)</f>
        <v/>
      </c>
      <c r="D130" s="4" t="inlineStr"/>
    </row>
    <row r="131">
      <c r="A131" s="4" t="n">
        <v>4</v>
      </c>
      <c r="B131" s="4">
        <f>ACT_DIST_PARETO_PDF(A131, 2, 1)</f>
        <v/>
      </c>
      <c r="C131" s="4">
        <f>ACT_DIST_PARETO_CDF(A131, 2, 1)</f>
        <v/>
      </c>
      <c r="D131" s="4" t="inlineStr"/>
    </row>
    <row r="132">
      <c r="A132" s="4" t="n">
        <v>5</v>
      </c>
      <c r="B132" s="4">
        <f>ACT_DIST_PARETO_PDF(A132, 2, 1)</f>
        <v/>
      </c>
      <c r="C132" s="4">
        <f>ACT_DIST_PARETO_CDF(A132, 2, 1)</f>
        <v/>
      </c>
      <c r="D132" s="4" t="inlineStr"/>
    </row>
    <row r="133">
      <c r="A133" s="4" t="n">
        <v>7</v>
      </c>
      <c r="B133" s="4">
        <f>ACT_DIST_PARETO_PDF(A133, 2, 1)</f>
        <v/>
      </c>
      <c r="C133" s="4">
        <f>ACT_DIST_PARETO_CDF(A133, 2, 1)</f>
        <v/>
      </c>
      <c r="D133" s="4" t="inlineStr"/>
    </row>
    <row r="134">
      <c r="A134" s="4" t="n">
        <v>10</v>
      </c>
      <c r="B134" s="4">
        <f>ACT_DIST_PARETO_PDF(A134, 2, 1)</f>
        <v/>
      </c>
      <c r="C134" s="4">
        <f>ACT_DIST_PARETO_CDF(A134, 2, 1)</f>
        <v/>
      </c>
      <c r="D134" s="4" t="inlineStr"/>
    </row>
    <row r="140">
      <c r="A140" s="2" t="inlineStr">
        <is>
          <t>LOMAX (PARETO TYPE II) DISTRIBUTION (alpha=2, lambda=1)</t>
        </is>
      </c>
    </row>
    <row r="141">
      <c r="A141" s="3" t="inlineStr">
        <is>
          <t>x</t>
        </is>
      </c>
      <c r="B141" s="3" t="inlineStr">
        <is>
          <t>PDF</t>
        </is>
      </c>
      <c r="C141" s="3" t="inlineStr">
        <is>
          <t>CDF</t>
        </is>
      </c>
      <c r="D141" s="3" t="inlineStr">
        <is>
          <t>Notes</t>
        </is>
      </c>
    </row>
    <row r="142">
      <c r="A142" s="4" t="n">
        <v>0</v>
      </c>
      <c r="B142" s="4">
        <f>ACT_DIST_LOMAX_PDF(A142, 2, 1)</f>
        <v/>
      </c>
      <c r="C142" s="4">
        <f>ACT_DIST_LOMAX_CDF(A142, 2, 1)</f>
        <v/>
      </c>
      <c r="D142" s="4" t="inlineStr"/>
    </row>
    <row r="143">
      <c r="A143" s="4" t="n">
        <v>0.5</v>
      </c>
      <c r="B143" s="4">
        <f>ACT_DIST_LOMAX_PDF(A143, 2, 1)</f>
        <v/>
      </c>
      <c r="C143" s="4">
        <f>ACT_DIST_LOMAX_CDF(A143, 2, 1)</f>
        <v/>
      </c>
      <c r="D143" s="4" t="inlineStr"/>
    </row>
    <row r="144">
      <c r="A144" s="4" t="n">
        <v>1</v>
      </c>
      <c r="B144" s="4">
        <f>ACT_DIST_LOMAX_PDF(A144, 2, 1)</f>
        <v/>
      </c>
      <c r="C144" s="4">
        <f>ACT_DIST_LOMAX_CDF(A144, 2, 1)</f>
        <v/>
      </c>
      <c r="D144" s="4" t="inlineStr"/>
    </row>
    <row r="145">
      <c r="A145" s="4" t="n">
        <v>2</v>
      </c>
      <c r="B145" s="4">
        <f>ACT_DIST_LOMAX_PDF(A145, 2, 1)</f>
        <v/>
      </c>
      <c r="C145" s="4">
        <f>ACT_DIST_LOMAX_CDF(A145, 2, 1)</f>
        <v/>
      </c>
      <c r="D145" s="4" t="inlineStr"/>
    </row>
    <row r="146">
      <c r="A146" s="4" t="n">
        <v>3</v>
      </c>
      <c r="B146" s="4">
        <f>ACT_DIST_LOMAX_PDF(A146, 2, 1)</f>
        <v/>
      </c>
      <c r="C146" s="4">
        <f>ACT_DIST_LOMAX_CDF(A146, 2, 1)</f>
        <v/>
      </c>
      <c r="D146" s="4" t="inlineStr"/>
    </row>
    <row r="147">
      <c r="A147" s="4" t="n">
        <v>4</v>
      </c>
      <c r="B147" s="4">
        <f>ACT_DIST_LOMAX_PDF(A147, 2, 1)</f>
        <v/>
      </c>
      <c r="C147" s="4">
        <f>ACT_DIST_LOMAX_CDF(A147, 2, 1)</f>
        <v/>
      </c>
      <c r="D147" s="4" t="inlineStr"/>
    </row>
    <row r="148">
      <c r="A148" s="4" t="n">
        <v>5</v>
      </c>
      <c r="B148" s="4">
        <f>ACT_DIST_LOMAX_PDF(A148, 2, 1)</f>
        <v/>
      </c>
      <c r="C148" s="4">
        <f>ACT_DIST_LOMAX_CDF(A148, 2, 1)</f>
        <v/>
      </c>
      <c r="D148" s="4" t="inlineStr"/>
    </row>
    <row r="149">
      <c r="A149" s="4" t="n">
        <v>7</v>
      </c>
      <c r="B149" s="4">
        <f>ACT_DIST_LOMAX_PDF(A149, 2, 1)</f>
        <v/>
      </c>
      <c r="C149" s="4">
        <f>ACT_DIST_LOMAX_CDF(A149, 2, 1)</f>
        <v/>
      </c>
      <c r="D149" s="4" t="inlineStr"/>
    </row>
    <row r="150">
      <c r="A150" s="4" t="n">
        <v>10</v>
      </c>
      <c r="B150" s="4">
        <f>ACT_DIST_LOMAX_PDF(A150, 2, 1)</f>
        <v/>
      </c>
      <c r="C150" s="4">
        <f>ACT_DIST_LOMAX_CDF(A150, 2, 1)</f>
        <v/>
      </c>
      <c r="D150" s="4" t="inlineStr"/>
    </row>
    <row r="155">
      <c r="A155" s="2" t="inlineStr">
        <is>
          <t>GENERALIZED PARETO (GPD) DISTRIBUTION (xi=0.5, sigma=1)</t>
        </is>
      </c>
    </row>
    <row r="156">
      <c r="A156" s="3" t="inlineStr">
        <is>
          <t>x</t>
        </is>
      </c>
      <c r="B156" s="3" t="inlineStr">
        <is>
          <t>PDF</t>
        </is>
      </c>
      <c r="C156" s="3" t="inlineStr">
        <is>
          <t>CDF</t>
        </is>
      </c>
      <c r="D156" s="3" t="inlineStr">
        <is>
          <t>Notes</t>
        </is>
      </c>
    </row>
    <row r="157">
      <c r="A157" s="4" t="n">
        <v>0</v>
      </c>
      <c r="B157" s="4">
        <f>ACT_DIST_GPD_PDF(A157, 0.5, 1)</f>
        <v/>
      </c>
      <c r="C157" s="4">
        <f>ACT_DIST_GPD_CDF(A157, 0.5, 1)</f>
        <v/>
      </c>
      <c r="D157" s="4" t="inlineStr"/>
    </row>
    <row r="158">
      <c r="A158" s="4" t="n">
        <v>0.25</v>
      </c>
      <c r="B158" s="4">
        <f>ACT_DIST_GPD_PDF(A158, 0.5, 1)</f>
        <v/>
      </c>
      <c r="C158" s="4">
        <f>ACT_DIST_GPD_CDF(A158, 0.5, 1)</f>
        <v/>
      </c>
      <c r="D158" s="4" t="inlineStr"/>
    </row>
    <row r="159">
      <c r="A159" s="4" t="n">
        <v>0.5</v>
      </c>
      <c r="B159" s="4">
        <f>ACT_DIST_GPD_PDF(A159, 0.5, 1)</f>
        <v/>
      </c>
      <c r="C159" s="4">
        <f>ACT_DIST_GPD_CDF(A159, 0.5, 1)</f>
        <v/>
      </c>
      <c r="D159" s="4" t="inlineStr"/>
    </row>
    <row r="160">
      <c r="A160" s="4" t="n">
        <v>1</v>
      </c>
      <c r="B160" s="4">
        <f>ACT_DIST_GPD_PDF(A160, 0.5, 1)</f>
        <v/>
      </c>
      <c r="C160" s="4">
        <f>ACT_DIST_GPD_CDF(A160, 0.5, 1)</f>
        <v/>
      </c>
      <c r="D160" s="4" t="inlineStr"/>
    </row>
    <row r="161">
      <c r="A161" s="4" t="n">
        <v>1.5</v>
      </c>
      <c r="B161" s="4">
        <f>ACT_DIST_GPD_PDF(A161, 0.5, 1)</f>
        <v/>
      </c>
      <c r="C161" s="4">
        <f>ACT_DIST_GPD_CDF(A161, 0.5, 1)</f>
        <v/>
      </c>
      <c r="D161" s="4" t="inlineStr"/>
    </row>
    <row r="162">
      <c r="A162" s="4" t="n">
        <v>2</v>
      </c>
      <c r="B162" s="4">
        <f>ACT_DIST_GPD_PDF(A162, 0.5, 1)</f>
        <v/>
      </c>
      <c r="C162" s="4">
        <f>ACT_DIST_GPD_CDF(A162, 0.5, 1)</f>
        <v/>
      </c>
      <c r="D162" s="4" t="inlineStr"/>
    </row>
    <row r="163">
      <c r="A163" s="4" t="n">
        <v>3</v>
      </c>
      <c r="B163" s="4">
        <f>ACT_DIST_GPD_PDF(A163, 0.5, 1)</f>
        <v/>
      </c>
      <c r="C163" s="4">
        <f>ACT_DIST_GPD_CDF(A163, 0.5, 1)</f>
        <v/>
      </c>
      <c r="D163" s="4" t="inlineStr"/>
    </row>
    <row r="164">
      <c r="A164" s="4" t="n">
        <v>4</v>
      </c>
      <c r="B164" s="4">
        <f>ACT_DIST_GPD_PDF(A164, 0.5, 1)</f>
        <v/>
      </c>
      <c r="C164" s="4">
        <f>ACT_DIST_GPD_CDF(A164, 0.5, 1)</f>
        <v/>
      </c>
      <c r="D164" s="4" t="inlineStr"/>
    </row>
    <row r="165">
      <c r="A165" s="4" t="n">
        <v>5</v>
      </c>
      <c r="B165" s="4">
        <f>ACT_DIST_GPD_PDF(A165, 0.5, 1)</f>
        <v/>
      </c>
      <c r="C165" s="4">
        <f>ACT_DIST_GPD_CDF(A165, 0.5, 1)</f>
        <v/>
      </c>
      <c r="D165" s="4" t="inlineStr"/>
    </row>
    <row r="170">
      <c r="A170" s="2" t="inlineStr">
        <is>
          <t>BURR TYPE XII DISTRIBUTION (c=2, k=1, lambda=1)</t>
        </is>
      </c>
    </row>
    <row r="171">
      <c r="A171" s="3" t="inlineStr">
        <is>
          <t>x</t>
        </is>
      </c>
      <c r="B171" s="3" t="inlineStr">
        <is>
          <t>PDF</t>
        </is>
      </c>
      <c r="C171" s="3" t="inlineStr">
        <is>
          <t>CDF</t>
        </is>
      </c>
      <c r="D171" s="3" t="inlineStr">
        <is>
          <t>Notes</t>
        </is>
      </c>
    </row>
    <row r="172">
      <c r="A172" s="4" t="n">
        <v>0</v>
      </c>
      <c r="B172" s="4">
        <f>ACT_DIST_BURR_PDF(A172, 2, 1, 1)</f>
        <v/>
      </c>
      <c r="C172" s="4">
        <f>ACT_DIST_BURR_CDF(A172, 2, 1, 1)</f>
        <v/>
      </c>
      <c r="D172" s="4" t="inlineStr"/>
    </row>
    <row r="173">
      <c r="A173" s="4" t="n">
        <v>0.25</v>
      </c>
      <c r="B173" s="4">
        <f>ACT_DIST_BURR_PDF(A173, 2, 1, 1)</f>
        <v/>
      </c>
      <c r="C173" s="4">
        <f>ACT_DIST_BURR_CDF(A173, 2, 1, 1)</f>
        <v/>
      </c>
      <c r="D173" s="4" t="inlineStr"/>
    </row>
    <row r="174">
      <c r="A174" s="4" t="n">
        <v>0.5</v>
      </c>
      <c r="B174" s="4">
        <f>ACT_DIST_BURR_PDF(A174, 2, 1, 1)</f>
        <v/>
      </c>
      <c r="C174" s="4">
        <f>ACT_DIST_BURR_CDF(A174, 2, 1, 1)</f>
        <v/>
      </c>
      <c r="D174" s="4" t="inlineStr"/>
    </row>
    <row r="175">
      <c r="A175" s="4" t="n">
        <v>1</v>
      </c>
      <c r="B175" s="4">
        <f>ACT_DIST_BURR_PDF(A175, 2, 1, 1)</f>
        <v/>
      </c>
      <c r="C175" s="4">
        <f>ACT_DIST_BURR_CDF(A175, 2, 1, 1)</f>
        <v/>
      </c>
      <c r="D175" s="4" t="inlineStr"/>
    </row>
    <row r="176">
      <c r="A176" s="4" t="n">
        <v>1.5</v>
      </c>
      <c r="B176" s="4">
        <f>ACT_DIST_BURR_PDF(A176, 2, 1, 1)</f>
        <v/>
      </c>
      <c r="C176" s="4">
        <f>ACT_DIST_BURR_CDF(A176, 2, 1, 1)</f>
        <v/>
      </c>
      <c r="D176" s="4" t="inlineStr"/>
    </row>
    <row r="177">
      <c r="A177" s="4" t="n">
        <v>2</v>
      </c>
      <c r="B177" s="4">
        <f>ACT_DIST_BURR_PDF(A177, 2, 1, 1)</f>
        <v/>
      </c>
      <c r="C177" s="4">
        <f>ACT_DIST_BURR_CDF(A177, 2, 1, 1)</f>
        <v/>
      </c>
      <c r="D177" s="4" t="inlineStr"/>
    </row>
    <row r="178">
      <c r="A178" s="4" t="n">
        <v>3</v>
      </c>
      <c r="B178" s="4">
        <f>ACT_DIST_BURR_PDF(A178, 2, 1, 1)</f>
        <v/>
      </c>
      <c r="C178" s="4">
        <f>ACT_DIST_BURR_CDF(A178, 2, 1, 1)</f>
        <v/>
      </c>
      <c r="D178" s="4" t="inlineStr"/>
    </row>
    <row r="179">
      <c r="A179" s="4" t="n">
        <v>4</v>
      </c>
      <c r="B179" s="4">
        <f>ACT_DIST_BURR_PDF(A179, 2, 1, 1)</f>
        <v/>
      </c>
      <c r="C179" s="4">
        <f>ACT_DIST_BURR_CDF(A179, 2, 1, 1)</f>
        <v/>
      </c>
      <c r="D179" s="4" t="inlineStr"/>
    </row>
    <row r="180">
      <c r="A180" s="4" t="n">
        <v>5</v>
      </c>
      <c r="B180" s="4">
        <f>ACT_DIST_BURR_PDF(A180, 2, 1, 1)</f>
        <v/>
      </c>
      <c r="C180" s="4">
        <f>ACT_DIST_BURR_CDF(A180, 2, 1, 1)</f>
        <v/>
      </c>
      <c r="D180" s="4" t="inlineStr"/>
    </row>
    <row r="185">
      <c r="A185" s="2" t="inlineStr">
        <is>
          <t>LOGNORMAL-PARETO COMPOSITE (mu=0, sigma=1, theta=2)</t>
        </is>
      </c>
    </row>
    <row r="186">
      <c r="A186" s="3" t="inlineStr">
        <is>
          <t>x</t>
        </is>
      </c>
      <c r="B186" s="3" t="inlineStr">
        <is>
          <t>PDF</t>
        </is>
      </c>
      <c r="C186" s="3" t="inlineStr">
        <is>
          <t>CDF</t>
        </is>
      </c>
      <c r="D186" s="3" t="inlineStr">
        <is>
          <t>Notes</t>
        </is>
      </c>
    </row>
    <row r="187">
      <c r="A187" s="4" t="n">
        <v>0.1</v>
      </c>
      <c r="B187" s="4">
        <f>ACT_DIST_LNPARETO_PDF(A187, 0, 1, 2)</f>
        <v/>
      </c>
      <c r="C187" s="4">
        <f>ACT_DIST_LNPARETO_CDF(A187, 0, 1, 2)</f>
        <v/>
      </c>
      <c r="D187" s="4" t="inlineStr"/>
    </row>
    <row r="188">
      <c r="A188" s="4" t="n">
        <v>0.5</v>
      </c>
      <c r="B188" s="4">
        <f>ACT_DIST_LNPARETO_PDF(A188, 0, 1, 2)</f>
        <v/>
      </c>
      <c r="C188" s="4">
        <f>ACT_DIST_LNPARETO_CDF(A188, 0, 1, 2)</f>
        <v/>
      </c>
      <c r="D188" s="4" t="inlineStr"/>
    </row>
    <row r="189">
      <c r="A189" s="4" t="n">
        <v>1</v>
      </c>
      <c r="B189" s="4">
        <f>ACT_DIST_LNPARETO_PDF(A189, 0, 1, 2)</f>
        <v/>
      </c>
      <c r="C189" s="4">
        <f>ACT_DIST_LNPARETO_CDF(A189, 0, 1, 2)</f>
        <v/>
      </c>
      <c r="D189" s="4" t="inlineStr"/>
    </row>
    <row r="190">
      <c r="A190" s="4" t="n">
        <v>1.5</v>
      </c>
      <c r="B190" s="4">
        <f>ACT_DIST_LNPARETO_PDF(A190, 0, 1, 2)</f>
        <v/>
      </c>
      <c r="C190" s="4">
        <f>ACT_DIST_LNPARETO_CDF(A190, 0, 1, 2)</f>
        <v/>
      </c>
      <c r="D190" s="4" t="inlineStr"/>
    </row>
    <row r="191">
      <c r="A191" s="4" t="n">
        <v>2</v>
      </c>
      <c r="B191" s="4">
        <f>ACT_DIST_LNPARETO_PDF(A191, 0, 1, 2)</f>
        <v/>
      </c>
      <c r="C191" s="4">
        <f>ACT_DIST_LNPARETO_CDF(A191, 0, 1, 2)</f>
        <v/>
      </c>
      <c r="D191" s="4" t="inlineStr">
        <is>
          <t>Threshold</t>
        </is>
      </c>
    </row>
    <row r="192">
      <c r="A192" s="4" t="n">
        <v>3</v>
      </c>
      <c r="B192" s="4">
        <f>ACT_DIST_LNPARETO_PDF(A192, 0, 1, 2)</f>
        <v/>
      </c>
      <c r="C192" s="4">
        <f>ACT_DIST_LNPARETO_CDF(A192, 0, 1, 2)</f>
        <v/>
      </c>
      <c r="D192" s="4" t="inlineStr"/>
    </row>
    <row r="193">
      <c r="A193" s="4" t="n">
        <v>4</v>
      </c>
      <c r="B193" s="4">
        <f>ACT_DIST_LNPARETO_PDF(A193, 0, 1, 2)</f>
        <v/>
      </c>
      <c r="C193" s="4">
        <f>ACT_DIST_LNPARETO_CDF(A193, 0, 1, 2)</f>
        <v/>
      </c>
      <c r="D193" s="4" t="inlineStr"/>
    </row>
    <row r="194">
      <c r="A194" s="4" t="n">
        <v>5</v>
      </c>
      <c r="B194" s="4">
        <f>ACT_DIST_LNPARETO_PDF(A194, 0, 1, 2)</f>
        <v/>
      </c>
      <c r="C194" s="4">
        <f>ACT_DIST_LNPARETO_CDF(A194, 0, 1, 2)</f>
        <v/>
      </c>
      <c r="D194" s="4" t="inlineStr"/>
    </row>
    <row r="195">
      <c r="A195" s="4" t="n">
        <v>7</v>
      </c>
      <c r="B195" s="4">
        <f>ACT_DIST_LNPARETO_PDF(A195, 0, 1, 2)</f>
        <v/>
      </c>
      <c r="C195" s="4">
        <f>ACT_DIST_LNPARETO_CDF(A195, 0, 1, 2)</f>
        <v/>
      </c>
      <c r="D195" s="4" t="inlineStr"/>
    </row>
    <row r="196">
      <c r="A196" s="4" t="n">
        <v>10</v>
      </c>
      <c r="B196" s="4">
        <f>ACT_DIST_LNPARETO_PDF(A196, 0, 1, 2)</f>
        <v/>
      </c>
      <c r="C196" s="4">
        <f>ACT_DIST_LNPARETO_CDF(A196, 0, 1, 2)</f>
        <v/>
      </c>
      <c r="D196" s="4" t="inlineStr"/>
    </row>
    <row r="200">
      <c r="A200" s="2" t="inlineStr">
        <is>
          <t>EXPONENTIAL-PARETO COMPOSITE (rate=0.5, theta=2)</t>
        </is>
      </c>
    </row>
    <row r="201">
      <c r="A201" s="3" t="inlineStr">
        <is>
          <t>x</t>
        </is>
      </c>
      <c r="B201" s="3" t="inlineStr">
        <is>
          <t>PDF</t>
        </is>
      </c>
      <c r="C201" s="3" t="inlineStr">
        <is>
          <t>CDF</t>
        </is>
      </c>
      <c r="D201" s="3" t="inlineStr">
        <is>
          <t>Notes</t>
        </is>
      </c>
    </row>
    <row r="202">
      <c r="A202" s="4" t="n">
        <v>0</v>
      </c>
      <c r="B202" s="4">
        <f>ACT_DIST_EXPPARETO_PDF(A202, 0.5, 2)</f>
        <v/>
      </c>
      <c r="C202" s="4">
        <f>ACT_DIST_EXPPARETO_CDF(A202, 0.5, 2)</f>
        <v/>
      </c>
      <c r="D202" s="4" t="inlineStr"/>
    </row>
    <row r="203">
      <c r="A203" s="4" t="n">
        <v>0.5</v>
      </c>
      <c r="B203" s="4">
        <f>ACT_DIST_EXPPARETO_PDF(A203, 0.5, 2)</f>
        <v/>
      </c>
      <c r="C203" s="4">
        <f>ACT_DIST_EXPPARETO_CDF(A203, 0.5, 2)</f>
        <v/>
      </c>
      <c r="D203" s="4" t="inlineStr"/>
    </row>
    <row r="204">
      <c r="A204" s="4" t="n">
        <v>1</v>
      </c>
      <c r="B204" s="4">
        <f>ACT_DIST_EXPPARETO_PDF(A204, 0.5, 2)</f>
        <v/>
      </c>
      <c r="C204" s="4">
        <f>ACT_DIST_EXPPARETO_CDF(A204, 0.5, 2)</f>
        <v/>
      </c>
      <c r="D204" s="4" t="inlineStr"/>
    </row>
    <row r="205">
      <c r="A205" s="4" t="n">
        <v>1.5</v>
      </c>
      <c r="B205" s="4">
        <f>ACT_DIST_EXPPARETO_PDF(A205, 0.5, 2)</f>
        <v/>
      </c>
      <c r="C205" s="4">
        <f>ACT_DIST_EXPPARETO_CDF(A205, 0.5, 2)</f>
        <v/>
      </c>
      <c r="D205" s="4" t="inlineStr"/>
    </row>
    <row r="206">
      <c r="A206" s="4" t="n">
        <v>2</v>
      </c>
      <c r="B206" s="4">
        <f>ACT_DIST_EXPPARETO_PDF(A206, 0.5, 2)</f>
        <v/>
      </c>
      <c r="C206" s="4">
        <f>ACT_DIST_EXPPARETO_CDF(A206, 0.5, 2)</f>
        <v/>
      </c>
      <c r="D206" s="4" t="inlineStr">
        <is>
          <t>Threshold</t>
        </is>
      </c>
    </row>
    <row r="207">
      <c r="A207" s="4" t="n">
        <v>3</v>
      </c>
      <c r="B207" s="4">
        <f>ACT_DIST_EXPPARETO_PDF(A207, 0.5, 2)</f>
        <v/>
      </c>
      <c r="C207" s="4">
        <f>ACT_DIST_EXPPARETO_CDF(A207, 0.5, 2)</f>
        <v/>
      </c>
      <c r="D207" s="4" t="inlineStr"/>
    </row>
    <row r="208">
      <c r="A208" s="4" t="n">
        <v>4</v>
      </c>
      <c r="B208" s="4">
        <f>ACT_DIST_EXPPARETO_PDF(A208, 0.5, 2)</f>
        <v/>
      </c>
      <c r="C208" s="4">
        <f>ACT_DIST_EXPPARETO_CDF(A208, 0.5, 2)</f>
        <v/>
      </c>
      <c r="D208" s="4" t="inlineStr"/>
    </row>
    <row r="209">
      <c r="A209" s="4" t="n">
        <v>5</v>
      </c>
      <c r="B209" s="4">
        <f>ACT_DIST_EXPPARETO_PDF(A209, 0.5, 2)</f>
        <v/>
      </c>
      <c r="C209" s="4">
        <f>ACT_DIST_EXPPARETO_CDF(A209, 0.5, 2)</f>
        <v/>
      </c>
      <c r="D209" s="4" t="inlineStr"/>
    </row>
    <row r="210">
      <c r="A210" s="4" t="n">
        <v>7</v>
      </c>
      <c r="B210" s="4">
        <f>ACT_DIST_EXPPARETO_PDF(A210, 0.5, 2)</f>
        <v/>
      </c>
      <c r="C210" s="4">
        <f>ACT_DIST_EXPPARETO_CDF(A210, 0.5, 2)</f>
        <v/>
      </c>
      <c r="D210" s="4" t="inlineStr"/>
    </row>
    <row r="211">
      <c r="A211" s="4" t="n">
        <v>10</v>
      </c>
      <c r="B211" s="4">
        <f>ACT_DIST_EXPPARETO_PDF(A211, 0.5, 2)</f>
        <v/>
      </c>
      <c r="C211" s="4">
        <f>ACT_DIST_EXPPARETO_CDF(A211, 0.5, 2)</f>
        <v/>
      </c>
      <c r="D211" s="4" t="inlineStr"/>
    </row>
    <row r="215">
      <c r="A215" s="2" t="inlineStr">
        <is>
          <t>POWER-PARETO COMPOSITE (alpha=2, beta=3, theta=1)</t>
        </is>
      </c>
    </row>
    <row r="216">
      <c r="A216" s="3" t="inlineStr">
        <is>
          <t>x</t>
        </is>
      </c>
      <c r="B216" s="3" t="inlineStr">
        <is>
          <t>PDF</t>
        </is>
      </c>
      <c r="C216" s="3" t="inlineStr">
        <is>
          <t>CDF</t>
        </is>
      </c>
      <c r="D216" s="3" t="inlineStr">
        <is>
          <t>Notes</t>
        </is>
      </c>
    </row>
    <row r="217">
      <c r="A217" s="4" t="n">
        <v>0</v>
      </c>
      <c r="B217" s="4">
        <f>ACT_DIST_POWPARETO_PDF(A217, 2, 3, 1)</f>
        <v/>
      </c>
      <c r="C217" s="4">
        <f>ACT_DIST_POWPARETO_CDF(A217, 2, 3, 1)</f>
        <v/>
      </c>
      <c r="D217" s="4" t="inlineStr"/>
    </row>
    <row r="218">
      <c r="A218" s="4" t="n">
        <v>0.25</v>
      </c>
      <c r="B218" s="4">
        <f>ACT_DIST_POWPARETO_PDF(A218, 2, 3, 1)</f>
        <v/>
      </c>
      <c r="C218" s="4">
        <f>ACT_DIST_POWPARETO_CDF(A218, 2, 3, 1)</f>
        <v/>
      </c>
      <c r="D218" s="4" t="inlineStr"/>
    </row>
    <row r="219">
      <c r="A219" s="4" t="n">
        <v>0.5</v>
      </c>
      <c r="B219" s="4">
        <f>ACT_DIST_POWPARETO_PDF(A219, 2, 3, 1)</f>
        <v/>
      </c>
      <c r="C219" s="4">
        <f>ACT_DIST_POWPARETO_CDF(A219, 2, 3, 1)</f>
        <v/>
      </c>
      <c r="D219" s="4" t="inlineStr"/>
    </row>
    <row r="220">
      <c r="A220" s="4" t="n">
        <v>0.75</v>
      </c>
      <c r="B220" s="4">
        <f>ACT_DIST_POWPARETO_PDF(A220, 2, 3, 1)</f>
        <v/>
      </c>
      <c r="C220" s="4">
        <f>ACT_DIST_POWPARETO_CDF(A220, 2, 3, 1)</f>
        <v/>
      </c>
      <c r="D220" s="4" t="inlineStr"/>
    </row>
    <row r="221">
      <c r="A221" s="4" t="n">
        <v>1</v>
      </c>
      <c r="B221" s="4">
        <f>ACT_DIST_POWPARETO_PDF(A221, 2, 3, 1)</f>
        <v/>
      </c>
      <c r="C221" s="4">
        <f>ACT_DIST_POWPARETO_CDF(A221, 2, 3, 1)</f>
        <v/>
      </c>
      <c r="D221" s="4" t="inlineStr">
        <is>
          <t>Threshold</t>
        </is>
      </c>
    </row>
    <row r="222">
      <c r="A222" s="4" t="n">
        <v>1.5</v>
      </c>
      <c r="B222" s="4">
        <f>ACT_DIST_POWPARETO_PDF(A222, 2, 3, 1)</f>
        <v/>
      </c>
      <c r="C222" s="4">
        <f>ACT_DIST_POWPARETO_CDF(A222, 2, 3, 1)</f>
        <v/>
      </c>
      <c r="D222" s="4" t="inlineStr"/>
    </row>
    <row r="223">
      <c r="A223" s="4" t="n">
        <v>2</v>
      </c>
      <c r="B223" s="4">
        <f>ACT_DIST_POWPARETO_PDF(A223, 2, 3, 1)</f>
        <v/>
      </c>
      <c r="C223" s="4">
        <f>ACT_DIST_POWPARETO_CDF(A223, 2, 3, 1)</f>
        <v/>
      </c>
      <c r="D223" s="4" t="inlineStr"/>
    </row>
    <row r="224">
      <c r="A224" s="4" t="n">
        <v>3</v>
      </c>
      <c r="B224" s="4">
        <f>ACT_DIST_POWPARETO_PDF(A224, 2, 3, 1)</f>
        <v/>
      </c>
      <c r="C224" s="4">
        <f>ACT_DIST_POWPARETO_CDF(A224, 2, 3, 1)</f>
        <v/>
      </c>
      <c r="D224" s="4" t="inlineStr"/>
    </row>
    <row r="225">
      <c r="A225" s="4" t="n">
        <v>4</v>
      </c>
      <c r="B225" s="4">
        <f>ACT_DIST_POWPARETO_PDF(A225, 2, 3, 1)</f>
        <v/>
      </c>
      <c r="C225" s="4">
        <f>ACT_DIST_POWPARETO_CDF(A225, 2, 3, 1)</f>
        <v/>
      </c>
      <c r="D225" s="4" t="inlineStr"/>
    </row>
    <row r="226">
      <c r="A226" s="4" t="n">
        <v>5</v>
      </c>
      <c r="B226" s="4">
        <f>ACT_DIST_POWPARETO_PDF(A226, 2, 3, 1)</f>
        <v/>
      </c>
      <c r="C226" s="4">
        <f>ACT_DIST_POWPARETO_CDF(A226, 2, 3, 1)</f>
        <v/>
      </c>
      <c r="D226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F52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3">
      <c r="A3" s="2" t="inlineStr">
        <is>
          <t>Exposure curves relate damage ratio (d) to expected loss ratio G(d)</t>
        </is>
      </c>
    </row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ACT_EXPOSURE_MBBEFD(A7, 2, 3)</f>
        <v/>
      </c>
      <c r="C7" s="4" t="inlineStr"/>
    </row>
    <row r="8">
      <c r="A8" s="4" t="n">
        <v>0.1</v>
      </c>
      <c r="B8" s="4">
        <f>ACT_EXPOSURE_MBBEFD(A8, 2, 3)</f>
        <v/>
      </c>
      <c r="C8" s="4" t="inlineStr"/>
    </row>
    <row r="9">
      <c r="A9" s="4" t="n">
        <v>0.2</v>
      </c>
      <c r="B9" s="4">
        <f>ACT_EXPOSURE_MBBEFD(A9, 2, 3)</f>
        <v/>
      </c>
      <c r="C9" s="4" t="inlineStr"/>
    </row>
    <row r="10">
      <c r="A10" s="4" t="n">
        <v>0.3</v>
      </c>
      <c r="B10" s="4">
        <f>ACT_EXPOSURE_MBBEFD(A10, 2, 3)</f>
        <v/>
      </c>
      <c r="C10" s="4" t="inlineStr"/>
    </row>
    <row r="11">
      <c r="A11" s="4" t="n">
        <v>0.4</v>
      </c>
      <c r="B11" s="4">
        <f>ACT_EXPOSURE_MBBEFD(A11, 2, 3)</f>
        <v/>
      </c>
      <c r="C11" s="4" t="inlineStr"/>
    </row>
    <row r="12">
      <c r="A12" s="4" t="n">
        <v>0.5</v>
      </c>
      <c r="B12" s="4">
        <f>ACT_EXPOSURE_MBBEFD(A12, 2, 3)</f>
        <v/>
      </c>
      <c r="C12" s="4" t="inlineStr"/>
    </row>
    <row r="13">
      <c r="A13" s="4" t="n">
        <v>0.6</v>
      </c>
      <c r="B13" s="4">
        <f>ACT_EXPOSURE_MBBEFD(A13, 2, 3)</f>
        <v/>
      </c>
      <c r="C13" s="4" t="inlineStr"/>
    </row>
    <row r="14">
      <c r="A14" s="4" t="n">
        <v>0.7</v>
      </c>
      <c r="B14" s="4">
        <f>ACT_EXPOSURE_MBBEFD(A14, 2, 3)</f>
        <v/>
      </c>
      <c r="C14" s="4" t="inlineStr"/>
    </row>
    <row r="15">
      <c r="A15" s="4" t="n">
        <v>0.8</v>
      </c>
      <c r="B15" s="4">
        <f>ACT_EXPOSURE_MBBEFD(A15, 2, 3)</f>
        <v/>
      </c>
      <c r="C15" s="4" t="inlineStr"/>
    </row>
    <row r="16">
      <c r="A16" s="4" t="n">
        <v>0.9</v>
      </c>
      <c r="B16" s="4">
        <f>ACT_EXPOSURE_MBBEFD(A16, 2, 3)</f>
        <v/>
      </c>
      <c r="C16" s="4" t="inlineStr"/>
    </row>
    <row r="17">
      <c r="A17" s="4" t="n">
        <v>1</v>
      </c>
      <c r="B17" s="4">
        <f>ACT_EXPOSURE_MBBEFD(A17, 2, 3)</f>
        <v/>
      </c>
      <c r="C17" s="4" t="inlineStr"/>
    </row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ACT_EXPOSURE_SWISSRE(A21, 1)</f>
        <v/>
      </c>
      <c r="C21" s="5">
        <f>ACT_EXPOSURE_SWISSRE(A21, 2)</f>
        <v/>
      </c>
      <c r="D21" s="5">
        <f>ACT_EXPOSURE_SWISSRE(A21, 3)</f>
        <v/>
      </c>
      <c r="E21" s="5">
        <f>ACT_EXPOSURE_SWISSRE(A21, 4)</f>
        <v/>
      </c>
      <c r="F21" s="5">
        <f>ACT_EXPOSURE_SWISSRE(A21, 5)</f>
        <v/>
      </c>
    </row>
    <row r="22">
      <c r="A22" s="5" t="n">
        <v>0.1</v>
      </c>
      <c r="B22" s="5">
        <f>ACT_EXPOSURE_SWISSRE(A22, 1)</f>
        <v/>
      </c>
      <c r="C22" s="5">
        <f>ACT_EXPOSURE_SWISSRE(A22, 2)</f>
        <v/>
      </c>
      <c r="D22" s="5">
        <f>ACT_EXPOSURE_SWISSRE(A22, 3)</f>
        <v/>
      </c>
      <c r="E22" s="5">
        <f>ACT_EXPOSURE_SWISSRE(A22, 4)</f>
        <v/>
      </c>
      <c r="F22" s="5">
        <f>ACT_EXPOSURE_SWISSRE(A22, 5)</f>
        <v/>
      </c>
    </row>
    <row r="23">
      <c r="A23" s="5" t="n">
        <v>0.2</v>
      </c>
      <c r="B23" s="5">
        <f>ACT_EXPOSURE_SWISSRE(A23, 1)</f>
        <v/>
      </c>
      <c r="C23" s="5">
        <f>ACT_EXPOSURE_SWISSRE(A23, 2)</f>
        <v/>
      </c>
      <c r="D23" s="5">
        <f>ACT_EXPOSURE_SWISSRE(A23, 3)</f>
        <v/>
      </c>
      <c r="E23" s="5">
        <f>ACT_EXPOSURE_SWISSRE(A23, 4)</f>
        <v/>
      </c>
      <c r="F23" s="5">
        <f>ACT_EXPOSURE_SWISSRE(A23, 5)</f>
        <v/>
      </c>
    </row>
    <row r="24">
      <c r="A24" s="5" t="n">
        <v>0.3</v>
      </c>
      <c r="B24" s="5">
        <f>ACT_EXPOSURE_SWISSRE(A24, 1)</f>
        <v/>
      </c>
      <c r="C24" s="5">
        <f>ACT_EXPOSURE_SWISSRE(A24, 2)</f>
        <v/>
      </c>
      <c r="D24" s="5">
        <f>ACT_EXPOSURE_SWISSRE(A24, 3)</f>
        <v/>
      </c>
      <c r="E24" s="5">
        <f>ACT_EXPOSURE_SWISSRE(A24, 4)</f>
        <v/>
      </c>
      <c r="F24" s="5">
        <f>ACT_EXPOSURE_SWISSRE(A24, 5)</f>
        <v/>
      </c>
    </row>
    <row r="25">
      <c r="A25" s="5" t="n">
        <v>0.4</v>
      </c>
      <c r="B25" s="5">
        <f>ACT_EXPOSURE_SWISSRE(A25, 1)</f>
        <v/>
      </c>
      <c r="C25" s="5">
        <f>ACT_EXPOSURE_SWISSRE(A25, 2)</f>
        <v/>
      </c>
      <c r="D25" s="5">
        <f>ACT_EXPOSURE_SWISSRE(A25, 3)</f>
        <v/>
      </c>
      <c r="E25" s="5">
        <f>ACT_EXPOSURE_SWISSRE(A25, 4)</f>
        <v/>
      </c>
      <c r="F25" s="5">
        <f>ACT_EXPOSURE_SWISSRE(A25, 5)</f>
        <v/>
      </c>
    </row>
    <row r="26">
      <c r="A26" s="5" t="n">
        <v>0.5</v>
      </c>
      <c r="B26" s="5">
        <f>ACT_EXPOSURE_SWISSRE(A26, 1)</f>
        <v/>
      </c>
      <c r="C26" s="5">
        <f>ACT_EXPOSURE_SWISSRE(A26, 2)</f>
        <v/>
      </c>
      <c r="D26" s="5">
        <f>ACT_EXPOSURE_SWISSRE(A26, 3)</f>
        <v/>
      </c>
      <c r="E26" s="5">
        <f>ACT_EXPOSURE_SWISSRE(A26, 4)</f>
        <v/>
      </c>
      <c r="F26" s="5">
        <f>ACT_EXPOSURE_SWISSRE(A26, 5)</f>
        <v/>
      </c>
    </row>
    <row r="27">
      <c r="A27" s="5" t="n">
        <v>0.6</v>
      </c>
      <c r="B27" s="5">
        <f>ACT_EXPOSURE_SWISSRE(A27, 1)</f>
        <v/>
      </c>
      <c r="C27" s="5">
        <f>ACT_EXPOSURE_SWISSRE(A27, 2)</f>
        <v/>
      </c>
      <c r="D27" s="5">
        <f>ACT_EXPOSURE_SWISSRE(A27, 3)</f>
        <v/>
      </c>
      <c r="E27" s="5">
        <f>ACT_EXPOSURE_SWISSRE(A27, 4)</f>
        <v/>
      </c>
      <c r="F27" s="5">
        <f>ACT_EXPOSURE_SWISSRE(A27, 5)</f>
        <v/>
      </c>
    </row>
    <row r="28">
      <c r="A28" s="5" t="n">
        <v>0.7</v>
      </c>
      <c r="B28" s="5">
        <f>ACT_EXPOSURE_SWISSRE(A28, 1)</f>
        <v/>
      </c>
      <c r="C28" s="5">
        <f>ACT_EXPOSURE_SWISSRE(A28, 2)</f>
        <v/>
      </c>
      <c r="D28" s="5">
        <f>ACT_EXPOSURE_SWISSRE(A28, 3)</f>
        <v/>
      </c>
      <c r="E28" s="5">
        <f>ACT_EXPOSURE_SWISSRE(A28, 4)</f>
        <v/>
      </c>
      <c r="F28" s="5">
        <f>ACT_EXPOSURE_SWISSRE(A28, 5)</f>
        <v/>
      </c>
    </row>
    <row r="29">
      <c r="A29" s="5" t="n">
        <v>0.8</v>
      </c>
      <c r="B29" s="5">
        <f>ACT_EXPOSURE_SWISSRE(A29, 1)</f>
        <v/>
      </c>
      <c r="C29" s="5">
        <f>ACT_EXPOSURE_SWISSRE(A29, 2)</f>
        <v/>
      </c>
      <c r="D29" s="5">
        <f>ACT_EXPOSURE_SWISSRE(A29, 3)</f>
        <v/>
      </c>
      <c r="E29" s="5">
        <f>ACT_EXPOSURE_SWISSRE(A29, 4)</f>
        <v/>
      </c>
      <c r="F29" s="5">
        <f>ACT_EXPOSURE_SWISSRE(A29, 5)</f>
        <v/>
      </c>
    </row>
    <row r="30">
      <c r="A30" s="5" t="n">
        <v>0.9</v>
      </c>
      <c r="B30" s="5">
        <f>ACT_EXPOSURE_SWISSRE(A30, 1)</f>
        <v/>
      </c>
      <c r="C30" s="5">
        <f>ACT_EXPOSURE_SWISSRE(A30, 2)</f>
        <v/>
      </c>
      <c r="D30" s="5">
        <f>ACT_EXPOSURE_SWISSRE(A30, 3)</f>
        <v/>
      </c>
      <c r="E30" s="5">
        <f>ACT_EXPOSURE_SWISSRE(A30, 4)</f>
        <v/>
      </c>
      <c r="F30" s="5">
        <f>ACT_EXPOSURE_SWISSRE(A30, 5)</f>
        <v/>
      </c>
    </row>
    <row r="31">
      <c r="A31" s="5" t="n">
        <v>1</v>
      </c>
      <c r="B31" s="5">
        <f>ACT_EXPOSURE_SWISSRE(A31, 1)</f>
        <v/>
      </c>
      <c r="C31" s="5">
        <f>ACT_EXPOSURE_SWISSRE(A31, 2)</f>
        <v/>
      </c>
      <c r="D31" s="5">
        <f>ACT_EXPOSURE_SWISSRE(A31, 3)</f>
        <v/>
      </c>
      <c r="E31" s="5">
        <f>ACT_EXPOSURE_SWISSRE(A31, 4)</f>
        <v/>
      </c>
      <c r="F31" s="5">
        <f>ACT_EXPOSURE_SWISSRE(A31, 5)</f>
        <v/>
      </c>
    </row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ACT_EXPOSURE_LLOYDS(A35, "Y1")</f>
        <v/>
      </c>
      <c r="C35" s="5">
        <f>ACT_EXPOSURE_LLOYDS(A35, "Y2")</f>
        <v/>
      </c>
      <c r="D35" s="5">
        <f>ACT_EXPOSURE_LLOYDS(A35, "Y3")</f>
        <v/>
      </c>
      <c r="E35" s="5">
        <f>ACT_EXPOSURE_LLOYDS(A35, "Y4")</f>
        <v/>
      </c>
    </row>
    <row r="36">
      <c r="A36" s="5" t="n">
        <v>0.1</v>
      </c>
      <c r="B36" s="5">
        <f>ACT_EXPOSURE_LLOYDS(A36, "Y1")</f>
        <v/>
      </c>
      <c r="C36" s="5">
        <f>ACT_EXPOSURE_LLOYDS(A36, "Y2")</f>
        <v/>
      </c>
      <c r="D36" s="5">
        <f>ACT_EXPOSURE_LLOYDS(A36, "Y3")</f>
        <v/>
      </c>
      <c r="E36" s="5">
        <f>ACT_EXPOSURE_LLOYDS(A36, "Y4")</f>
        <v/>
      </c>
    </row>
    <row r="37">
      <c r="A37" s="5" t="n">
        <v>0.2</v>
      </c>
      <c r="B37" s="5">
        <f>ACT_EXPOSURE_LLOYDS(A37, "Y1")</f>
        <v/>
      </c>
      <c r="C37" s="5">
        <f>ACT_EXPOSURE_LLOYDS(A37, "Y2")</f>
        <v/>
      </c>
      <c r="D37" s="5">
        <f>ACT_EXPOSURE_LLOYDS(A37, "Y3")</f>
        <v/>
      </c>
      <c r="E37" s="5">
        <f>ACT_EXPOSURE_LLOYDS(A37, "Y4")</f>
        <v/>
      </c>
    </row>
    <row r="38">
      <c r="A38" s="5" t="n">
        <v>0.3</v>
      </c>
      <c r="B38" s="5">
        <f>ACT_EXPOSURE_LLOYDS(A38, "Y1")</f>
        <v/>
      </c>
      <c r="C38" s="5">
        <f>ACT_EXPOSURE_LLOYDS(A38, "Y2")</f>
        <v/>
      </c>
      <c r="D38" s="5">
        <f>ACT_EXPOSURE_LLOYDS(A38, "Y3")</f>
        <v/>
      </c>
      <c r="E38" s="5">
        <f>ACT_EXPOSURE_LLOYDS(A38, "Y4")</f>
        <v/>
      </c>
    </row>
    <row r="39">
      <c r="A39" s="5" t="n">
        <v>0.4</v>
      </c>
      <c r="B39" s="5">
        <f>ACT_EXPOSURE_LLOYDS(A39, "Y1")</f>
        <v/>
      </c>
      <c r="C39" s="5">
        <f>ACT_EXPOSURE_LLOYDS(A39, "Y2")</f>
        <v/>
      </c>
      <c r="D39" s="5">
        <f>ACT_EXPOSURE_LLOYDS(A39, "Y3")</f>
        <v/>
      </c>
      <c r="E39" s="5">
        <f>ACT_EXPOSURE_LLOYDS(A39, "Y4")</f>
        <v/>
      </c>
    </row>
    <row r="40">
      <c r="A40" s="5" t="n">
        <v>0.5</v>
      </c>
      <c r="B40" s="5">
        <f>ACT_EXPOSURE_LLOYDS(A40, "Y1")</f>
        <v/>
      </c>
      <c r="C40" s="5">
        <f>ACT_EXPOSURE_LLOYDS(A40, "Y2")</f>
        <v/>
      </c>
      <c r="D40" s="5">
        <f>ACT_EXPOSURE_LLOYDS(A40, "Y3")</f>
        <v/>
      </c>
      <c r="E40" s="5">
        <f>ACT_EXPOSURE_LLOYDS(A40, "Y4")</f>
        <v/>
      </c>
    </row>
    <row r="41">
      <c r="A41" s="5" t="n">
        <v>0.6</v>
      </c>
      <c r="B41" s="5">
        <f>ACT_EXPOSURE_LLOYDS(A41, "Y1")</f>
        <v/>
      </c>
      <c r="C41" s="5">
        <f>ACT_EXPOSURE_LLOYDS(A41, "Y2")</f>
        <v/>
      </c>
      <c r="D41" s="5">
        <f>ACT_EXPOSURE_LLOYDS(A41, "Y3")</f>
        <v/>
      </c>
      <c r="E41" s="5">
        <f>ACT_EXPOSURE_LLOYDS(A41, "Y4")</f>
        <v/>
      </c>
    </row>
    <row r="42">
      <c r="A42" s="5" t="n">
        <v>0.7</v>
      </c>
      <c r="B42" s="5">
        <f>ACT_EXPOSURE_LLOYDS(A42, "Y1")</f>
        <v/>
      </c>
      <c r="C42" s="5">
        <f>ACT_EXPOSURE_LLOYDS(A42, "Y2")</f>
        <v/>
      </c>
      <c r="D42" s="5">
        <f>ACT_EXPOSURE_LLOYDS(A42, "Y3")</f>
        <v/>
      </c>
      <c r="E42" s="5">
        <f>ACT_EXPOSURE_LLOYDS(A42, "Y4")</f>
        <v/>
      </c>
    </row>
    <row r="43">
      <c r="A43" s="5" t="n">
        <v>0.8</v>
      </c>
      <c r="B43" s="5">
        <f>ACT_EXPOSURE_LLOYDS(A43, "Y1")</f>
        <v/>
      </c>
      <c r="C43" s="5">
        <f>ACT_EXPOSURE_LLOYDS(A43, "Y2")</f>
        <v/>
      </c>
      <c r="D43" s="5">
        <f>ACT_EXPOSURE_LLOYDS(A43, "Y3")</f>
        <v/>
      </c>
      <c r="E43" s="5">
        <f>ACT_EXPOSURE_LLOYDS(A43, "Y4")</f>
        <v/>
      </c>
    </row>
    <row r="44">
      <c r="A44" s="5" t="n">
        <v>0.9</v>
      </c>
      <c r="B44" s="5">
        <f>ACT_EXPOSURE_LLOYDS(A44, "Y1")</f>
        <v/>
      </c>
      <c r="C44" s="5">
        <f>ACT_EXPOSURE_LLOYDS(A44, "Y2")</f>
        <v/>
      </c>
      <c r="D44" s="5">
        <f>ACT_EXPOSURE_LLOYDS(A44, "Y3")</f>
        <v/>
      </c>
      <c r="E44" s="5">
        <f>ACT_EXPOSURE_LLOYDS(A44, "Y4")</f>
        <v/>
      </c>
    </row>
    <row r="45">
      <c r="A45" s="5" t="n">
        <v>1</v>
      </c>
      <c r="B45" s="5">
        <f>ACT_EXPOSURE_LLOYDS(A45, "Y1")</f>
        <v/>
      </c>
      <c r="C45" s="5">
        <f>ACT_EXPOSURE_LLOYDS(A45, "Y2")</f>
        <v/>
      </c>
      <c r="D45" s="5">
        <f>ACT_EXPOSURE_LLOYDS(A45, "Y3")</f>
        <v/>
      </c>
      <c r="E45" s="5">
        <f>ACT_EXPOSURE_LLOYDS(A45, "Y4")</f>
        <v/>
      </c>
    </row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ACT_EXPOSURE_POWER(0.5, 2)</t>
        </is>
      </c>
      <c r="C49" s="5">
        <f>ACT_EXPOSURE_POWER(0.5,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ACT_EXPOSURE_INVERSE_POWER(0.5, 2)</t>
        </is>
      </c>
      <c r="C50" s="5">
        <f>ACT_EXPOSURE_INVERSE_POWER(0.5,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ACT_EXPOSURE_PARETO(0.5, 2)</t>
        </is>
      </c>
      <c r="C51" s="5">
        <f>ACT_EXPOSURE_PARETO(0.5, 2)</f>
        <v/>
      </c>
      <c r="D51" s="5" t="inlineStr">
        <is>
          <t>Based on Pareto severity</t>
        </is>
      </c>
    </row>
    <row r="52">
      <c r="A52" s="5" t="inlineStr">
        <is>
          <t>Riebesell (n=0.5)</t>
        </is>
      </c>
      <c r="B52" s="5" t="inlineStr">
        <is>
          <t>ACT_EXPOSURE_RIEBESELL(0.5, 0.5)</t>
        </is>
      </c>
      <c r="C52" s="5">
        <f>ACT_EXPOSURE_RIEBESELL(0.5, 0.5)</f>
        <v/>
      </c>
      <c r="D52" s="5" t="inlineStr">
        <is>
          <t>Alternative single-parameter curve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C12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3">
      <c r="A3" s="2" t="inlineStr">
        <is>
          <t>Excess of loss layer calculations</t>
        </is>
      </c>
    </row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3">
      <c r="A3" s="2" t="inlineStr">
        <is>
          <t>Interpolate between known points with optional extrapolation</t>
        </is>
      </c>
    </row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K81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3">
      <c r="A3" s="2" t="inlineStr">
        <is>
          <t>Using the Taylor-Ashe triangle from Peter England's bootstrapping presentation (England &amp; Verrall, 1999)</t>
        </is>
      </c>
    </row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INDEX(ACT_CL_FACTORS(B7:K16), 1)</f>
        <v/>
      </c>
      <c r="C21" s="5">
        <f>INDEX(ACT_CL_FACTORS(B7:K16), 2)</f>
        <v/>
      </c>
      <c r="D21" s="5">
        <f>INDEX(ACT_CL_FACTORS(B7:K16), 3)</f>
        <v/>
      </c>
      <c r="E21" s="5">
        <f>INDEX(ACT_CL_FACTORS(B7:K16), 4)</f>
        <v/>
      </c>
      <c r="F21" s="5">
        <f>INDEX(ACT_CL_FACTORS(B7:K16), 5)</f>
        <v/>
      </c>
      <c r="G21" s="5">
        <f>INDEX(ACT_CL_FACTORS(B7:K16), 6)</f>
        <v/>
      </c>
      <c r="H21" s="5">
        <f>INDEX(ACT_CL_FACTORS(B7:K16), 7)</f>
        <v/>
      </c>
      <c r="I21" s="5">
        <f>INDEX(ACT_CL_FACTORS(B7:K16), 8)</f>
        <v/>
      </c>
      <c r="J21" s="5">
        <f>INDEX(ACT_CL_FACTORS(B7:K16), 9)</f>
        <v/>
      </c>
    </row>
    <row r="23">
      <c r="A23" s="2" t="inlineStr">
        <is>
          <t>PROJECTED ULTIMATES AND IBNR</t>
        </is>
      </c>
    </row>
    <row r="24">
      <c r="A24" s="2" t="inlineStr">
        <is>
          <t>Expected Total IBNR: ~18,680,856</t>
        </is>
      </c>
    </row>
    <row r="25">
      <c r="A25" s="3" t="inlineStr">
        <is>
          <t>AY</t>
        </is>
      </c>
      <c r="B25" s="3" t="inlineStr">
        <is>
          <t>Latest Cumulative</t>
        </is>
      </c>
      <c r="C25" s="3" t="inlineStr">
        <is>
          <t>Ultimate</t>
        </is>
      </c>
      <c r="D25" s="3" t="inlineStr">
        <is>
          <t>IBNR</t>
        </is>
      </c>
    </row>
    <row r="26">
      <c r="A26" s="5" t="n">
        <v>1</v>
      </c>
      <c r="B26" s="8" t="n">
        <v>3901463</v>
      </c>
      <c r="C26" s="8">
        <f>INDEX(ACT_CL_ULTIMATE(B7:K16), 1)</f>
        <v/>
      </c>
      <c r="D26" s="8">
        <f>INDEX(ACT_CL_IBNR(B7:K16), 1)</f>
        <v/>
      </c>
    </row>
    <row r="27">
      <c r="A27" s="5" t="n">
        <v>2</v>
      </c>
      <c r="B27" s="8" t="n">
        <v>5339085</v>
      </c>
      <c r="C27" s="8">
        <f>INDEX(ACT_CL_ULTIMATE(B7:K16), 2)</f>
        <v/>
      </c>
      <c r="D27" s="8">
        <f>INDEX(ACT_CL_IBNR(B7:K16), 2)</f>
        <v/>
      </c>
    </row>
    <row r="28">
      <c r="A28" s="5" t="n">
        <v>3</v>
      </c>
      <c r="B28" s="8" t="n">
        <v>4909315</v>
      </c>
      <c r="C28" s="8">
        <f>INDEX(ACT_CL_ULTIMATE(B7:K16), 3)</f>
        <v/>
      </c>
      <c r="D28" s="8">
        <f>INDEX(ACT_CL_IBNR(B7:K16), 3)</f>
        <v/>
      </c>
    </row>
    <row r="29">
      <c r="A29" s="5" t="n">
        <v>4</v>
      </c>
      <c r="B29" s="8" t="n">
        <v>4588268</v>
      </c>
      <c r="C29" s="8">
        <f>INDEX(ACT_CL_ULTIMATE(B7:K16), 4)</f>
        <v/>
      </c>
      <c r="D29" s="8">
        <f>INDEX(ACT_CL_IBNR(B7:K16), 4)</f>
        <v/>
      </c>
    </row>
    <row r="30">
      <c r="A30" s="5" t="n">
        <v>5</v>
      </c>
      <c r="B30" s="8" t="n">
        <v>3873311</v>
      </c>
      <c r="C30" s="8">
        <f>INDEX(ACT_CL_ULTIMATE(B7:K16), 5)</f>
        <v/>
      </c>
      <c r="D30" s="8">
        <f>INDEX(ACT_CL_IBNR(B7:K16), 5)</f>
        <v/>
      </c>
    </row>
    <row r="31">
      <c r="A31" s="5" t="n">
        <v>6</v>
      </c>
      <c r="B31" s="8" t="n">
        <v>3691712</v>
      </c>
      <c r="C31" s="8">
        <f>INDEX(ACT_CL_ULTIMATE(B7:K16), 6)</f>
        <v/>
      </c>
      <c r="D31" s="8">
        <f>INDEX(ACT_CL_IBNR(B7:K16), 6)</f>
        <v/>
      </c>
    </row>
    <row r="32">
      <c r="A32" s="5" t="n">
        <v>7</v>
      </c>
      <c r="B32" s="8" t="n">
        <v>3483130</v>
      </c>
      <c r="C32" s="8">
        <f>INDEX(ACT_CL_ULTIMATE(B7:K16), 7)</f>
        <v/>
      </c>
      <c r="D32" s="8">
        <f>INDEX(ACT_CL_IBNR(B7:K16), 7)</f>
        <v/>
      </c>
    </row>
    <row r="33">
      <c r="A33" s="5" t="n">
        <v>8</v>
      </c>
      <c r="B33" s="8" t="n">
        <v>2864498</v>
      </c>
      <c r="C33" s="8">
        <f>INDEX(ACT_CL_ULTIMATE(B7:K16), 8)</f>
        <v/>
      </c>
      <c r="D33" s="8">
        <f>INDEX(ACT_CL_IBNR(B7:K16), 8)</f>
        <v/>
      </c>
    </row>
    <row r="34">
      <c r="A34" s="5" t="n">
        <v>9</v>
      </c>
      <c r="B34" s="8" t="n">
        <v>1363294</v>
      </c>
      <c r="C34" s="8">
        <f>INDEX(ACT_CL_ULTIMATE(B7:K16), 9)</f>
        <v/>
      </c>
      <c r="D34" s="8">
        <f>INDEX(ACT_CL_IBNR(B7:K16), 9)</f>
        <v/>
      </c>
    </row>
    <row r="35">
      <c r="A35" s="5" t="n">
        <v>10</v>
      </c>
      <c r="B35" s="8" t="n">
        <v>344014</v>
      </c>
      <c r="C35" s="8">
        <f>INDEX(ACT_CL_ULTIMATE(B7:K16), 10)</f>
        <v/>
      </c>
      <c r="D35" s="8">
        <f>INDEX(ACT_CL_IBNR(B7:K16), 10)</f>
        <v/>
      </c>
    </row>
    <row r="36">
      <c r="A36" s="7" t="inlineStr">
        <is>
          <t>Total</t>
        </is>
      </c>
      <c r="B36" s="9">
        <f>SUM(B26:B35)</f>
        <v/>
      </c>
      <c r="C36" s="9">
        <f>SUM(C26:C35)</f>
        <v/>
      </c>
      <c r="D36" s="9">
        <f>SUM(D26:D35)</f>
        <v/>
      </c>
    </row>
    <row r="38">
      <c r="A38" s="2" t="inlineStr">
        <is>
          <t>MACK STANDARD ERRORS (reserve uncertainty)</t>
        </is>
      </c>
    </row>
    <row r="39">
      <c r="A39" s="3" t="inlineStr">
        <is>
          <t>AY</t>
        </is>
      </c>
      <c r="B39" s="3" t="inlineStr">
        <is>
          <t>Reserve SE</t>
        </is>
      </c>
      <c r="C39" s="3" t="inlineStr">
        <is>
          <t>E&amp;V Reference</t>
        </is>
      </c>
    </row>
    <row r="40">
      <c r="A40" s="5" t="n">
        <v>1</v>
      </c>
      <c r="B40" s="8">
        <f>INDEX(ACT_MACK_RESERVE_SE(B7:K16), 1)</f>
        <v/>
      </c>
      <c r="C40" s="8" t="n">
        <v>0</v>
      </c>
    </row>
    <row r="41">
      <c r="A41" s="5" t="n">
        <v>2</v>
      </c>
      <c r="B41" s="8">
        <f>INDEX(ACT_MACK_RESERVE_SE(B7:K16), 2)</f>
        <v/>
      </c>
      <c r="C41" s="8" t="n">
        <v>75535</v>
      </c>
    </row>
    <row r="42">
      <c r="A42" s="5" t="n">
        <v>3</v>
      </c>
      <c r="B42" s="8">
        <f>INDEX(ACT_MACK_RESERVE_SE(B7:K16), 3)</f>
        <v/>
      </c>
      <c r="C42" s="8" t="n">
        <v>121699</v>
      </c>
    </row>
    <row r="43">
      <c r="A43" s="5" t="n">
        <v>4</v>
      </c>
      <c r="B43" s="8">
        <f>INDEX(ACT_MACK_RESERVE_SE(B7:K16), 4)</f>
        <v/>
      </c>
      <c r="C43" s="8" t="n">
        <v>136554</v>
      </c>
    </row>
    <row r="44">
      <c r="A44" s="5" t="n">
        <v>5</v>
      </c>
      <c r="B44" s="8">
        <f>INDEX(ACT_MACK_RESERVE_SE(B7:K16), 5)</f>
        <v/>
      </c>
      <c r="C44" s="8" t="n">
        <v>212054</v>
      </c>
    </row>
    <row r="45">
      <c r="A45" s="5" t="n">
        <v>6</v>
      </c>
      <c r="B45" s="8">
        <f>INDEX(ACT_MACK_RESERVE_SE(B7:K16), 6)</f>
        <v/>
      </c>
      <c r="C45" s="8" t="n">
        <v>282372</v>
      </c>
    </row>
    <row r="46">
      <c r="A46" s="5" t="n">
        <v>7</v>
      </c>
      <c r="B46" s="8">
        <f>INDEX(ACT_MACK_RESERVE_SE(B7:K16), 7)</f>
        <v/>
      </c>
      <c r="C46" s="8" t="n">
        <v>444283</v>
      </c>
    </row>
    <row r="47">
      <c r="A47" s="5" t="n">
        <v>8</v>
      </c>
      <c r="B47" s="8">
        <f>INDEX(ACT_MACK_RESERVE_SE(B7:K16), 8)</f>
        <v/>
      </c>
      <c r="C47" s="8" t="n">
        <v>640396</v>
      </c>
    </row>
    <row r="48">
      <c r="A48" s="5" t="n">
        <v>9</v>
      </c>
      <c r="B48" s="8">
        <f>INDEX(ACT_MACK_RESERVE_SE(B7:K16), 9)</f>
        <v/>
      </c>
      <c r="C48" s="8" t="n">
        <v>1091089</v>
      </c>
    </row>
    <row r="49">
      <c r="A49" s="5" t="n">
        <v>10</v>
      </c>
      <c r="B49" s="8">
        <f>INDEX(ACT_MACK_RESERVE_SE(B7:K16), 10)</f>
        <v/>
      </c>
      <c r="C49" s="8" t="n">
        <v>2029818</v>
      </c>
    </row>
    <row r="50">
      <c r="A50" s="7" t="inlineStr">
        <is>
          <t>Total</t>
        </is>
      </c>
      <c r="C50" s="8" t="n">
        <v>2447318</v>
      </c>
    </row>
    <row r="52">
      <c r="A52" s="2" t="inlineStr">
        <is>
          <t>BOOTSTRAP CHAIN LADDER (ODP) - England &amp; Verrall (2002)</t>
        </is>
      </c>
    </row>
    <row r="53">
      <c r="A53" s="5" t="inlineStr">
        <is>
          <t>Iterations</t>
        </is>
      </c>
      <c r="B53" s="5" t="n">
        <v>1000</v>
      </c>
    </row>
    <row r="54">
      <c r="A54" s="5" t="inlineStr">
        <is>
          <t>Seed</t>
        </is>
      </c>
      <c r="B54" s="5" t="n">
        <v>42</v>
      </c>
    </row>
    <row r="55">
      <c r="A55" s="2" t="inlineStr">
        <is>
          <t>BOOTSTRAP RESULTS (array output - use INDEX to extract)</t>
        </is>
      </c>
    </row>
    <row r="56">
      <c r="A56" s="3" t="inlineStr">
        <is>
          <t>Statistic</t>
        </is>
      </c>
      <c r="B56" s="3" t="inlineStr">
        <is>
          <t>Value</t>
        </is>
      </c>
      <c r="C56" s="3" t="inlineStr">
        <is>
          <t>E&amp;V Reference</t>
        </is>
      </c>
    </row>
    <row r="57">
      <c r="A57" s="5" t="inlineStr">
        <is>
          <t>Mean</t>
        </is>
      </c>
      <c r="B57" s="8">
        <f>INDEX(ACT_CL_BOOTSTRAP(B7:K16, B53, B54), 1, 2)</f>
        <v/>
      </c>
      <c r="C57" s="8" t="n">
        <v>18680856</v>
      </c>
    </row>
    <row r="58">
      <c r="A58" s="5" t="inlineStr">
        <is>
          <t>StdDev</t>
        </is>
      </c>
      <c r="B58" s="8">
        <f>INDEX(ACT_CL_BOOTSTRAP(B7:K16, B53, B54), 2, 2)</f>
        <v/>
      </c>
      <c r="C58" s="8" t="n">
        <v>3087570</v>
      </c>
    </row>
    <row r="59">
      <c r="A59" s="5" t="inlineStr">
        <is>
          <t>P1</t>
        </is>
      </c>
      <c r="B59" s="8">
        <f>INDEX(ACT_CL_BOOTSTRAP(B7:K16, B53, B54), 3, 2)</f>
        <v/>
      </c>
    </row>
    <row r="60">
      <c r="A60" s="5" t="inlineStr">
        <is>
          <t>P5</t>
        </is>
      </c>
      <c r="B60" s="8">
        <f>INDEX(ACT_CL_BOOTSTRAP(B7:K16, B53, B54), 4, 2)</f>
        <v/>
      </c>
    </row>
    <row r="61">
      <c r="A61" s="5" t="inlineStr">
        <is>
          <t>P10</t>
        </is>
      </c>
      <c r="B61" s="8">
        <f>INDEX(ACT_CL_BOOTSTRAP(B7:K16, B53, B54), 5, 2)</f>
        <v/>
      </c>
    </row>
    <row r="62">
      <c r="A62" s="5" t="inlineStr">
        <is>
          <t>P25</t>
        </is>
      </c>
      <c r="B62" s="8">
        <f>INDEX(ACT_CL_BOOTSTRAP(B7:K16, B53, B54), 6, 2)</f>
        <v/>
      </c>
    </row>
    <row r="63">
      <c r="A63" s="5" t="inlineStr">
        <is>
          <t>P50</t>
        </is>
      </c>
      <c r="B63" s="8">
        <f>INDEX(ACT_CL_BOOTSTRAP(B7:K16, B53, B54), 7, 2)</f>
        <v/>
      </c>
      <c r="C63" s="8" t="n">
        <v>18186033</v>
      </c>
    </row>
    <row r="64">
      <c r="A64" s="5" t="inlineStr">
        <is>
          <t>P75</t>
        </is>
      </c>
      <c r="B64" s="8">
        <f>INDEX(ACT_CL_BOOTSTRAP(B7:K16, B53, B54), 8, 2)</f>
        <v/>
      </c>
      <c r="C64" s="8" t="n">
        <v>20376564</v>
      </c>
    </row>
    <row r="65">
      <c r="A65" s="5" t="inlineStr">
        <is>
          <t>P90</t>
        </is>
      </c>
      <c r="B65" s="8">
        <f>INDEX(ACT_CL_BOOTSTRAP(B7:K16, B53, B54), 9, 2)</f>
        <v/>
      </c>
    </row>
    <row r="66">
      <c r="A66" s="5" t="inlineStr">
        <is>
          <t>P95</t>
        </is>
      </c>
      <c r="B66" s="8">
        <f>INDEX(ACT_CL_BOOTSTRAP(B7:K16, B53, B54), 10, 2)</f>
        <v/>
      </c>
      <c r="C66" s="8" t="n">
        <v>24221956</v>
      </c>
    </row>
    <row r="67">
      <c r="A67" s="5" t="inlineStr">
        <is>
          <t>P99</t>
        </is>
      </c>
      <c r="B67" s="8">
        <f>INDEX(ACT_CL_BOOTSTRAP(B7:K16, B53, B54), 11, 2)</f>
        <v/>
      </c>
    </row>
    <row r="69">
      <c r="A69" s="2" t="inlineStr">
        <is>
          <t>BOOTSTRAP BY ORIGIN YEAR - Compare with England &amp; Verrall (2002) Table 5</t>
        </is>
      </c>
    </row>
    <row r="70">
      <c r="A70" s="3" t="inlineStr">
        <is>
          <t>AY</t>
        </is>
      </c>
      <c r="B70" s="3" t="inlineStr">
        <is>
          <t>Mean</t>
        </is>
      </c>
      <c r="C70" s="3" t="inlineStr">
        <is>
          <t>StdDev</t>
        </is>
      </c>
      <c r="D70" s="3" t="inlineStr">
        <is>
          <t>E&amp;V SE Ref</t>
        </is>
      </c>
      <c r="E70" s="3" t="inlineStr">
        <is>
          <t>P50</t>
        </is>
      </c>
      <c r="F70" s="3" t="inlineStr">
        <is>
          <t>P75</t>
        </is>
      </c>
      <c r="G70" s="3" t="inlineStr">
        <is>
          <t>P90</t>
        </is>
      </c>
    </row>
    <row r="71">
      <c r="A71" s="5" t="n">
        <v>1</v>
      </c>
      <c r="B71" s="8">
        <f>INDEX(ACT_CL_BOOTSTRAP_ORIGIN(B7:K16, B53, B54), 2, 2)</f>
        <v/>
      </c>
      <c r="C71" s="8">
        <f>INDEX(ACT_CL_BOOTSTRAP_ORIGIN(B7:K16, B53, B54), 2, 3)</f>
        <v/>
      </c>
      <c r="D71" s="8" t="n">
        <v>0</v>
      </c>
      <c r="E71" s="8">
        <f>INDEX(ACT_CL_BOOTSTRAP_ORIGIN(B7:K16, B53, B54), 2, 4)</f>
        <v/>
      </c>
      <c r="F71" s="8">
        <f>INDEX(ACT_CL_BOOTSTRAP_ORIGIN(B7:K16, B53, B54), 2, 5)</f>
        <v/>
      </c>
      <c r="G71" s="8">
        <f>INDEX(ACT_CL_BOOTSTRAP_ORIGIN(B7:K16, B53, B54), 2, 6)</f>
        <v/>
      </c>
    </row>
    <row r="72">
      <c r="A72" s="5" t="n">
        <v>2</v>
      </c>
      <c r="B72" s="8">
        <f>INDEX(ACT_CL_BOOTSTRAP_ORIGIN(B7:K16, B53, B54), 3, 2)</f>
        <v/>
      </c>
      <c r="C72" s="8">
        <f>INDEX(ACT_CL_BOOTSTRAP_ORIGIN(B7:K16, B53, B54), 3, 3)</f>
        <v/>
      </c>
      <c r="D72" s="8" t="n">
        <v>112379</v>
      </c>
      <c r="E72" s="8">
        <f>INDEX(ACT_CL_BOOTSTRAP_ORIGIN(B7:K16, B53, B54), 3, 4)</f>
        <v/>
      </c>
      <c r="F72" s="8">
        <f>INDEX(ACT_CL_BOOTSTRAP_ORIGIN(B7:K16, B53, B54), 3, 5)</f>
        <v/>
      </c>
      <c r="G72" s="8">
        <f>INDEX(ACT_CL_BOOTSTRAP_ORIGIN(B7:K16, B53, B54), 3, 6)</f>
        <v/>
      </c>
    </row>
    <row r="73">
      <c r="A73" s="5" t="n">
        <v>3</v>
      </c>
      <c r="B73" s="8">
        <f>INDEX(ACT_CL_BOOTSTRAP_ORIGIN(B7:K16, B53, B54), 4, 2)</f>
        <v/>
      </c>
      <c r="C73" s="8">
        <f>INDEX(ACT_CL_BOOTSTRAP_ORIGIN(B7:K16, B53, B54), 4, 3)</f>
        <v/>
      </c>
      <c r="D73" s="8" t="n">
        <v>178443</v>
      </c>
      <c r="E73" s="8">
        <f>INDEX(ACT_CL_BOOTSTRAP_ORIGIN(B7:K16, B53, B54), 4, 4)</f>
        <v/>
      </c>
      <c r="F73" s="8">
        <f>INDEX(ACT_CL_BOOTSTRAP_ORIGIN(B7:K16, B53, B54), 4, 5)</f>
        <v/>
      </c>
      <c r="G73" s="8">
        <f>INDEX(ACT_CL_BOOTSTRAP_ORIGIN(B7:K16, B53, B54), 4, 6)</f>
        <v/>
      </c>
    </row>
    <row r="74">
      <c r="A74" s="5" t="n">
        <v>4</v>
      </c>
      <c r="B74" s="8">
        <f>INDEX(ACT_CL_BOOTSTRAP_ORIGIN(B7:K16, B53, B54), 5, 2)</f>
        <v/>
      </c>
      <c r="C74" s="8">
        <f>INDEX(ACT_CL_BOOTSTRAP_ORIGIN(B7:K16, B53, B54), 5, 3)</f>
        <v/>
      </c>
      <c r="D74" s="8" t="n">
        <v>209399</v>
      </c>
      <c r="E74" s="8">
        <f>INDEX(ACT_CL_BOOTSTRAP_ORIGIN(B7:K16, B53, B54), 5, 4)</f>
        <v/>
      </c>
      <c r="F74" s="8">
        <f>INDEX(ACT_CL_BOOTSTRAP_ORIGIN(B7:K16, B53, B54), 5, 5)</f>
        <v/>
      </c>
      <c r="G74" s="8">
        <f>INDEX(ACT_CL_BOOTSTRAP_ORIGIN(B7:K16, B53, B54), 5, 6)</f>
        <v/>
      </c>
    </row>
    <row r="75">
      <c r="A75" s="5" t="n">
        <v>5</v>
      </c>
      <c r="B75" s="8">
        <f>INDEX(ACT_CL_BOOTSTRAP_ORIGIN(B7:K16, B53, B54), 6, 2)</f>
        <v/>
      </c>
      <c r="C75" s="8">
        <f>INDEX(ACT_CL_BOOTSTRAP_ORIGIN(B7:K16, B53, B54), 6, 3)</f>
        <v/>
      </c>
      <c r="D75" s="8" t="n">
        <v>286636</v>
      </c>
      <c r="E75" s="8">
        <f>INDEX(ACT_CL_BOOTSTRAP_ORIGIN(B7:K16, B53, B54), 6, 4)</f>
        <v/>
      </c>
      <c r="F75" s="8">
        <f>INDEX(ACT_CL_BOOTSTRAP_ORIGIN(B7:K16, B53, B54), 6, 5)</f>
        <v/>
      </c>
      <c r="G75" s="8">
        <f>INDEX(ACT_CL_BOOTSTRAP_ORIGIN(B7:K16, B53, B54), 6, 6)</f>
        <v/>
      </c>
    </row>
    <row r="76">
      <c r="A76" s="5" t="n">
        <v>6</v>
      </c>
      <c r="B76" s="8">
        <f>INDEX(ACT_CL_BOOTSTRAP_ORIGIN(B7:K16, B53, B54), 7, 2)</f>
        <v/>
      </c>
      <c r="C76" s="8">
        <f>INDEX(ACT_CL_BOOTSTRAP_ORIGIN(B7:K16, B53, B54), 7, 3)</f>
        <v/>
      </c>
      <c r="D76" s="8" t="n">
        <v>440310</v>
      </c>
      <c r="E76" s="8">
        <f>INDEX(ACT_CL_BOOTSTRAP_ORIGIN(B7:K16, B53, B54), 7, 4)</f>
        <v/>
      </c>
      <c r="F76" s="8">
        <f>INDEX(ACT_CL_BOOTSTRAP_ORIGIN(B7:K16, B53, B54), 7, 5)</f>
        <v/>
      </c>
      <c r="G76" s="8">
        <f>INDEX(ACT_CL_BOOTSTRAP_ORIGIN(B7:K16, B53, B54), 7, 6)</f>
        <v/>
      </c>
    </row>
    <row r="77">
      <c r="A77" s="5" t="n">
        <v>7</v>
      </c>
      <c r="B77" s="8">
        <f>INDEX(ACT_CL_BOOTSTRAP_ORIGIN(B7:K16, B53, B54), 8, 2)</f>
        <v/>
      </c>
      <c r="C77" s="8">
        <f>INDEX(ACT_CL_BOOTSTRAP_ORIGIN(B7:K16, B53, B54), 8, 3)</f>
        <v/>
      </c>
      <c r="D77" s="8" t="n">
        <v>571035</v>
      </c>
      <c r="E77" s="8">
        <f>INDEX(ACT_CL_BOOTSTRAP_ORIGIN(B7:K16, B53, B54), 8, 4)</f>
        <v/>
      </c>
      <c r="F77" s="8">
        <f>INDEX(ACT_CL_BOOTSTRAP_ORIGIN(B7:K16, B53, B54), 8, 5)</f>
        <v/>
      </c>
      <c r="G77" s="8">
        <f>INDEX(ACT_CL_BOOTSTRAP_ORIGIN(B7:K16, B53, B54), 8, 6)</f>
        <v/>
      </c>
    </row>
    <row r="78">
      <c r="A78" s="5" t="n">
        <v>8</v>
      </c>
      <c r="B78" s="8">
        <f>INDEX(ACT_CL_BOOTSTRAP_ORIGIN(B7:K16, B53, B54), 9, 2)</f>
        <v/>
      </c>
      <c r="C78" s="8">
        <f>INDEX(ACT_CL_BOOTSTRAP_ORIGIN(B7:K16, B53, B54), 9, 3)</f>
        <v/>
      </c>
      <c r="D78" s="8" t="n">
        <v>820842</v>
      </c>
      <c r="E78" s="8">
        <f>INDEX(ACT_CL_BOOTSTRAP_ORIGIN(B7:K16, B53, B54), 9, 4)</f>
        <v/>
      </c>
      <c r="F78" s="8">
        <f>INDEX(ACT_CL_BOOTSTRAP_ORIGIN(B7:K16, B53, B54), 9, 5)</f>
        <v/>
      </c>
      <c r="G78" s="8">
        <f>INDEX(ACT_CL_BOOTSTRAP_ORIGIN(B7:K16, B53, B54), 9, 6)</f>
        <v/>
      </c>
    </row>
    <row r="79">
      <c r="A79" s="5" t="n">
        <v>9</v>
      </c>
      <c r="B79" s="8">
        <f>INDEX(ACT_CL_BOOTSTRAP_ORIGIN(B7:K16, B53, B54), 10, 2)</f>
        <v/>
      </c>
      <c r="C79" s="8">
        <f>INDEX(ACT_CL_BOOTSTRAP_ORIGIN(B7:K16, B53, B54), 10, 3)</f>
        <v/>
      </c>
      <c r="D79" s="8" t="n">
        <v>1258296</v>
      </c>
      <c r="E79" s="8">
        <f>INDEX(ACT_CL_BOOTSTRAP_ORIGIN(B7:K16, B53, B54), 10, 4)</f>
        <v/>
      </c>
      <c r="F79" s="8">
        <f>INDEX(ACT_CL_BOOTSTRAP_ORIGIN(B7:K16, B53, B54), 10, 5)</f>
        <v/>
      </c>
      <c r="G79" s="8">
        <f>INDEX(ACT_CL_BOOTSTRAP_ORIGIN(B7:K16, B53, B54), 10, 6)</f>
        <v/>
      </c>
    </row>
    <row r="80">
      <c r="A80" s="5" t="n">
        <v>10</v>
      </c>
      <c r="B80" s="8">
        <f>INDEX(ACT_CL_BOOTSTRAP_ORIGIN(B7:K16, B53, B54), 11, 2)</f>
        <v/>
      </c>
      <c r="C80" s="8">
        <f>INDEX(ACT_CL_BOOTSTRAP_ORIGIN(B7:K16, B53, B54), 11, 3)</f>
        <v/>
      </c>
      <c r="D80" s="8" t="n">
        <v>2046223</v>
      </c>
      <c r="E80" s="8">
        <f>INDEX(ACT_CL_BOOTSTRAP_ORIGIN(B7:K16, B53, B54), 11, 4)</f>
        <v/>
      </c>
      <c r="F80" s="8">
        <f>INDEX(ACT_CL_BOOTSTRAP_ORIGIN(B7:K16, B53, B54), 11, 5)</f>
        <v/>
      </c>
      <c r="G80" s="8">
        <f>INDEX(ACT_CL_BOOTSTRAP_ORIGIN(B7:K16, B53, B54), 11, 6)</f>
        <v/>
      </c>
    </row>
    <row r="81">
      <c r="A81" s="7" t="inlineStr">
        <is>
          <t>Total</t>
        </is>
      </c>
      <c r="D81" s="8" t="n">
        <v>3087570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120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>
      <c r="E2">
        <f>"Copula Samples: U1 vs U2 (correlation = "&amp;TEXT(B8,"0.0")&amp;")"</f>
        <v/>
      </c>
    </row>
    <row r="3">
      <c r="A3" s="2" t="inlineStr">
        <is>
          <t>Generate correlated uniform random numbers for Monte Carlo simulation</t>
        </is>
      </c>
    </row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>
        <f>B8</f>
        <v/>
      </c>
      <c r="D7" s="5">
        <f>B9</f>
        <v/>
      </c>
    </row>
    <row r="8">
      <c r="A8" s="7" t="inlineStr">
        <is>
          <t>X2</t>
        </is>
      </c>
      <c r="B8" s="5" t="n">
        <v>0.9</v>
      </c>
      <c r="C8" s="5" t="n">
        <v>1</v>
      </c>
      <c r="D8" s="5">
        <f>C9</f>
        <v/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</v>
      </c>
    </row>
    <row r="14">
      <c r="A14" s="5" t="inlineStr">
        <is>
          <t>Random seed:</t>
        </is>
      </c>
      <c r="B14" s="5" t="n">
        <v>42</v>
      </c>
    </row>
    <row r="16">
      <c r="A16" s="2" t="inlineStr">
        <is>
          <t>GENERATED SAMPLES (use INDEX to extract from array)</t>
        </is>
      </c>
    </row>
    <row r="17">
      <c r="A17" s="2" t="inlineStr">
        <is>
          <t>Formula: =INDEX(ACT_COPULA_STUDENT_T(B7:D9, B12, B13, B14), row, col)</t>
        </is>
      </c>
    </row>
    <row r="18">
      <c r="A18" s="3" t="inlineStr">
        <is>
          <t>Sample</t>
        </is>
      </c>
      <c r="B18" s="3" t="inlineStr">
        <is>
          <t>U1</t>
        </is>
      </c>
      <c r="C18" s="3" t="inlineStr">
        <is>
          <t>U2</t>
        </is>
      </c>
      <c r="D18" s="3" t="inlineStr">
        <is>
          <t>U3</t>
        </is>
      </c>
    </row>
    <row r="19">
      <c r="A19" s="5" t="n">
        <v>1</v>
      </c>
      <c r="B19" s="5">
        <f>INDEX(ACT_COPULA_STUDENT_T(B7:D9, B12, B13, B14), 1, 1)</f>
        <v/>
      </c>
      <c r="C19" s="5">
        <f>INDEX(ACT_COPULA_STUDENT_T(B7:D9, B12, B13, B14), 1, 2)</f>
        <v/>
      </c>
      <c r="D19" s="5">
        <f>INDEX(ACT_COPULA_STUDENT_T(B7:D9, B12, B13, B14), 1, 3)</f>
        <v/>
      </c>
    </row>
    <row r="20">
      <c r="A20" s="5" t="n">
        <v>2</v>
      </c>
      <c r="B20" s="5">
        <f>INDEX(ACT_COPULA_STUDENT_T(B7:D9, B12, B13, B14), 2, 1)</f>
        <v/>
      </c>
      <c r="C20" s="5">
        <f>INDEX(ACT_COPULA_STUDENT_T(B7:D9, B12, B13, B14), 2, 2)</f>
        <v/>
      </c>
      <c r="D20" s="5">
        <f>INDEX(ACT_COPULA_STUDENT_T(B7:D9, B12, B13, B14), 2, 3)</f>
        <v/>
      </c>
    </row>
    <row r="21">
      <c r="A21" s="5" t="n">
        <v>3</v>
      </c>
      <c r="B21" s="5">
        <f>INDEX(ACT_COPULA_STUDENT_T(B7:D9, B12, B13, B14), 3, 1)</f>
        <v/>
      </c>
      <c r="C21" s="5">
        <f>INDEX(ACT_COPULA_STUDENT_T(B7:D9, B12, B13, B14), 3, 2)</f>
        <v/>
      </c>
      <c r="D21" s="5">
        <f>INDEX(ACT_COPULA_STUDENT_T(B7:D9, B12, B13, B14), 3, 3)</f>
        <v/>
      </c>
    </row>
    <row r="22">
      <c r="A22" s="5" t="n">
        <v>4</v>
      </c>
      <c r="B22" s="5">
        <f>INDEX(ACT_COPULA_STUDENT_T(B7:D9, B12, B13, B14), 4, 1)</f>
        <v/>
      </c>
      <c r="C22" s="5">
        <f>INDEX(ACT_COPULA_STUDENT_T(B7:D9, B12, B13, B14), 4, 2)</f>
        <v/>
      </c>
      <c r="D22" s="5">
        <f>INDEX(ACT_COPULA_STUDENT_T(B7:D9, B12, B13, B14), 4, 3)</f>
        <v/>
      </c>
    </row>
    <row r="23">
      <c r="A23" s="5" t="n">
        <v>5</v>
      </c>
      <c r="B23" s="5">
        <f>INDEX(ACT_COPULA_STUDENT_T(B7:D9, B12, B13, B14), 5, 1)</f>
        <v/>
      </c>
      <c r="C23" s="5">
        <f>INDEX(ACT_COPULA_STUDENT_T(B7:D9, B12, B13, B14), 5, 2)</f>
        <v/>
      </c>
      <c r="D23" s="5">
        <f>INDEX(ACT_COPULA_STUDENT_T(B7:D9, B12, B13, B14), 5, 3)</f>
        <v/>
      </c>
    </row>
    <row r="24">
      <c r="A24" s="5" t="n">
        <v>6</v>
      </c>
      <c r="B24" s="5">
        <f>INDEX(ACT_COPULA_STUDENT_T(B7:D9, B12, B13, B14), 6, 1)</f>
        <v/>
      </c>
      <c r="C24" s="5">
        <f>INDEX(ACT_COPULA_STUDENT_T(B7:D9, B12, B13, B14), 6, 2)</f>
        <v/>
      </c>
      <c r="D24" s="5">
        <f>INDEX(ACT_COPULA_STUDENT_T(B7:D9, B12, B13, B14), 6, 3)</f>
        <v/>
      </c>
    </row>
    <row r="25">
      <c r="A25" s="5" t="n">
        <v>7</v>
      </c>
      <c r="B25" s="5">
        <f>INDEX(ACT_COPULA_STUDENT_T(B7:D9, B12, B13, B14), 7, 1)</f>
        <v/>
      </c>
      <c r="C25" s="5">
        <f>INDEX(ACT_COPULA_STUDENT_T(B7:D9, B12, B13, B14), 7, 2)</f>
        <v/>
      </c>
      <c r="D25" s="5">
        <f>INDEX(ACT_COPULA_STUDENT_T(B7:D9, B12, B13, B14), 7, 3)</f>
        <v/>
      </c>
    </row>
    <row r="26">
      <c r="A26" s="5" t="n">
        <v>8</v>
      </c>
      <c r="B26" s="5">
        <f>INDEX(ACT_COPULA_STUDENT_T(B7:D9, B12, B13, B14), 8, 1)</f>
        <v/>
      </c>
      <c r="C26" s="5">
        <f>INDEX(ACT_COPULA_STUDENT_T(B7:D9, B12, B13, B14), 8, 2)</f>
        <v/>
      </c>
      <c r="D26" s="5">
        <f>INDEX(ACT_COPULA_STUDENT_T(B7:D9, B12, B13, B14), 8, 3)</f>
        <v/>
      </c>
    </row>
    <row r="27">
      <c r="A27" s="5" t="n">
        <v>9</v>
      </c>
      <c r="B27" s="5">
        <f>INDEX(ACT_COPULA_STUDENT_T(B7:D9, B12, B13, B14), 9, 1)</f>
        <v/>
      </c>
      <c r="C27" s="5">
        <f>INDEX(ACT_COPULA_STUDENT_T(B7:D9, B12, B13, B14), 9, 2)</f>
        <v/>
      </c>
      <c r="D27" s="5">
        <f>INDEX(ACT_COPULA_STUDENT_T(B7:D9, B12, B13, B14), 9, 3)</f>
        <v/>
      </c>
    </row>
    <row r="28">
      <c r="A28" s="5" t="n">
        <v>10</v>
      </c>
      <c r="B28" s="5">
        <f>INDEX(ACT_COPULA_STUDENT_T(B7:D9, B12, B13, B14), 10, 1)</f>
        <v/>
      </c>
      <c r="C28" s="5">
        <f>INDEX(ACT_COPULA_STUDENT_T(B7:D9, B12, B13, B14), 10, 2)</f>
        <v/>
      </c>
      <c r="D28" s="5">
        <f>INDEX(ACT_COPULA_STUDENT_T(B7:D9, B12, B13, B14), 10, 3)</f>
        <v/>
      </c>
    </row>
    <row r="29">
      <c r="A29" s="5" t="n">
        <v>11</v>
      </c>
      <c r="B29" s="5">
        <f>INDEX(ACT_COPULA_STUDENT_T(B7:D9, B12, B13, B14), 11, 1)</f>
        <v/>
      </c>
      <c r="C29" s="5">
        <f>INDEX(ACT_COPULA_STUDENT_T(B7:D9, B12, B13, B14), 11, 2)</f>
        <v/>
      </c>
      <c r="D29" s="5">
        <f>INDEX(ACT_COPULA_STUDENT_T(B7:D9, B12, B13, B14), 11, 3)</f>
        <v/>
      </c>
    </row>
    <row r="30">
      <c r="A30" s="5" t="n">
        <v>12</v>
      </c>
      <c r="B30" s="5">
        <f>INDEX(ACT_COPULA_STUDENT_T(B7:D9, B12, B13, B14), 12, 1)</f>
        <v/>
      </c>
      <c r="C30" s="5">
        <f>INDEX(ACT_COPULA_STUDENT_T(B7:D9, B12, B13, B14), 12, 2)</f>
        <v/>
      </c>
      <c r="D30" s="5">
        <f>INDEX(ACT_COPULA_STUDENT_T(B7:D9, B12, B13, B14), 12, 3)</f>
        <v/>
      </c>
    </row>
    <row r="31">
      <c r="A31" s="5" t="n">
        <v>13</v>
      </c>
      <c r="B31" s="5">
        <f>INDEX(ACT_COPULA_STUDENT_T(B7:D9, B12, B13, B14), 13, 1)</f>
        <v/>
      </c>
      <c r="C31" s="5">
        <f>INDEX(ACT_COPULA_STUDENT_T(B7:D9, B12, B13, B14), 13, 2)</f>
        <v/>
      </c>
      <c r="D31" s="5">
        <f>INDEX(ACT_COPULA_STUDENT_T(B7:D9, B12, B13, B14), 13, 3)</f>
        <v/>
      </c>
    </row>
    <row r="32">
      <c r="A32" s="5" t="n">
        <v>14</v>
      </c>
      <c r="B32" s="5">
        <f>INDEX(ACT_COPULA_STUDENT_T(B7:D9, B12, B13, B14), 14, 1)</f>
        <v/>
      </c>
      <c r="C32" s="5">
        <f>INDEX(ACT_COPULA_STUDENT_T(B7:D9, B12, B13, B14), 14, 2)</f>
        <v/>
      </c>
      <c r="D32" s="5">
        <f>INDEX(ACT_COPULA_STUDENT_T(B7:D9, B12, B13, B14), 14, 3)</f>
        <v/>
      </c>
    </row>
    <row r="33">
      <c r="A33" s="5" t="n">
        <v>15</v>
      </c>
      <c r="B33" s="5">
        <f>INDEX(ACT_COPULA_STUDENT_T(B7:D9, B12, B13, B14), 15, 1)</f>
        <v/>
      </c>
      <c r="C33" s="5">
        <f>INDEX(ACT_COPULA_STUDENT_T(B7:D9, B12, B13, B14), 15, 2)</f>
        <v/>
      </c>
      <c r="D33" s="5">
        <f>INDEX(ACT_COPULA_STUDENT_T(B7:D9, B12, B13, B14), 15, 3)</f>
        <v/>
      </c>
    </row>
    <row r="34">
      <c r="A34" s="5" t="n">
        <v>16</v>
      </c>
      <c r="B34" s="5">
        <f>INDEX(ACT_COPULA_STUDENT_T(B7:D9, B12, B13, B14), 16, 1)</f>
        <v/>
      </c>
      <c r="C34" s="5">
        <f>INDEX(ACT_COPULA_STUDENT_T(B7:D9, B12, B13, B14), 16, 2)</f>
        <v/>
      </c>
      <c r="D34" s="5">
        <f>INDEX(ACT_COPULA_STUDENT_T(B7:D9, B12, B13, B14), 16, 3)</f>
        <v/>
      </c>
    </row>
    <row r="35">
      <c r="A35" s="5" t="n">
        <v>17</v>
      </c>
      <c r="B35" s="5">
        <f>INDEX(ACT_COPULA_STUDENT_T(B7:D9, B12, B13, B14), 17, 1)</f>
        <v/>
      </c>
      <c r="C35" s="5">
        <f>INDEX(ACT_COPULA_STUDENT_T(B7:D9, B12, B13, B14), 17, 2)</f>
        <v/>
      </c>
      <c r="D35" s="5">
        <f>INDEX(ACT_COPULA_STUDENT_T(B7:D9, B12, B13, B14), 17, 3)</f>
        <v/>
      </c>
    </row>
    <row r="36">
      <c r="A36" s="5" t="n">
        <v>18</v>
      </c>
      <c r="B36" s="5">
        <f>INDEX(ACT_COPULA_STUDENT_T(B7:D9, B12, B13, B14), 18, 1)</f>
        <v/>
      </c>
      <c r="C36" s="5">
        <f>INDEX(ACT_COPULA_STUDENT_T(B7:D9, B12, B13, B14), 18, 2)</f>
        <v/>
      </c>
      <c r="D36" s="5">
        <f>INDEX(ACT_COPULA_STUDENT_T(B7:D9, B12, B13, B14), 18, 3)</f>
        <v/>
      </c>
    </row>
    <row r="37">
      <c r="A37" s="5" t="n">
        <v>19</v>
      </c>
      <c r="B37" s="5">
        <f>INDEX(ACT_COPULA_STUDENT_T(B7:D9, B12, B13, B14), 19, 1)</f>
        <v/>
      </c>
      <c r="C37" s="5">
        <f>INDEX(ACT_COPULA_STUDENT_T(B7:D9, B12, B13, B14), 19, 2)</f>
        <v/>
      </c>
      <c r="D37" s="5">
        <f>INDEX(ACT_COPULA_STUDENT_T(B7:D9, B12, B13, B14), 19, 3)</f>
        <v/>
      </c>
    </row>
    <row r="38">
      <c r="A38" s="5" t="n">
        <v>20</v>
      </c>
      <c r="B38" s="5">
        <f>INDEX(ACT_COPULA_STUDENT_T(B7:D9, B12, B13, B14), 20, 1)</f>
        <v/>
      </c>
      <c r="C38" s="5">
        <f>INDEX(ACT_COPULA_STUDENT_T(B7:D9, B12, B13, B14), 20, 2)</f>
        <v/>
      </c>
      <c r="D38" s="5">
        <f>INDEX(ACT_COPULA_STUDENT_T(B7:D9, B12, B13, B14), 20, 3)</f>
        <v/>
      </c>
    </row>
    <row r="39">
      <c r="A39" s="5" t="n">
        <v>21</v>
      </c>
      <c r="B39" s="5">
        <f>INDEX(ACT_COPULA_STUDENT_T(B7:D9, B12, B13, B14), 21, 1)</f>
        <v/>
      </c>
      <c r="C39" s="5">
        <f>INDEX(ACT_COPULA_STUDENT_T(B7:D9, B12, B13, B14), 21, 2)</f>
        <v/>
      </c>
      <c r="D39" s="5">
        <f>INDEX(ACT_COPULA_STUDENT_T(B7:D9, B12, B13, B14), 21, 3)</f>
        <v/>
      </c>
    </row>
    <row r="40">
      <c r="A40" s="5" t="n">
        <v>22</v>
      </c>
      <c r="B40" s="5">
        <f>INDEX(ACT_COPULA_STUDENT_T(B7:D9, B12, B13, B14), 22, 1)</f>
        <v/>
      </c>
      <c r="C40" s="5">
        <f>INDEX(ACT_COPULA_STUDENT_T(B7:D9, B12, B13, B14), 22, 2)</f>
        <v/>
      </c>
      <c r="D40" s="5">
        <f>INDEX(ACT_COPULA_STUDENT_T(B7:D9, B12, B13, B14), 22, 3)</f>
        <v/>
      </c>
    </row>
    <row r="41">
      <c r="A41" s="5" t="n">
        <v>23</v>
      </c>
      <c r="B41" s="5">
        <f>INDEX(ACT_COPULA_STUDENT_T(B7:D9, B12, B13, B14), 23, 1)</f>
        <v/>
      </c>
      <c r="C41" s="5">
        <f>INDEX(ACT_COPULA_STUDENT_T(B7:D9, B12, B13, B14), 23, 2)</f>
        <v/>
      </c>
      <c r="D41" s="5">
        <f>INDEX(ACT_COPULA_STUDENT_T(B7:D9, B12, B13, B14), 23, 3)</f>
        <v/>
      </c>
    </row>
    <row r="42">
      <c r="A42" s="5" t="n">
        <v>24</v>
      </c>
      <c r="B42" s="5">
        <f>INDEX(ACT_COPULA_STUDENT_T(B7:D9, B12, B13, B14), 24, 1)</f>
        <v/>
      </c>
      <c r="C42" s="5">
        <f>INDEX(ACT_COPULA_STUDENT_T(B7:D9, B12, B13, B14), 24, 2)</f>
        <v/>
      </c>
      <c r="D42" s="5">
        <f>INDEX(ACT_COPULA_STUDENT_T(B7:D9, B12, B13, B14), 24, 3)</f>
        <v/>
      </c>
    </row>
    <row r="43">
      <c r="A43" s="5" t="n">
        <v>25</v>
      </c>
      <c r="B43" s="5">
        <f>INDEX(ACT_COPULA_STUDENT_T(B7:D9, B12, B13, B14), 25, 1)</f>
        <v/>
      </c>
      <c r="C43" s="5">
        <f>INDEX(ACT_COPULA_STUDENT_T(B7:D9, B12, B13, B14), 25, 2)</f>
        <v/>
      </c>
      <c r="D43" s="5">
        <f>INDEX(ACT_COPULA_STUDENT_T(B7:D9, B12, B13, B14), 25, 3)</f>
        <v/>
      </c>
    </row>
    <row r="44">
      <c r="A44" s="5" t="n">
        <v>26</v>
      </c>
      <c r="B44" s="5">
        <f>INDEX(ACT_COPULA_STUDENT_T(B7:D9, B12, B13, B14), 26, 1)</f>
        <v/>
      </c>
      <c r="C44" s="5">
        <f>INDEX(ACT_COPULA_STUDENT_T(B7:D9, B12, B13, B14), 26, 2)</f>
        <v/>
      </c>
      <c r="D44" s="5">
        <f>INDEX(ACT_COPULA_STUDENT_T(B7:D9, B12, B13, B14), 26, 3)</f>
        <v/>
      </c>
    </row>
    <row r="45">
      <c r="A45" s="5" t="n">
        <v>27</v>
      </c>
      <c r="B45" s="5">
        <f>INDEX(ACT_COPULA_STUDENT_T(B7:D9, B12, B13, B14), 27, 1)</f>
        <v/>
      </c>
      <c r="C45" s="5">
        <f>INDEX(ACT_COPULA_STUDENT_T(B7:D9, B12, B13, B14), 27, 2)</f>
        <v/>
      </c>
      <c r="D45" s="5">
        <f>INDEX(ACT_COPULA_STUDENT_T(B7:D9, B12, B13, B14), 27, 3)</f>
        <v/>
      </c>
    </row>
    <row r="46">
      <c r="A46" s="5" t="n">
        <v>28</v>
      </c>
      <c r="B46" s="5">
        <f>INDEX(ACT_COPULA_STUDENT_T(B7:D9, B12, B13, B14), 28, 1)</f>
        <v/>
      </c>
      <c r="C46" s="5">
        <f>INDEX(ACT_COPULA_STUDENT_T(B7:D9, B12, B13, B14), 28, 2)</f>
        <v/>
      </c>
      <c r="D46" s="5">
        <f>INDEX(ACT_COPULA_STUDENT_T(B7:D9, B12, B13, B14), 28, 3)</f>
        <v/>
      </c>
    </row>
    <row r="47">
      <c r="A47" s="5" t="n">
        <v>29</v>
      </c>
      <c r="B47" s="5">
        <f>INDEX(ACT_COPULA_STUDENT_T(B7:D9, B12, B13, B14), 29, 1)</f>
        <v/>
      </c>
      <c r="C47" s="5">
        <f>INDEX(ACT_COPULA_STUDENT_T(B7:D9, B12, B13, B14), 29, 2)</f>
        <v/>
      </c>
      <c r="D47" s="5">
        <f>INDEX(ACT_COPULA_STUDENT_T(B7:D9, B12, B13, B14), 29, 3)</f>
        <v/>
      </c>
    </row>
    <row r="48">
      <c r="A48" s="5" t="n">
        <v>30</v>
      </c>
      <c r="B48" s="5">
        <f>INDEX(ACT_COPULA_STUDENT_T(B7:D9, B12, B13, B14), 30, 1)</f>
        <v/>
      </c>
      <c r="C48" s="5">
        <f>INDEX(ACT_COPULA_STUDENT_T(B7:D9, B12, B13, B14), 30, 2)</f>
        <v/>
      </c>
      <c r="D48" s="5">
        <f>INDEX(ACT_COPULA_STUDENT_T(B7:D9, B12, B13, B14), 30, 3)</f>
        <v/>
      </c>
    </row>
    <row r="49">
      <c r="A49" s="5" t="n">
        <v>31</v>
      </c>
      <c r="B49" s="5">
        <f>INDEX(ACT_COPULA_STUDENT_T(B7:D9, B12, B13, B14), 31, 1)</f>
        <v/>
      </c>
      <c r="C49" s="5">
        <f>INDEX(ACT_COPULA_STUDENT_T(B7:D9, B12, B13, B14), 31, 2)</f>
        <v/>
      </c>
      <c r="D49" s="5">
        <f>INDEX(ACT_COPULA_STUDENT_T(B7:D9, B12, B13, B14), 31, 3)</f>
        <v/>
      </c>
    </row>
    <row r="50">
      <c r="A50" s="5" t="n">
        <v>32</v>
      </c>
      <c r="B50" s="5">
        <f>INDEX(ACT_COPULA_STUDENT_T(B7:D9, B12, B13, B14), 32, 1)</f>
        <v/>
      </c>
      <c r="C50" s="5">
        <f>INDEX(ACT_COPULA_STUDENT_T(B7:D9, B12, B13, B14), 32, 2)</f>
        <v/>
      </c>
      <c r="D50" s="5">
        <f>INDEX(ACT_COPULA_STUDENT_T(B7:D9, B12, B13, B14), 32, 3)</f>
        <v/>
      </c>
    </row>
    <row r="51">
      <c r="A51" s="5" t="n">
        <v>33</v>
      </c>
      <c r="B51" s="5">
        <f>INDEX(ACT_COPULA_STUDENT_T(B7:D9, B12, B13, B14), 33, 1)</f>
        <v/>
      </c>
      <c r="C51" s="5">
        <f>INDEX(ACT_COPULA_STUDENT_T(B7:D9, B12, B13, B14), 33, 2)</f>
        <v/>
      </c>
      <c r="D51" s="5">
        <f>INDEX(ACT_COPULA_STUDENT_T(B7:D9, B12, B13, B14), 33, 3)</f>
        <v/>
      </c>
    </row>
    <row r="52">
      <c r="A52" s="5" t="n">
        <v>34</v>
      </c>
      <c r="B52" s="5">
        <f>INDEX(ACT_COPULA_STUDENT_T(B7:D9, B12, B13, B14), 34, 1)</f>
        <v/>
      </c>
      <c r="C52" s="5">
        <f>INDEX(ACT_COPULA_STUDENT_T(B7:D9, B12, B13, B14), 34, 2)</f>
        <v/>
      </c>
      <c r="D52" s="5">
        <f>INDEX(ACT_COPULA_STUDENT_T(B7:D9, B12, B13, B14), 34, 3)</f>
        <v/>
      </c>
    </row>
    <row r="53">
      <c r="A53" s="5" t="n">
        <v>35</v>
      </c>
      <c r="B53" s="5">
        <f>INDEX(ACT_COPULA_STUDENT_T(B7:D9, B12, B13, B14), 35, 1)</f>
        <v/>
      </c>
      <c r="C53" s="5">
        <f>INDEX(ACT_COPULA_STUDENT_T(B7:D9, B12, B13, B14), 35, 2)</f>
        <v/>
      </c>
      <c r="D53" s="5">
        <f>INDEX(ACT_COPULA_STUDENT_T(B7:D9, B12, B13, B14), 35, 3)</f>
        <v/>
      </c>
    </row>
    <row r="54">
      <c r="A54" s="5" t="n">
        <v>36</v>
      </c>
      <c r="B54" s="5">
        <f>INDEX(ACT_COPULA_STUDENT_T(B7:D9, B12, B13, B14), 36, 1)</f>
        <v/>
      </c>
      <c r="C54" s="5">
        <f>INDEX(ACT_COPULA_STUDENT_T(B7:D9, B12, B13, B14), 36, 2)</f>
        <v/>
      </c>
      <c r="D54" s="5">
        <f>INDEX(ACT_COPULA_STUDENT_T(B7:D9, B12, B13, B14), 36, 3)</f>
        <v/>
      </c>
    </row>
    <row r="55">
      <c r="A55" s="5" t="n">
        <v>37</v>
      </c>
      <c r="B55" s="5">
        <f>INDEX(ACT_COPULA_STUDENT_T(B7:D9, B12, B13, B14), 37, 1)</f>
        <v/>
      </c>
      <c r="C55" s="5">
        <f>INDEX(ACT_COPULA_STUDENT_T(B7:D9, B12, B13, B14), 37, 2)</f>
        <v/>
      </c>
      <c r="D55" s="5">
        <f>INDEX(ACT_COPULA_STUDENT_T(B7:D9, B12, B13, B14), 37, 3)</f>
        <v/>
      </c>
    </row>
    <row r="56">
      <c r="A56" s="5" t="n">
        <v>38</v>
      </c>
      <c r="B56" s="5">
        <f>INDEX(ACT_COPULA_STUDENT_T(B7:D9, B12, B13, B14), 38, 1)</f>
        <v/>
      </c>
      <c r="C56" s="5">
        <f>INDEX(ACT_COPULA_STUDENT_T(B7:D9, B12, B13, B14), 38, 2)</f>
        <v/>
      </c>
      <c r="D56" s="5">
        <f>INDEX(ACT_COPULA_STUDENT_T(B7:D9, B12, B13, B14), 38, 3)</f>
        <v/>
      </c>
    </row>
    <row r="57">
      <c r="A57" s="5" t="n">
        <v>39</v>
      </c>
      <c r="B57" s="5">
        <f>INDEX(ACT_COPULA_STUDENT_T(B7:D9, B12, B13, B14), 39, 1)</f>
        <v/>
      </c>
      <c r="C57" s="5">
        <f>INDEX(ACT_COPULA_STUDENT_T(B7:D9, B12, B13, B14), 39, 2)</f>
        <v/>
      </c>
      <c r="D57" s="5">
        <f>INDEX(ACT_COPULA_STUDENT_T(B7:D9, B12, B13, B14), 39, 3)</f>
        <v/>
      </c>
    </row>
    <row r="58">
      <c r="A58" s="5" t="n">
        <v>40</v>
      </c>
      <c r="B58" s="5">
        <f>INDEX(ACT_COPULA_STUDENT_T(B7:D9, B12, B13, B14), 40, 1)</f>
        <v/>
      </c>
      <c r="C58" s="5">
        <f>INDEX(ACT_COPULA_STUDENT_T(B7:D9, B12, B13, B14), 40, 2)</f>
        <v/>
      </c>
      <c r="D58" s="5">
        <f>INDEX(ACT_COPULA_STUDENT_T(B7:D9, B12, B13, B14), 40, 3)</f>
        <v/>
      </c>
    </row>
    <row r="59">
      <c r="A59" s="5" t="n">
        <v>41</v>
      </c>
      <c r="B59" s="5">
        <f>INDEX(ACT_COPULA_STUDENT_T(B7:D9, B12, B13, B14), 41, 1)</f>
        <v/>
      </c>
      <c r="C59" s="5">
        <f>INDEX(ACT_COPULA_STUDENT_T(B7:D9, B12, B13, B14), 41, 2)</f>
        <v/>
      </c>
      <c r="D59" s="5">
        <f>INDEX(ACT_COPULA_STUDENT_T(B7:D9, B12, B13, B14), 41, 3)</f>
        <v/>
      </c>
    </row>
    <row r="60">
      <c r="A60" s="5" t="n">
        <v>42</v>
      </c>
      <c r="B60" s="5">
        <f>INDEX(ACT_COPULA_STUDENT_T(B7:D9, B12, B13, B14), 42, 1)</f>
        <v/>
      </c>
      <c r="C60" s="5">
        <f>INDEX(ACT_COPULA_STUDENT_T(B7:D9, B12, B13, B14), 42, 2)</f>
        <v/>
      </c>
      <c r="D60" s="5">
        <f>INDEX(ACT_COPULA_STUDENT_T(B7:D9, B12, B13, B14), 42, 3)</f>
        <v/>
      </c>
    </row>
    <row r="61">
      <c r="A61" s="5" t="n">
        <v>43</v>
      </c>
      <c r="B61" s="5">
        <f>INDEX(ACT_COPULA_STUDENT_T(B7:D9, B12, B13, B14), 43, 1)</f>
        <v/>
      </c>
      <c r="C61" s="5">
        <f>INDEX(ACT_COPULA_STUDENT_T(B7:D9, B12, B13, B14), 43, 2)</f>
        <v/>
      </c>
      <c r="D61" s="5">
        <f>INDEX(ACT_COPULA_STUDENT_T(B7:D9, B12, B13, B14), 43, 3)</f>
        <v/>
      </c>
    </row>
    <row r="62">
      <c r="A62" s="5" t="n">
        <v>44</v>
      </c>
      <c r="B62" s="5">
        <f>INDEX(ACT_COPULA_STUDENT_T(B7:D9, B12, B13, B14), 44, 1)</f>
        <v/>
      </c>
      <c r="C62" s="5">
        <f>INDEX(ACT_COPULA_STUDENT_T(B7:D9, B12, B13, B14), 44, 2)</f>
        <v/>
      </c>
      <c r="D62" s="5">
        <f>INDEX(ACT_COPULA_STUDENT_T(B7:D9, B12, B13, B14), 44, 3)</f>
        <v/>
      </c>
    </row>
    <row r="63">
      <c r="A63" s="5" t="n">
        <v>45</v>
      </c>
      <c r="B63" s="5">
        <f>INDEX(ACT_COPULA_STUDENT_T(B7:D9, B12, B13, B14), 45, 1)</f>
        <v/>
      </c>
      <c r="C63" s="5">
        <f>INDEX(ACT_COPULA_STUDENT_T(B7:D9, B12, B13, B14), 45, 2)</f>
        <v/>
      </c>
      <c r="D63" s="5">
        <f>INDEX(ACT_COPULA_STUDENT_T(B7:D9, B12, B13, B14), 45, 3)</f>
        <v/>
      </c>
    </row>
    <row r="64">
      <c r="A64" s="5" t="n">
        <v>46</v>
      </c>
      <c r="B64" s="5">
        <f>INDEX(ACT_COPULA_STUDENT_T(B7:D9, B12, B13, B14), 46, 1)</f>
        <v/>
      </c>
      <c r="C64" s="5">
        <f>INDEX(ACT_COPULA_STUDENT_T(B7:D9, B12, B13, B14), 46, 2)</f>
        <v/>
      </c>
      <c r="D64" s="5">
        <f>INDEX(ACT_COPULA_STUDENT_T(B7:D9, B12, B13, B14), 46, 3)</f>
        <v/>
      </c>
    </row>
    <row r="65">
      <c r="A65" s="5" t="n">
        <v>47</v>
      </c>
      <c r="B65" s="5">
        <f>INDEX(ACT_COPULA_STUDENT_T(B7:D9, B12, B13, B14), 47, 1)</f>
        <v/>
      </c>
      <c r="C65" s="5">
        <f>INDEX(ACT_COPULA_STUDENT_T(B7:D9, B12, B13, B14), 47, 2)</f>
        <v/>
      </c>
      <c r="D65" s="5">
        <f>INDEX(ACT_COPULA_STUDENT_T(B7:D9, B12, B13, B14), 47, 3)</f>
        <v/>
      </c>
    </row>
    <row r="66">
      <c r="A66" s="5" t="n">
        <v>48</v>
      </c>
      <c r="B66" s="5">
        <f>INDEX(ACT_COPULA_STUDENT_T(B7:D9, B12, B13, B14), 48, 1)</f>
        <v/>
      </c>
      <c r="C66" s="5">
        <f>INDEX(ACT_COPULA_STUDENT_T(B7:D9, B12, B13, B14), 48, 2)</f>
        <v/>
      </c>
      <c r="D66" s="5">
        <f>INDEX(ACT_COPULA_STUDENT_T(B7:D9, B12, B13, B14), 48, 3)</f>
        <v/>
      </c>
    </row>
    <row r="67">
      <c r="A67" s="5" t="n">
        <v>49</v>
      </c>
      <c r="B67" s="5">
        <f>INDEX(ACT_COPULA_STUDENT_T(B7:D9, B12, B13, B14), 49, 1)</f>
        <v/>
      </c>
      <c r="C67" s="5">
        <f>INDEX(ACT_COPULA_STUDENT_T(B7:D9, B12, B13, B14), 49, 2)</f>
        <v/>
      </c>
      <c r="D67" s="5">
        <f>INDEX(ACT_COPULA_STUDENT_T(B7:D9, B12, B13, B14), 49, 3)</f>
        <v/>
      </c>
    </row>
    <row r="68">
      <c r="A68" s="5" t="n">
        <v>50</v>
      </c>
      <c r="B68" s="5">
        <f>INDEX(ACT_COPULA_STUDENT_T(B7:D9, B12, B13, B14), 50, 1)</f>
        <v/>
      </c>
      <c r="C68" s="5">
        <f>INDEX(ACT_COPULA_STUDENT_T(B7:D9, B12, B13, B14), 50, 2)</f>
        <v/>
      </c>
      <c r="D68" s="5">
        <f>INDEX(ACT_COPULA_STUDENT_T(B7:D9, B12, B13, B14), 50, 3)</f>
        <v/>
      </c>
    </row>
    <row r="69">
      <c r="A69" s="5" t="n">
        <v>51</v>
      </c>
      <c r="B69" s="5">
        <f>INDEX(ACT_COPULA_STUDENT_T(B7:D9, B12, B13, B14), 51, 1)</f>
        <v/>
      </c>
      <c r="C69" s="5">
        <f>INDEX(ACT_COPULA_STUDENT_T(B7:D9, B12, B13, B14), 51, 2)</f>
        <v/>
      </c>
      <c r="D69" s="5">
        <f>INDEX(ACT_COPULA_STUDENT_T(B7:D9, B12, B13, B14), 51, 3)</f>
        <v/>
      </c>
    </row>
    <row r="70">
      <c r="A70" s="5" t="n">
        <v>52</v>
      </c>
      <c r="B70" s="5">
        <f>INDEX(ACT_COPULA_STUDENT_T(B7:D9, B12, B13, B14), 52, 1)</f>
        <v/>
      </c>
      <c r="C70" s="5">
        <f>INDEX(ACT_COPULA_STUDENT_T(B7:D9, B12, B13, B14), 52, 2)</f>
        <v/>
      </c>
      <c r="D70" s="5">
        <f>INDEX(ACT_COPULA_STUDENT_T(B7:D9, B12, B13, B14), 52, 3)</f>
        <v/>
      </c>
    </row>
    <row r="71">
      <c r="A71" s="5" t="n">
        <v>53</v>
      </c>
      <c r="B71" s="5">
        <f>INDEX(ACT_COPULA_STUDENT_T(B7:D9, B12, B13, B14), 53, 1)</f>
        <v/>
      </c>
      <c r="C71" s="5">
        <f>INDEX(ACT_COPULA_STUDENT_T(B7:D9, B12, B13, B14), 53, 2)</f>
        <v/>
      </c>
      <c r="D71" s="5">
        <f>INDEX(ACT_COPULA_STUDENT_T(B7:D9, B12, B13, B14), 53, 3)</f>
        <v/>
      </c>
    </row>
    <row r="72">
      <c r="A72" s="5" t="n">
        <v>54</v>
      </c>
      <c r="B72" s="5">
        <f>INDEX(ACT_COPULA_STUDENT_T(B7:D9, B12, B13, B14), 54, 1)</f>
        <v/>
      </c>
      <c r="C72" s="5">
        <f>INDEX(ACT_COPULA_STUDENT_T(B7:D9, B12, B13, B14), 54, 2)</f>
        <v/>
      </c>
      <c r="D72" s="5">
        <f>INDEX(ACT_COPULA_STUDENT_T(B7:D9, B12, B13, B14), 54, 3)</f>
        <v/>
      </c>
    </row>
    <row r="73">
      <c r="A73" s="5" t="n">
        <v>55</v>
      </c>
      <c r="B73" s="5">
        <f>INDEX(ACT_COPULA_STUDENT_T(B7:D9, B12, B13, B14), 55, 1)</f>
        <v/>
      </c>
      <c r="C73" s="5">
        <f>INDEX(ACT_COPULA_STUDENT_T(B7:D9, B12, B13, B14), 55, 2)</f>
        <v/>
      </c>
      <c r="D73" s="5">
        <f>INDEX(ACT_COPULA_STUDENT_T(B7:D9, B12, B13, B14), 55, 3)</f>
        <v/>
      </c>
    </row>
    <row r="74">
      <c r="A74" s="5" t="n">
        <v>56</v>
      </c>
      <c r="B74" s="5">
        <f>INDEX(ACT_COPULA_STUDENT_T(B7:D9, B12, B13, B14), 56, 1)</f>
        <v/>
      </c>
      <c r="C74" s="5">
        <f>INDEX(ACT_COPULA_STUDENT_T(B7:D9, B12, B13, B14), 56, 2)</f>
        <v/>
      </c>
      <c r="D74" s="5">
        <f>INDEX(ACT_COPULA_STUDENT_T(B7:D9, B12, B13, B14), 56, 3)</f>
        <v/>
      </c>
    </row>
    <row r="75">
      <c r="A75" s="5" t="n">
        <v>57</v>
      </c>
      <c r="B75" s="5">
        <f>INDEX(ACT_COPULA_STUDENT_T(B7:D9, B12, B13, B14), 57, 1)</f>
        <v/>
      </c>
      <c r="C75" s="5">
        <f>INDEX(ACT_COPULA_STUDENT_T(B7:D9, B12, B13, B14), 57, 2)</f>
        <v/>
      </c>
      <c r="D75" s="5">
        <f>INDEX(ACT_COPULA_STUDENT_T(B7:D9, B12, B13, B14), 57, 3)</f>
        <v/>
      </c>
    </row>
    <row r="76">
      <c r="A76" s="5" t="n">
        <v>58</v>
      </c>
      <c r="B76" s="5">
        <f>INDEX(ACT_COPULA_STUDENT_T(B7:D9, B12, B13, B14), 58, 1)</f>
        <v/>
      </c>
      <c r="C76" s="5">
        <f>INDEX(ACT_COPULA_STUDENT_T(B7:D9, B12, B13, B14), 58, 2)</f>
        <v/>
      </c>
      <c r="D76" s="5">
        <f>INDEX(ACT_COPULA_STUDENT_T(B7:D9, B12, B13, B14), 58, 3)</f>
        <v/>
      </c>
    </row>
    <row r="77">
      <c r="A77" s="5" t="n">
        <v>59</v>
      </c>
      <c r="B77" s="5">
        <f>INDEX(ACT_COPULA_STUDENT_T(B7:D9, B12, B13, B14), 59, 1)</f>
        <v/>
      </c>
      <c r="C77" s="5">
        <f>INDEX(ACT_COPULA_STUDENT_T(B7:D9, B12, B13, B14), 59, 2)</f>
        <v/>
      </c>
      <c r="D77" s="5">
        <f>INDEX(ACT_COPULA_STUDENT_T(B7:D9, B12, B13, B14), 59, 3)</f>
        <v/>
      </c>
    </row>
    <row r="78">
      <c r="A78" s="5" t="n">
        <v>60</v>
      </c>
      <c r="B78" s="5">
        <f>INDEX(ACT_COPULA_STUDENT_T(B7:D9, B12, B13, B14), 60, 1)</f>
        <v/>
      </c>
      <c r="C78" s="5">
        <f>INDEX(ACT_COPULA_STUDENT_T(B7:D9, B12, B13, B14), 60, 2)</f>
        <v/>
      </c>
      <c r="D78" s="5">
        <f>INDEX(ACT_COPULA_STUDENT_T(B7:D9, B12, B13, B14), 60, 3)</f>
        <v/>
      </c>
    </row>
    <row r="79">
      <c r="A79" s="5" t="n">
        <v>61</v>
      </c>
      <c r="B79" s="5">
        <f>INDEX(ACT_COPULA_STUDENT_T(B7:D9, B12, B13, B14), 61, 1)</f>
        <v/>
      </c>
      <c r="C79" s="5">
        <f>INDEX(ACT_COPULA_STUDENT_T(B7:D9, B12, B13, B14), 61, 2)</f>
        <v/>
      </c>
      <c r="D79" s="5">
        <f>INDEX(ACT_COPULA_STUDENT_T(B7:D9, B12, B13, B14), 61, 3)</f>
        <v/>
      </c>
    </row>
    <row r="80">
      <c r="A80" s="5" t="n">
        <v>62</v>
      </c>
      <c r="B80" s="5">
        <f>INDEX(ACT_COPULA_STUDENT_T(B7:D9, B12, B13, B14), 62, 1)</f>
        <v/>
      </c>
      <c r="C80" s="5">
        <f>INDEX(ACT_COPULA_STUDENT_T(B7:D9, B12, B13, B14), 62, 2)</f>
        <v/>
      </c>
      <c r="D80" s="5">
        <f>INDEX(ACT_COPULA_STUDENT_T(B7:D9, B12, B13, B14), 62, 3)</f>
        <v/>
      </c>
    </row>
    <row r="81">
      <c r="A81" s="5" t="n">
        <v>63</v>
      </c>
      <c r="B81" s="5">
        <f>INDEX(ACT_COPULA_STUDENT_T(B7:D9, B12, B13, B14), 63, 1)</f>
        <v/>
      </c>
      <c r="C81" s="5">
        <f>INDEX(ACT_COPULA_STUDENT_T(B7:D9, B12, B13, B14), 63, 2)</f>
        <v/>
      </c>
      <c r="D81" s="5">
        <f>INDEX(ACT_COPULA_STUDENT_T(B7:D9, B12, B13, B14), 63, 3)</f>
        <v/>
      </c>
    </row>
    <row r="82">
      <c r="A82" s="5" t="n">
        <v>64</v>
      </c>
      <c r="B82" s="5">
        <f>INDEX(ACT_COPULA_STUDENT_T(B7:D9, B12, B13, B14), 64, 1)</f>
        <v/>
      </c>
      <c r="C82" s="5">
        <f>INDEX(ACT_COPULA_STUDENT_T(B7:D9, B12, B13, B14), 64, 2)</f>
        <v/>
      </c>
      <c r="D82" s="5">
        <f>INDEX(ACT_COPULA_STUDENT_T(B7:D9, B12, B13, B14), 64, 3)</f>
        <v/>
      </c>
    </row>
    <row r="83">
      <c r="A83" s="5" t="n">
        <v>65</v>
      </c>
      <c r="B83" s="5">
        <f>INDEX(ACT_COPULA_STUDENT_T(B7:D9, B12, B13, B14), 65, 1)</f>
        <v/>
      </c>
      <c r="C83" s="5">
        <f>INDEX(ACT_COPULA_STUDENT_T(B7:D9, B12, B13, B14), 65, 2)</f>
        <v/>
      </c>
      <c r="D83" s="5">
        <f>INDEX(ACT_COPULA_STUDENT_T(B7:D9, B12, B13, B14), 65, 3)</f>
        <v/>
      </c>
    </row>
    <row r="84">
      <c r="A84" s="5" t="n">
        <v>66</v>
      </c>
      <c r="B84" s="5">
        <f>INDEX(ACT_COPULA_STUDENT_T(B7:D9, B12, B13, B14), 66, 1)</f>
        <v/>
      </c>
      <c r="C84" s="5">
        <f>INDEX(ACT_COPULA_STUDENT_T(B7:D9, B12, B13, B14), 66, 2)</f>
        <v/>
      </c>
      <c r="D84" s="5">
        <f>INDEX(ACT_COPULA_STUDENT_T(B7:D9, B12, B13, B14), 66, 3)</f>
        <v/>
      </c>
    </row>
    <row r="85">
      <c r="A85" s="5" t="n">
        <v>67</v>
      </c>
      <c r="B85" s="5">
        <f>INDEX(ACT_COPULA_STUDENT_T(B7:D9, B12, B13, B14), 67, 1)</f>
        <v/>
      </c>
      <c r="C85" s="5">
        <f>INDEX(ACT_COPULA_STUDENT_T(B7:D9, B12, B13, B14), 67, 2)</f>
        <v/>
      </c>
      <c r="D85" s="5">
        <f>INDEX(ACT_COPULA_STUDENT_T(B7:D9, B12, B13, B14), 67, 3)</f>
        <v/>
      </c>
    </row>
    <row r="86">
      <c r="A86" s="5" t="n">
        <v>68</v>
      </c>
      <c r="B86" s="5">
        <f>INDEX(ACT_COPULA_STUDENT_T(B7:D9, B12, B13, B14), 68, 1)</f>
        <v/>
      </c>
      <c r="C86" s="5">
        <f>INDEX(ACT_COPULA_STUDENT_T(B7:D9, B12, B13, B14), 68, 2)</f>
        <v/>
      </c>
      <c r="D86" s="5">
        <f>INDEX(ACT_COPULA_STUDENT_T(B7:D9, B12, B13, B14), 68, 3)</f>
        <v/>
      </c>
    </row>
    <row r="87">
      <c r="A87" s="5" t="n">
        <v>69</v>
      </c>
      <c r="B87" s="5">
        <f>INDEX(ACT_COPULA_STUDENT_T(B7:D9, B12, B13, B14), 69, 1)</f>
        <v/>
      </c>
      <c r="C87" s="5">
        <f>INDEX(ACT_COPULA_STUDENT_T(B7:D9, B12, B13, B14), 69, 2)</f>
        <v/>
      </c>
      <c r="D87" s="5">
        <f>INDEX(ACT_COPULA_STUDENT_T(B7:D9, B12, B13, B14), 69, 3)</f>
        <v/>
      </c>
    </row>
    <row r="88">
      <c r="A88" s="5" t="n">
        <v>70</v>
      </c>
      <c r="B88" s="5">
        <f>INDEX(ACT_COPULA_STUDENT_T(B7:D9, B12, B13, B14), 70, 1)</f>
        <v/>
      </c>
      <c r="C88" s="5">
        <f>INDEX(ACT_COPULA_STUDENT_T(B7:D9, B12, B13, B14), 70, 2)</f>
        <v/>
      </c>
      <c r="D88" s="5">
        <f>INDEX(ACT_COPULA_STUDENT_T(B7:D9, B12, B13, B14), 70, 3)</f>
        <v/>
      </c>
    </row>
    <row r="89">
      <c r="A89" s="5" t="n">
        <v>71</v>
      </c>
      <c r="B89" s="5">
        <f>INDEX(ACT_COPULA_STUDENT_T(B7:D9, B12, B13, B14), 71, 1)</f>
        <v/>
      </c>
      <c r="C89" s="5">
        <f>INDEX(ACT_COPULA_STUDENT_T(B7:D9, B12, B13, B14), 71, 2)</f>
        <v/>
      </c>
      <c r="D89" s="5">
        <f>INDEX(ACT_COPULA_STUDENT_T(B7:D9, B12, B13, B14), 71, 3)</f>
        <v/>
      </c>
    </row>
    <row r="90">
      <c r="A90" s="5" t="n">
        <v>72</v>
      </c>
      <c r="B90" s="5">
        <f>INDEX(ACT_COPULA_STUDENT_T(B7:D9, B12, B13, B14), 72, 1)</f>
        <v/>
      </c>
      <c r="C90" s="5">
        <f>INDEX(ACT_COPULA_STUDENT_T(B7:D9, B12, B13, B14), 72, 2)</f>
        <v/>
      </c>
      <c r="D90" s="5">
        <f>INDEX(ACT_COPULA_STUDENT_T(B7:D9, B12, B13, B14), 72, 3)</f>
        <v/>
      </c>
    </row>
    <row r="91">
      <c r="A91" s="5" t="n">
        <v>73</v>
      </c>
      <c r="B91" s="5">
        <f>INDEX(ACT_COPULA_STUDENT_T(B7:D9, B12, B13, B14), 73, 1)</f>
        <v/>
      </c>
      <c r="C91" s="5">
        <f>INDEX(ACT_COPULA_STUDENT_T(B7:D9, B12, B13, B14), 73, 2)</f>
        <v/>
      </c>
      <c r="D91" s="5">
        <f>INDEX(ACT_COPULA_STUDENT_T(B7:D9, B12, B13, B14), 73, 3)</f>
        <v/>
      </c>
    </row>
    <row r="92">
      <c r="A92" s="5" t="n">
        <v>74</v>
      </c>
      <c r="B92" s="5">
        <f>INDEX(ACT_COPULA_STUDENT_T(B7:D9, B12, B13, B14), 74, 1)</f>
        <v/>
      </c>
      <c r="C92" s="5">
        <f>INDEX(ACT_COPULA_STUDENT_T(B7:D9, B12, B13, B14), 74, 2)</f>
        <v/>
      </c>
      <c r="D92" s="5">
        <f>INDEX(ACT_COPULA_STUDENT_T(B7:D9, B12, B13, B14), 74, 3)</f>
        <v/>
      </c>
    </row>
    <row r="93">
      <c r="A93" s="5" t="n">
        <v>75</v>
      </c>
      <c r="B93" s="5">
        <f>INDEX(ACT_COPULA_STUDENT_T(B7:D9, B12, B13, B14), 75, 1)</f>
        <v/>
      </c>
      <c r="C93" s="5">
        <f>INDEX(ACT_COPULA_STUDENT_T(B7:D9, B12, B13, B14), 75, 2)</f>
        <v/>
      </c>
      <c r="D93" s="5">
        <f>INDEX(ACT_COPULA_STUDENT_T(B7:D9, B12, B13, B14), 75, 3)</f>
        <v/>
      </c>
    </row>
    <row r="94">
      <c r="A94" s="5" t="n">
        <v>76</v>
      </c>
      <c r="B94" s="5">
        <f>INDEX(ACT_COPULA_STUDENT_T(B7:D9, B12, B13, B14), 76, 1)</f>
        <v/>
      </c>
      <c r="C94" s="5">
        <f>INDEX(ACT_COPULA_STUDENT_T(B7:D9, B12, B13, B14), 76, 2)</f>
        <v/>
      </c>
      <c r="D94" s="5">
        <f>INDEX(ACT_COPULA_STUDENT_T(B7:D9, B12, B13, B14), 76, 3)</f>
        <v/>
      </c>
    </row>
    <row r="95">
      <c r="A95" s="5" t="n">
        <v>77</v>
      </c>
      <c r="B95" s="5">
        <f>INDEX(ACT_COPULA_STUDENT_T(B7:D9, B12, B13, B14), 77, 1)</f>
        <v/>
      </c>
      <c r="C95" s="5">
        <f>INDEX(ACT_COPULA_STUDENT_T(B7:D9, B12, B13, B14), 77, 2)</f>
        <v/>
      </c>
      <c r="D95" s="5">
        <f>INDEX(ACT_COPULA_STUDENT_T(B7:D9, B12, B13, B14), 77, 3)</f>
        <v/>
      </c>
    </row>
    <row r="96">
      <c r="A96" s="5" t="n">
        <v>78</v>
      </c>
      <c r="B96" s="5">
        <f>INDEX(ACT_COPULA_STUDENT_T(B7:D9, B12, B13, B14), 78, 1)</f>
        <v/>
      </c>
      <c r="C96" s="5">
        <f>INDEX(ACT_COPULA_STUDENT_T(B7:D9, B12, B13, B14), 78, 2)</f>
        <v/>
      </c>
      <c r="D96" s="5">
        <f>INDEX(ACT_COPULA_STUDENT_T(B7:D9, B12, B13, B14), 78, 3)</f>
        <v/>
      </c>
    </row>
    <row r="97">
      <c r="A97" s="5" t="n">
        <v>79</v>
      </c>
      <c r="B97" s="5">
        <f>INDEX(ACT_COPULA_STUDENT_T(B7:D9, B12, B13, B14), 79, 1)</f>
        <v/>
      </c>
      <c r="C97" s="5">
        <f>INDEX(ACT_COPULA_STUDENT_T(B7:D9, B12, B13, B14), 79, 2)</f>
        <v/>
      </c>
      <c r="D97" s="5">
        <f>INDEX(ACT_COPULA_STUDENT_T(B7:D9, B12, B13, B14), 79, 3)</f>
        <v/>
      </c>
    </row>
    <row r="98">
      <c r="A98" s="5" t="n">
        <v>80</v>
      </c>
      <c r="B98" s="5">
        <f>INDEX(ACT_COPULA_STUDENT_T(B7:D9, B12, B13, B14), 80, 1)</f>
        <v/>
      </c>
      <c r="C98" s="5">
        <f>INDEX(ACT_COPULA_STUDENT_T(B7:D9, B12, B13, B14), 80, 2)</f>
        <v/>
      </c>
      <c r="D98" s="5">
        <f>INDEX(ACT_COPULA_STUDENT_T(B7:D9, B12, B13, B14), 80, 3)</f>
        <v/>
      </c>
    </row>
    <row r="99">
      <c r="A99" s="5" t="n">
        <v>81</v>
      </c>
      <c r="B99" s="5">
        <f>INDEX(ACT_COPULA_STUDENT_T(B7:D9, B12, B13, B14), 81, 1)</f>
        <v/>
      </c>
      <c r="C99" s="5">
        <f>INDEX(ACT_COPULA_STUDENT_T(B7:D9, B12, B13, B14), 81, 2)</f>
        <v/>
      </c>
      <c r="D99" s="5">
        <f>INDEX(ACT_COPULA_STUDENT_T(B7:D9, B12, B13, B14), 81, 3)</f>
        <v/>
      </c>
    </row>
    <row r="100">
      <c r="A100" s="5" t="n">
        <v>82</v>
      </c>
      <c r="B100" s="5">
        <f>INDEX(ACT_COPULA_STUDENT_T(B7:D9, B12, B13, B14), 82, 1)</f>
        <v/>
      </c>
      <c r="C100" s="5">
        <f>INDEX(ACT_COPULA_STUDENT_T(B7:D9, B12, B13, B14), 82, 2)</f>
        <v/>
      </c>
      <c r="D100" s="5">
        <f>INDEX(ACT_COPULA_STUDENT_T(B7:D9, B12, B13, B14), 82, 3)</f>
        <v/>
      </c>
    </row>
    <row r="101">
      <c r="A101" s="5" t="n">
        <v>83</v>
      </c>
      <c r="B101" s="5">
        <f>INDEX(ACT_COPULA_STUDENT_T(B7:D9, B12, B13, B14), 83, 1)</f>
        <v/>
      </c>
      <c r="C101" s="5">
        <f>INDEX(ACT_COPULA_STUDENT_T(B7:D9, B12, B13, B14), 83, 2)</f>
        <v/>
      </c>
      <c r="D101" s="5">
        <f>INDEX(ACT_COPULA_STUDENT_T(B7:D9, B12, B13, B14), 83, 3)</f>
        <v/>
      </c>
    </row>
    <row r="102">
      <c r="A102" s="5" t="n">
        <v>84</v>
      </c>
      <c r="B102" s="5">
        <f>INDEX(ACT_COPULA_STUDENT_T(B7:D9, B12, B13, B14), 84, 1)</f>
        <v/>
      </c>
      <c r="C102" s="5">
        <f>INDEX(ACT_COPULA_STUDENT_T(B7:D9, B12, B13, B14), 84, 2)</f>
        <v/>
      </c>
      <c r="D102" s="5">
        <f>INDEX(ACT_COPULA_STUDENT_T(B7:D9, B12, B13, B14), 84, 3)</f>
        <v/>
      </c>
    </row>
    <row r="103">
      <c r="A103" s="5" t="n">
        <v>85</v>
      </c>
      <c r="B103" s="5">
        <f>INDEX(ACT_COPULA_STUDENT_T(B7:D9, B12, B13, B14), 85, 1)</f>
        <v/>
      </c>
      <c r="C103" s="5">
        <f>INDEX(ACT_COPULA_STUDENT_T(B7:D9, B12, B13, B14), 85, 2)</f>
        <v/>
      </c>
      <c r="D103" s="5">
        <f>INDEX(ACT_COPULA_STUDENT_T(B7:D9, B12, B13, B14), 85, 3)</f>
        <v/>
      </c>
    </row>
    <row r="104">
      <c r="A104" s="5" t="n">
        <v>86</v>
      </c>
      <c r="B104" s="5">
        <f>INDEX(ACT_COPULA_STUDENT_T(B7:D9, B12, B13, B14), 86, 1)</f>
        <v/>
      </c>
      <c r="C104" s="5">
        <f>INDEX(ACT_COPULA_STUDENT_T(B7:D9, B12, B13, B14), 86, 2)</f>
        <v/>
      </c>
      <c r="D104" s="5">
        <f>INDEX(ACT_COPULA_STUDENT_T(B7:D9, B12, B13, B14), 86, 3)</f>
        <v/>
      </c>
    </row>
    <row r="105">
      <c r="A105" s="5" t="n">
        <v>87</v>
      </c>
      <c r="B105" s="5">
        <f>INDEX(ACT_COPULA_STUDENT_T(B7:D9, B12, B13, B14), 87, 1)</f>
        <v/>
      </c>
      <c r="C105" s="5">
        <f>INDEX(ACT_COPULA_STUDENT_T(B7:D9, B12, B13, B14), 87, 2)</f>
        <v/>
      </c>
      <c r="D105" s="5">
        <f>INDEX(ACT_COPULA_STUDENT_T(B7:D9, B12, B13, B14), 87, 3)</f>
        <v/>
      </c>
    </row>
    <row r="106">
      <c r="A106" s="5" t="n">
        <v>88</v>
      </c>
      <c r="B106" s="5">
        <f>INDEX(ACT_COPULA_STUDENT_T(B7:D9, B12, B13, B14), 88, 1)</f>
        <v/>
      </c>
      <c r="C106" s="5">
        <f>INDEX(ACT_COPULA_STUDENT_T(B7:D9, B12, B13, B14), 88, 2)</f>
        <v/>
      </c>
      <c r="D106" s="5">
        <f>INDEX(ACT_COPULA_STUDENT_T(B7:D9, B12, B13, B14), 88, 3)</f>
        <v/>
      </c>
    </row>
    <row r="107">
      <c r="A107" s="5" t="n">
        <v>89</v>
      </c>
      <c r="B107" s="5">
        <f>INDEX(ACT_COPULA_STUDENT_T(B7:D9, B12, B13, B14), 89, 1)</f>
        <v/>
      </c>
      <c r="C107" s="5">
        <f>INDEX(ACT_COPULA_STUDENT_T(B7:D9, B12, B13, B14), 89, 2)</f>
        <v/>
      </c>
      <c r="D107" s="5">
        <f>INDEX(ACT_COPULA_STUDENT_T(B7:D9, B12, B13, B14), 89, 3)</f>
        <v/>
      </c>
    </row>
    <row r="108">
      <c r="A108" s="5" t="n">
        <v>90</v>
      </c>
      <c r="B108" s="5">
        <f>INDEX(ACT_COPULA_STUDENT_T(B7:D9, B12, B13, B14), 90, 1)</f>
        <v/>
      </c>
      <c r="C108" s="5">
        <f>INDEX(ACT_COPULA_STUDENT_T(B7:D9, B12, B13, B14), 90, 2)</f>
        <v/>
      </c>
      <c r="D108" s="5">
        <f>INDEX(ACT_COPULA_STUDENT_T(B7:D9, B12, B13, B14), 90, 3)</f>
        <v/>
      </c>
    </row>
    <row r="109">
      <c r="A109" s="5" t="n">
        <v>91</v>
      </c>
      <c r="B109" s="5">
        <f>INDEX(ACT_COPULA_STUDENT_T(B7:D9, B12, B13, B14), 91, 1)</f>
        <v/>
      </c>
      <c r="C109" s="5">
        <f>INDEX(ACT_COPULA_STUDENT_T(B7:D9, B12, B13, B14), 91, 2)</f>
        <v/>
      </c>
      <c r="D109" s="5">
        <f>INDEX(ACT_COPULA_STUDENT_T(B7:D9, B12, B13, B14), 91, 3)</f>
        <v/>
      </c>
    </row>
    <row r="110">
      <c r="A110" s="5" t="n">
        <v>92</v>
      </c>
      <c r="B110" s="5">
        <f>INDEX(ACT_COPULA_STUDENT_T(B7:D9, B12, B13, B14), 92, 1)</f>
        <v/>
      </c>
      <c r="C110" s="5">
        <f>INDEX(ACT_COPULA_STUDENT_T(B7:D9, B12, B13, B14), 92, 2)</f>
        <v/>
      </c>
      <c r="D110" s="5">
        <f>INDEX(ACT_COPULA_STUDENT_T(B7:D9, B12, B13, B14), 92, 3)</f>
        <v/>
      </c>
    </row>
    <row r="111">
      <c r="A111" s="5" t="n">
        <v>93</v>
      </c>
      <c r="B111" s="5">
        <f>INDEX(ACT_COPULA_STUDENT_T(B7:D9, B12, B13, B14), 93, 1)</f>
        <v/>
      </c>
      <c r="C111" s="5">
        <f>INDEX(ACT_COPULA_STUDENT_T(B7:D9, B12, B13, B14), 93, 2)</f>
        <v/>
      </c>
      <c r="D111" s="5">
        <f>INDEX(ACT_COPULA_STUDENT_T(B7:D9, B12, B13, B14), 93, 3)</f>
        <v/>
      </c>
    </row>
    <row r="112">
      <c r="A112" s="5" t="n">
        <v>94</v>
      </c>
      <c r="B112" s="5">
        <f>INDEX(ACT_COPULA_STUDENT_T(B7:D9, B12, B13, B14), 94, 1)</f>
        <v/>
      </c>
      <c r="C112" s="5">
        <f>INDEX(ACT_COPULA_STUDENT_T(B7:D9, B12, B13, B14), 94, 2)</f>
        <v/>
      </c>
      <c r="D112" s="5">
        <f>INDEX(ACT_COPULA_STUDENT_T(B7:D9, B12, B13, B14), 94, 3)</f>
        <v/>
      </c>
    </row>
    <row r="113">
      <c r="A113" s="5" t="n">
        <v>95</v>
      </c>
      <c r="B113" s="5">
        <f>INDEX(ACT_COPULA_STUDENT_T(B7:D9, B12, B13, B14), 95, 1)</f>
        <v/>
      </c>
      <c r="C113" s="5">
        <f>INDEX(ACT_COPULA_STUDENT_T(B7:D9, B12, B13, B14), 95, 2)</f>
        <v/>
      </c>
      <c r="D113" s="5">
        <f>INDEX(ACT_COPULA_STUDENT_T(B7:D9, B12, B13, B14), 95, 3)</f>
        <v/>
      </c>
    </row>
    <row r="114">
      <c r="A114" s="5" t="n">
        <v>96</v>
      </c>
      <c r="B114" s="5">
        <f>INDEX(ACT_COPULA_STUDENT_T(B7:D9, B12, B13, B14), 96, 1)</f>
        <v/>
      </c>
      <c r="C114" s="5">
        <f>INDEX(ACT_COPULA_STUDENT_T(B7:D9, B12, B13, B14), 96, 2)</f>
        <v/>
      </c>
      <c r="D114" s="5">
        <f>INDEX(ACT_COPULA_STUDENT_T(B7:D9, B12, B13, B14), 96, 3)</f>
        <v/>
      </c>
    </row>
    <row r="115">
      <c r="A115" s="5" t="n">
        <v>97</v>
      </c>
      <c r="B115" s="5">
        <f>INDEX(ACT_COPULA_STUDENT_T(B7:D9, B12, B13, B14), 97, 1)</f>
        <v/>
      </c>
      <c r="C115" s="5">
        <f>INDEX(ACT_COPULA_STUDENT_T(B7:D9, B12, B13, B14), 97, 2)</f>
        <v/>
      </c>
      <c r="D115" s="5">
        <f>INDEX(ACT_COPULA_STUDENT_T(B7:D9, B12, B13, B14), 97, 3)</f>
        <v/>
      </c>
    </row>
    <row r="116">
      <c r="A116" s="5" t="n">
        <v>98</v>
      </c>
      <c r="B116" s="5">
        <f>INDEX(ACT_COPULA_STUDENT_T(B7:D9, B12, B13, B14), 98, 1)</f>
        <v/>
      </c>
      <c r="C116" s="5">
        <f>INDEX(ACT_COPULA_STUDENT_T(B7:D9, B12, B13, B14), 98, 2)</f>
        <v/>
      </c>
      <c r="D116" s="5">
        <f>INDEX(ACT_COPULA_STUDENT_T(B7:D9, B12, B13, B14), 98, 3)</f>
        <v/>
      </c>
    </row>
    <row r="117">
      <c r="A117" s="5" t="n">
        <v>99</v>
      </c>
      <c r="B117" s="5">
        <f>INDEX(ACT_COPULA_STUDENT_T(B7:D9, B12, B13, B14), 99, 1)</f>
        <v/>
      </c>
      <c r="C117" s="5">
        <f>INDEX(ACT_COPULA_STUDENT_T(B7:D9, B12, B13, B14), 99, 2)</f>
        <v/>
      </c>
      <c r="D117" s="5">
        <f>INDEX(ACT_COPULA_STUDENT_T(B7:D9, B12, B13, B14), 99, 3)</f>
        <v/>
      </c>
    </row>
    <row r="118">
      <c r="A118" s="5" t="n">
        <v>100</v>
      </c>
      <c r="B118" s="5">
        <f>INDEX(ACT_COPULA_STUDENT_T(B7:D9, B12, B13, B14), 100, 1)</f>
        <v/>
      </c>
      <c r="C118" s="5">
        <f>INDEX(ACT_COPULA_STUDENT_T(B7:D9, B12, B13, B14), 100, 2)</f>
        <v/>
      </c>
      <c r="D118" s="5">
        <f>INDEX(ACT_COPULA_STUDENT_T(B7:D9, B12, B13, B14), 100, 3)</f>
        <v/>
      </c>
    </row>
    <row r="120">
      <c r="A120" s="2" t="inlineStr">
        <is>
          <t>Note: Results are uniform[0,1] values. Apply inverse CDF to get desired marginal distributions.</t>
        </is>
      </c>
    </row>
  </sheetData>
  <conditionalFormatting sqref="B7:D9">
    <cfRule type="colorScale" priority="1">
      <colorScale>
        <cfvo type="num" val="0"/>
        <cfvo type="num" val="1"/>
        <color rgb="00FFFFFF"/>
        <color rgb="00FF6B6B"/>
      </colorScale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D21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3">
      <c r="A3" s="2" t="inlineStr">
        <is>
          <t>Generate losses from return period tables (OEP/AEP curves)</t>
        </is>
      </c>
    </row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20">
      <c r="A20" s="2" t="inlineStr">
        <is>
          <t>AVERAGE ANNUAL LOSS (AAL) FROM OEP CURVE</t>
        </is>
      </c>
    </row>
    <row r="21">
      <c r="A21" s="6" t="inlineStr">
        <is>
          <t>AAL:</t>
        </is>
      </c>
      <c r="B21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2026-02-01T00:45:30Z</dcterms:modified>
  <cp:lastModifiedBy>Matthew Evans</cp:lastModifiedBy>
</cp:coreProperties>
</file>