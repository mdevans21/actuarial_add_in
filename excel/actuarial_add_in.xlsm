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6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  <xf numFmtId="0" fontId="5" fillId="2" borderId="1" applyAlignment="1" pivotButton="0" quotePrefix="0" xfId="0">
      <alignment horizontal="center"/>
    </xf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Exposure Curves Comparison</a:t>
            </a:r>
          </a:p>
        </rich>
      </tx>
    </title>
    <plotArea>
      <scatterChart>
        <ser>
          <idx val="0"/>
          <order val="0"/>
          <tx>
            <v>Curve 1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Curves'!$B$20:$B$31</f>
            </numRef>
          </yVal>
        </ser>
        <ser>
          <idx val="1"/>
          <order val="1"/>
          <tx>
            <v>Curve 2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Curves'!$C$20:$C$31</f>
            </numRef>
          </yVal>
        </ser>
        <ser>
          <idx val="2"/>
          <order val="2"/>
          <tx>
            <v>Curve 3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Curves'!$D$20:$D$31</f>
            </numRef>
          </yVal>
        </ser>
        <ser>
          <idx val="3"/>
          <order val="3"/>
          <tx>
            <v>Curve 4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Curves'!$E$20:$E$31</f>
            </numRef>
          </yVal>
        </ser>
        <ser>
          <idx val="4"/>
          <order val="4"/>
          <tx>
            <v>Curve 5</v>
          </tx>
          <spPr>
            <a:ln w="20000"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Curves'!$F$20:$F$31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Student-t Copula Samples: U1 vs U2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6</col>
      <colOff>0</colOff>
      <row>3</row>
      <rowOff>0</rowOff>
    </from>
    <ext cx="504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3">
      <c r="A3" s="13" t="inlineStr">
        <is>
          <t>DISTRIBUTIONS - Frequency</t>
        </is>
      </c>
    </row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7">
      <c r="A17" s="13" t="inlineStr">
        <is>
          <t>DISTRIBUTIONS - Severity</t>
        </is>
      </c>
    </row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90">
      <c r="A90" s="11" t="inlineStr">
        <is>
          <t>LIMITED EXPECTED VALUE (LEV)</t>
        </is>
      </c>
    </row>
    <row r="91"/>
    <row r="92">
      <c r="A92" s="11" t="inlineStr">
        <is>
          <t>Poisson LEV (λ=5, limit=5)</t>
        </is>
      </c>
    </row>
    <row r="93">
      <c r="A93" t="inlineStr">
        <is>
          <t>ACT_DIST_POISSON_LEV</t>
        </is>
      </c>
      <c r="B93">
        <f>ACT_DIST_POISSON_LEV(5, 5)</f>
        <v/>
      </c>
      <c r="C93" t="inlineStr">
        <is>
          <t>E[min(X,5)] for Poisson(5)</t>
        </is>
      </c>
    </row>
    <row r="94"/>
    <row r="95">
      <c r="A95" s="11" t="inlineStr">
        <is>
          <t>Negative Binomial LEV (r=5, p=0.3, limit=10)</t>
        </is>
      </c>
    </row>
    <row r="96">
      <c r="A96" t="inlineStr">
        <is>
          <t>ACT_DIST_NEGBIN_LEV</t>
        </is>
      </c>
      <c r="B96">
        <f>ACT_DIST_NEGBIN_LEV(10, 5, 0.3)</f>
        <v/>
      </c>
      <c r="C96" t="inlineStr">
        <is>
          <t>E[min(X,10)] for NegBin</t>
        </is>
      </c>
    </row>
    <row r="97"/>
    <row r="98">
      <c r="A98" s="11" t="inlineStr">
        <is>
          <t>Exponential LEV (λ=0.5, limit=2)</t>
        </is>
      </c>
    </row>
    <row r="99">
      <c r="A99" t="inlineStr">
        <is>
          <t>ACT_DIST_EXP_LEV</t>
        </is>
      </c>
      <c r="B99">
        <f>ACT_DIST_EXP_LEV(2, 0.5)</f>
        <v/>
      </c>
      <c r="C99" t="inlineStr">
        <is>
          <t>E[min(X,2)] = 1.2642</t>
        </is>
      </c>
    </row>
    <row r="100"/>
    <row r="101">
      <c r="A101" s="11" t="inlineStr">
        <is>
          <t>Lognormal LEV (μ=0, σ=1, limit=2)</t>
        </is>
      </c>
    </row>
    <row r="102">
      <c r="A102" t="inlineStr">
        <is>
          <t>ACT_DIST_LOGNORM_LEV</t>
        </is>
      </c>
      <c r="B102">
        <f>ACT_DIST_LOGNORM_LEV(2, 0, 1)</f>
        <v/>
      </c>
      <c r="C102" t="inlineStr">
        <is>
          <t>E[min(X,2)] = 1.1139</t>
        </is>
      </c>
    </row>
    <row r="103"/>
    <row r="104">
      <c r="A104" s="11" t="inlineStr">
        <is>
          <t>Gamma LEV (α=2, β=1, limit=2)</t>
        </is>
      </c>
    </row>
    <row r="105">
      <c r="A105" t="inlineStr">
        <is>
          <t>ACT_DIST_GAMMA_LEV</t>
        </is>
      </c>
      <c r="B105">
        <f>ACT_DIST_GAMMA_LEV(2, 2, 1)</f>
        <v/>
      </c>
      <c r="C105" t="inlineStr">
        <is>
          <t>E[min(X,2)] = 1.4587</t>
        </is>
      </c>
    </row>
    <row r="106"/>
    <row r="107">
      <c r="A107" s="11" t="inlineStr">
        <is>
          <t>Pareto LEV (α=2, xm=1, limit=2)</t>
        </is>
      </c>
    </row>
    <row r="108">
      <c r="A108" t="inlineStr">
        <is>
          <t>ACT_DIST_PARETO_LEV</t>
        </is>
      </c>
      <c r="B108">
        <f>ACT_DIST_PARETO_LEV(2, 2, 1)</f>
        <v/>
      </c>
      <c r="C108" t="inlineStr">
        <is>
          <t>E[min(X,2)] = 1.5</t>
        </is>
      </c>
    </row>
    <row r="109"/>
    <row r="110">
      <c r="A110" s="11" t="inlineStr">
        <is>
          <t>Lomax LEV (α=2, λ=1, limit=2)</t>
        </is>
      </c>
    </row>
    <row r="111">
      <c r="A111" t="inlineStr">
        <is>
          <t>ACT_DIST_LOMAX_LEV</t>
        </is>
      </c>
      <c r="B111">
        <f>ACT_DIST_LOMAX_LEV(2, 2, 1)</f>
        <v/>
      </c>
      <c r="C111" t="inlineStr">
        <is>
          <t>E[min(X,2)] = 0.6667</t>
        </is>
      </c>
    </row>
    <row r="112"/>
    <row r="113">
      <c r="A113" s="11" t="inlineStr">
        <is>
          <t>GPD LEV (ξ=0.5, σ=1, limit=2)</t>
        </is>
      </c>
    </row>
    <row r="114">
      <c r="A114" t="inlineStr">
        <is>
          <t>ACT_DIST_GPD_LEV</t>
        </is>
      </c>
      <c r="B114">
        <f>ACT_DIST_GPD_LEV(2, 0.5, 1)</f>
        <v/>
      </c>
      <c r="C114" t="inlineStr">
        <is>
          <t>E[min(X,2)] = 1.0</t>
        </is>
      </c>
    </row>
    <row r="115"/>
    <row r="116">
      <c r="A116" s="11" t="inlineStr">
        <is>
          <t>Weibull LEV (k=2, λ=1, limit=1)</t>
        </is>
      </c>
    </row>
    <row r="117">
      <c r="A117" t="inlineStr">
        <is>
          <t>ACT_DIST_WEIBULL_LEV</t>
        </is>
      </c>
      <c r="B117">
        <f>ACT_DIST_WEIBULL_LEV(1, 2, 1)</f>
        <v/>
      </c>
      <c r="C117" t="inlineStr">
        <is>
          <t>E[min(X,1)] = 0.7468</t>
        </is>
      </c>
    </row>
    <row r="118"/>
    <row r="119">
      <c r="A119" s="11" t="inlineStr">
        <is>
          <t>Beta LEV (α=2, β=5, limit=0.5)</t>
        </is>
      </c>
    </row>
    <row r="120">
      <c r="A120" t="inlineStr">
        <is>
          <t>ACT_DIST_BETA_LEV</t>
        </is>
      </c>
      <c r="B120">
        <f>ACT_DIST_BETA_LEV(0.5, 2, 5)</f>
        <v/>
      </c>
      <c r="C120" t="inlineStr">
        <is>
          <t>E[min(X,0.5)] = 0.2757</t>
        </is>
      </c>
    </row>
    <row r="121"/>
    <row r="122">
      <c r="A122" s="11" t="inlineStr">
        <is>
          <t>Burr XII LEV (c=2, k=3, λ=1, limit=1)</t>
        </is>
      </c>
    </row>
    <row r="123">
      <c r="A123" t="inlineStr">
        <is>
          <t>ACT_DIST_BURR_LEV</t>
        </is>
      </c>
      <c r="B123">
        <f>ACT_DIST_BURR_LEV(1, 2, 3, 1)</f>
        <v/>
      </c>
      <c r="C123" t="inlineStr">
        <is>
          <t>E[min(X,1)] = 0.5445</t>
        </is>
      </c>
    </row>
    <row r="124"/>
    <row r="125">
      <c r="A125" s="13" t="inlineStr">
        <is>
          <t>EXPOSURE CURVES</t>
        </is>
      </c>
    </row>
    <row r="127">
      <c r="A127" s="11" t="inlineStr">
        <is>
          <t>ACT_EXPOSURE_MBBEFD</t>
        </is>
      </c>
      <c r="B127">
        <f>ACT_EXPOSURE_MBBEFD(0.5, 2, 3)</f>
        <v/>
      </c>
      <c r="C127" t="inlineStr">
        <is>
          <t>MBBEFD at d=0.5, b=2, g=3</t>
        </is>
      </c>
    </row>
    <row r="128">
      <c r="A128" s="11" t="inlineStr">
        <is>
          <t>ACT_EXPOSURE_SWISSRE</t>
        </is>
      </c>
      <c r="B128">
        <f>ACT_EXPOSURE_SWISSRE(0.5, 1)</f>
        <v/>
      </c>
      <c r="C128" t="inlineStr">
        <is>
          <t>Swiss Re curve 1 (light)</t>
        </is>
      </c>
    </row>
    <row r="129">
      <c r="A129" s="11" t="inlineStr">
        <is>
          <t>ACT_EXPOSURE_SWISSRE</t>
        </is>
      </c>
      <c r="B129">
        <f>ACT_EXPOSURE_SWISSRE(0.5, 3)</f>
        <v/>
      </c>
      <c r="C129" t="inlineStr">
        <is>
          <t>Swiss Re curve 3 (medium)</t>
        </is>
      </c>
    </row>
    <row r="130">
      <c r="A130" s="11" t="inlineStr">
        <is>
          <t>ACT_EXPOSURE_SWISSRE</t>
        </is>
      </c>
      <c r="B130">
        <f>ACT_EXPOSURE_SWISSRE(0.5, 5)</f>
        <v/>
      </c>
      <c r="C130" t="inlineStr">
        <is>
          <t>Swiss Re curve 5 (heavy)</t>
        </is>
      </c>
    </row>
    <row r="131">
      <c r="A131" s="11" t="inlineStr">
        <is>
          <t>ACT_EXPOSURE_LLOYDS</t>
        </is>
      </c>
      <c r="B131">
        <f>ACT_EXPOSURE_LLOYDS(0.5, 1)</f>
        <v/>
      </c>
      <c r="C131" t="inlineStr">
        <is>
          <t>Lloyd's Y1 curve</t>
        </is>
      </c>
    </row>
    <row r="132">
      <c r="A132" s="11" t="inlineStr">
        <is>
          <t>ACT_EXPOSURE_LLOYDS</t>
        </is>
      </c>
      <c r="B132">
        <f>ACT_EXPOSURE_LLOYDS(0.5, 2)</f>
        <v/>
      </c>
      <c r="C132" t="inlineStr">
        <is>
          <t>Lloyd's Y2 curve</t>
        </is>
      </c>
    </row>
    <row r="133">
      <c r="A133" s="11" t="inlineStr">
        <is>
          <t>ACT_EXPOSURE_LLOYDS</t>
        </is>
      </c>
      <c r="B133">
        <f>ACT_EXPOSURE_LLOYDS(0.5, 3)</f>
        <v/>
      </c>
      <c r="C133" t="inlineStr">
        <is>
          <t>Lloyd's Y3 curve</t>
        </is>
      </c>
    </row>
    <row r="134">
      <c r="A134" s="11" t="inlineStr">
        <is>
          <t>ACT_EXPOSURE_LLOYDS</t>
        </is>
      </c>
      <c r="B134">
        <f>ACT_EXPOSURE_LLOYDS(0.5, 4)</f>
        <v/>
      </c>
      <c r="C134" t="inlineStr">
        <is>
          <t>Lloyd's Y4 curve</t>
        </is>
      </c>
    </row>
    <row r="135">
      <c r="A135" s="11" t="inlineStr">
        <is>
          <t>ACT_EXPOSURE_POWER</t>
        </is>
      </c>
      <c r="B135">
        <f>ACT_EXPOSURE_POWER(0.5, 2)</f>
        <v/>
      </c>
      <c r="C135" t="inlineStr">
        <is>
          <t>Power curve n=2</t>
        </is>
      </c>
    </row>
    <row r="136">
      <c r="A136" s="11" t="inlineStr">
        <is>
          <t>ACT_EXPOSURE_INVERSE_POWER</t>
        </is>
      </c>
      <c r="B136">
        <f>ACT_EXPOSURE_INVERSE_POWER(0.5, 2)</f>
        <v/>
      </c>
      <c r="C136" t="inlineStr">
        <is>
          <t>Inverse power n=2</t>
        </is>
      </c>
    </row>
    <row r="137">
      <c r="A137" s="11" t="inlineStr">
        <is>
          <t>ACT_EXPOSURE_PARETO</t>
        </is>
      </c>
      <c r="B137">
        <f>ACT_EXPOSURE_PARETO(0.5, 2)</f>
        <v/>
      </c>
      <c r="C137" t="inlineStr">
        <is>
          <t>Pareto exposure α=2</t>
        </is>
      </c>
    </row>
    <row r="138">
      <c r="A138" s="11" t="inlineStr">
        <is>
          <t>ACT_EXPOSURE_RIEBESELL</t>
        </is>
      </c>
      <c r="B138">
        <f>ACT_EXPOSURE_RIEBESELL(0.5, 0.8)</f>
        <v/>
      </c>
      <c r="C138" t="inlineStr">
        <is>
          <t>Riebesell c=0.8</t>
        </is>
      </c>
    </row>
    <row r="139">
      <c r="A139" s="11" t="inlineStr">
        <is>
          <t>ACT_EXPOSURE_RIEBESELL_INV</t>
        </is>
      </c>
      <c r="B139">
        <f>ACT_EXPOSURE_RIEBESELL_INV(0.7, 0.8)</f>
        <v/>
      </c>
      <c r="C139" t="inlineStr">
        <is>
          <t>Inverse Riebesell</t>
        </is>
      </c>
    </row>
    <row r="141">
      <c r="A141" s="13" t="inlineStr">
        <is>
          <t>REINSURANCE</t>
        </is>
      </c>
    </row>
    <row r="143">
      <c r="A143" s="11" t="inlineStr">
        <is>
          <t>ACT_XOL_LAYER_LOSS</t>
        </is>
      </c>
      <c r="B143">
        <f>ACT_XOL_LAYER_LOSS(5000000, 1000000, 4000000)</f>
        <v/>
      </c>
      <c r="C143" t="inlineStr">
        <is>
          <t>Layer loss: 5M ground-up, 4M xs 1M</t>
        </is>
      </c>
    </row>
    <row r="144">
      <c r="A144" s="11" t="inlineStr">
        <is>
          <t>ACT_XOL_EXPECTED_LOSS</t>
        </is>
      </c>
      <c r="B144">
        <f>ACT_XOL_EXPECTED_LOSS(1000000, 4000000, 2, 100000, 0.1)</f>
        <v/>
      </c>
      <c r="C144" t="inlineStr">
        <is>
          <t>Expected layer loss</t>
        </is>
      </c>
    </row>
    <row r="145">
      <c r="A145" s="11" t="inlineStr">
        <is>
          <t>ACT_ILF_PARETO</t>
        </is>
      </c>
      <c r="B145">
        <f>ACT_ILF_PARETO(2000000, 1000000, 2)</f>
        <v/>
      </c>
      <c r="C145" t="inlineStr">
        <is>
          <t>ILF at 2M, base 1M, α=2</t>
        </is>
      </c>
    </row>
    <row r="146">
      <c r="A146" s="11" t="inlineStr">
        <is>
          <t>ACT_EXPOSURE_LAYER_RATE</t>
        </is>
      </c>
      <c r="B146">
        <f>ACT_EXPOSURE_LAYER_RATE(0.1, 0.5, 0.05, 2, 3)</f>
        <v/>
      </c>
      <c r="C146" t="inlineStr">
        <is>
          <t>Rate on line</t>
        </is>
      </c>
    </row>
    <row r="148">
      <c r="A148" s="13" t="inlineStr">
        <is>
          <t>Return Period Functions</t>
        </is>
      </c>
    </row>
    <row r="149">
      <c r="A149" s="11" t="inlineStr">
        <is>
          <t>ACT_RETURN_PERIOD_LOSS</t>
        </is>
      </c>
      <c r="B149">
        <f>ACT_RETURN_PERIOD_LOSS({100,50,25,10,5}, {1000000,2000000,3000000,5000000,10000000}, 20, "LOG")</f>
        <v/>
      </c>
      <c r="C149" t="inlineStr">
        <is>
          <t>20-year loss</t>
        </is>
      </c>
    </row>
    <row r="150">
      <c r="A150" s="11" t="inlineStr">
        <is>
          <t>ACT_RETURN_PERIOD_TABLE</t>
        </is>
      </c>
      <c r="B150">
        <f>ACT_RETURN_PERIOD_TABLE({100,50,25,10,5}, {1000000,2000000,3000000,5000000,10000000}, {10,25,50,100})</f>
        <v/>
      </c>
      <c r="C150" t="inlineStr">
        <is>
          <t>RP table (array)</t>
        </is>
      </c>
    </row>
    <row r="151">
      <c r="A151" s="11" t="inlineStr">
        <is>
          <t>ACT_AAL_FROM_OEP</t>
        </is>
      </c>
      <c r="B151">
        <f>ACT_AAL_FROM_OEP({100,50,25,10,5}, {1000000,2000000,3000000,5000000,10000000})</f>
        <v/>
      </c>
      <c r="C151" t="inlineStr">
        <is>
          <t>AAL from OEP curve</t>
        </is>
      </c>
    </row>
    <row r="153">
      <c r="A153" s="13" t="inlineStr">
        <is>
          <t>INTERPOLATION</t>
        </is>
      </c>
    </row>
    <row r="155">
      <c r="A155" s="11" t="inlineStr">
        <is>
          <t>ACT_INTERP</t>
        </is>
      </c>
      <c r="B155">
        <f>ACT_INTERP({1,2,3,4,5}, {10,20,35,55,80}, 2.5, "LINEAR")</f>
        <v/>
      </c>
      <c r="C155" t="inlineStr">
        <is>
          <t>Linear interpolation</t>
        </is>
      </c>
    </row>
    <row r="156">
      <c r="A156" s="11" t="inlineStr">
        <is>
          <t>ACT_INTERP</t>
        </is>
      </c>
      <c r="B156">
        <f>ACT_INTERP({1,2,3,4,5}, {10,20,35,55,80}, 0.5, "FLAT")</f>
        <v/>
      </c>
      <c r="C156" t="inlineStr">
        <is>
          <t>Flat extrapolation</t>
        </is>
      </c>
    </row>
    <row r="157">
      <c r="A157" s="11" t="inlineStr">
        <is>
          <t>ACT_INTERP</t>
        </is>
      </c>
      <c r="B157">
        <f>ACT_INTERP({1,2,3,4,5}, {10,20,35,55,80}, 6, "GRADIENT")</f>
        <v/>
      </c>
      <c r="C157" t="inlineStr">
        <is>
          <t>Gradient extrapolation</t>
        </is>
      </c>
    </row>
    <row r="158">
      <c r="A158" s="11" t="inlineStr">
        <is>
          <t>ACT_INTERP_LOG</t>
        </is>
      </c>
      <c r="B158">
        <f>ACT_INTERP_LOG({1,2,3,4,5}, {10,20,35,55,80}, 2.5)</f>
        <v/>
      </c>
      <c r="C158" t="inlineStr">
        <is>
          <t>Log-linear interpolation</t>
        </is>
      </c>
    </row>
    <row r="159">
      <c r="A159" s="11" t="inlineStr">
        <is>
          <t>ACT_INTERP2D</t>
        </is>
      </c>
      <c r="B159">
        <f>ACT_INTERP2D({1,2,3}, {10,20,30}, {100,200,300;110,220,330;120,240,360}, 1.5, 15)</f>
        <v/>
      </c>
      <c r="C159" t="inlineStr">
        <is>
          <t>2D bilinear interpolation</t>
        </is>
      </c>
    </row>
    <row r="161">
      <c r="A161" s="13" t="inlineStr">
        <is>
          <t>CREDIBILITY - Bühlmann</t>
        </is>
      </c>
    </row>
    <row r="163">
      <c r="A163" s="11" t="inlineStr">
        <is>
          <t>ACT_CREDIBILITY_BUHLMANN</t>
        </is>
      </c>
      <c r="B163">
        <f>ACT_CREDIBILITY_BUHLMANN(10, 5)</f>
        <v/>
      </c>
      <c r="C163" t="inlineStr">
        <is>
          <t>Z = n/(n+k) = 10/15</t>
        </is>
      </c>
    </row>
    <row r="164">
      <c r="A164" s="11" t="inlineStr">
        <is>
          <t>ACT_CREDIBILITY_ESTIMATE</t>
        </is>
      </c>
      <c r="B164">
        <f>ACT_CREDIBILITY_ESTIMATE(0.05, 0.03, 0.67)</f>
        <v/>
      </c>
      <c r="C164" t="inlineStr">
        <is>
          <t>Blended estimate</t>
        </is>
      </c>
    </row>
    <row r="165">
      <c r="A165" s="11" t="inlineStr">
        <is>
          <t>ACT_CREDIBILITY_K</t>
        </is>
      </c>
      <c r="B165">
        <f>ACT_CREDIBILITY_K({0.05,0.06,0.04,0.055}, {100,150,120,110})</f>
        <v/>
      </c>
      <c r="C165" t="inlineStr">
        <is>
          <t>Estimate k from data</t>
        </is>
      </c>
    </row>
    <row r="166">
      <c r="A166" s="11" t="inlineStr">
        <is>
          <t>ACT_CREDIBILITY_BUHLMANN_STRAUB</t>
        </is>
      </c>
      <c r="B166">
        <f>ACT_CREDIBILITY_BUHLMANN_STRAUB(1000, 500)</f>
        <v/>
      </c>
      <c r="C166" t="inlineStr">
        <is>
          <t>B-S credibility</t>
        </is>
      </c>
    </row>
    <row r="167">
      <c r="A167" s="11" t="inlineStr">
        <is>
          <t>ACT_BUHLMANN_STRAUB_PARAMS</t>
        </is>
      </c>
      <c r="B167">
        <f>ACT_BUHLMANN_STRAUB_PARAMS({0.05,0.06,0.04,0.055}, {100,150,120,110})</f>
        <v/>
      </c>
      <c r="C167" t="inlineStr">
        <is>
          <t>B-S parameters (array)</t>
        </is>
      </c>
    </row>
    <row r="169">
      <c r="A169" s="13" t="inlineStr">
        <is>
          <t>CREDIBILITY - Experience Rating</t>
        </is>
      </c>
    </row>
    <row r="170">
      <c r="A170" s="11" t="inlineStr">
        <is>
          <t>ACT_EXPERIENCE_MOD</t>
        </is>
      </c>
      <c r="B170">
        <f>ACT_EXPERIENCE_MOD(50000, 70000, 0.7)</f>
        <v/>
      </c>
      <c r="C170" t="inlineStr">
        <is>
          <t>Experience mod factor</t>
        </is>
      </c>
    </row>
    <row r="171">
      <c r="A171" s="11" t="inlineStr">
        <is>
          <t>ACT_EXPERIENCE_MOD_SPLIT</t>
        </is>
      </c>
      <c r="B171">
        <f>ACT_EXPERIENCE_MOD_SPLIT(0.7, 50000, 70000, 25000, 0.3)</f>
        <v/>
      </c>
      <c r="C171" t="inlineStr">
        <is>
          <t>Split plan exp mod</t>
        </is>
      </c>
    </row>
    <row r="173">
      <c r="A173" s="13" t="inlineStr">
        <is>
          <t>CREDIBILITY - Full/Partial</t>
        </is>
      </c>
    </row>
    <row r="174">
      <c r="A174" s="11" t="inlineStr">
        <is>
          <t>ACT_FULL_CREDIBILITY_STANDARD</t>
        </is>
      </c>
      <c r="B174">
        <f>ACT_FULL_CREDIBILITY_STANDARD(0.90, 0.05, 1.5)</f>
        <v/>
      </c>
      <c r="C174" t="inlineStr">
        <is>
          <t>Full cred standard n₀</t>
        </is>
      </c>
    </row>
    <row r="175">
      <c r="A175" s="11" t="inlineStr">
        <is>
          <t>ACT_PARTIAL_CREDIBILITY</t>
        </is>
      </c>
      <c r="B175">
        <f>ACT_PARTIAL_CREDIBILITY(500, 1082)</f>
        <v/>
      </c>
      <c r="C175" t="inlineStr">
        <is>
          <t>Partial cred (sqrt rule)</t>
        </is>
      </c>
    </row>
    <row r="176">
      <c r="A176" s="11" t="inlineStr">
        <is>
          <t>ACT_LINEAR_CREDIBILITY</t>
        </is>
      </c>
      <c r="B176">
        <f>ACT_LINEAR_CREDIBILITY(500, 1082)</f>
        <v/>
      </c>
      <c r="C176" t="inlineStr">
        <is>
          <t>Linear credibility</t>
        </is>
      </c>
    </row>
    <row r="177">
      <c r="A177" s="11" t="inlineStr">
        <is>
          <t>ACT_ASYMPTOTIC_CREDIBILITY</t>
        </is>
      </c>
      <c r="B177">
        <f>ACT_ASYMPTOTIC_CREDIBILITY(10, 5, 0.5)</f>
        <v/>
      </c>
      <c r="C177" t="inlineStr">
        <is>
          <t>Asymptotic cred</t>
        </is>
      </c>
    </row>
    <row r="179">
      <c r="A179" s="13" t="inlineStr">
        <is>
          <t>CREDIBILITY - ILF</t>
        </is>
      </c>
    </row>
    <row r="180">
      <c r="A180" s="11" t="inlineStr">
        <is>
          <t>ACT_ILF_LAYER</t>
        </is>
      </c>
      <c r="B180">
        <f>ACT_ILF_LAYER(100000, 400000, 100000, 2, 50000)</f>
        <v/>
      </c>
      <c r="C180" t="inlineStr">
        <is>
          <t>Layer ILF</t>
        </is>
      </c>
    </row>
    <row r="181">
      <c r="A181" s="11" t="inlineStr">
        <is>
          <t>ACT_ILF_TABLE</t>
        </is>
      </c>
      <c r="B181">
        <f>ACT_ILF_TABLE(100000, {250000,500000,1000000,2000000}, 2)</f>
        <v/>
      </c>
      <c r="C181" t="inlineStr">
        <is>
          <t>ILF table (array)</t>
        </is>
      </c>
    </row>
    <row r="182">
      <c r="A182" s="11" t="inlineStr">
        <is>
          <t>ACT_ILF_TABLE_STANDARD</t>
        </is>
      </c>
      <c r="B182">
        <f>ACT_ILF_TABLE_STANDARD(100000, 5000000, 2)</f>
        <v/>
      </c>
      <c r="C182" t="inlineStr">
        <is>
          <t>Standard ILF table (array)</t>
        </is>
      </c>
    </row>
    <row r="184">
      <c r="A184" s="13" t="inlineStr">
        <is>
          <t>CREDIBILITY - Deductibles</t>
        </is>
      </c>
    </row>
    <row r="185">
      <c r="A185" s="11" t="inlineStr">
        <is>
          <t>ACT_LOSS_ELIMINATION_RATIO</t>
        </is>
      </c>
      <c r="B185">
        <f>ACT_LOSS_ELIMINATION_RATIO(10000, 2, 1000)</f>
        <v/>
      </c>
      <c r="C185" t="inlineStr">
        <is>
          <t>LER Pareto</t>
        </is>
      </c>
    </row>
    <row r="186">
      <c r="A186" s="11" t="inlineStr">
        <is>
          <t>ACT_LOSS_ELIMINATION_RATIO_LOGNORMAL</t>
        </is>
      </c>
      <c r="B186">
        <f>ACT_LOSS_ELIMINATION_RATIO_LOGNORMAL(10000, 10, 1)</f>
        <v/>
      </c>
      <c r="C186" t="inlineStr">
        <is>
          <t>LER Lognormal</t>
        </is>
      </c>
    </row>
    <row r="187">
      <c r="A187" s="11" t="inlineStr">
        <is>
          <t>ACT_DEDUCTIBLE_CREDIT</t>
        </is>
      </c>
      <c r="B187">
        <f>ACT_DEDUCTIBLE_CREDIT(0.95, 0.9)</f>
        <v/>
      </c>
      <c r="C187" t="inlineStr">
        <is>
          <t>Deductible credit</t>
        </is>
      </c>
    </row>
    <row r="188">
      <c r="A188" s="11" t="inlineStr">
        <is>
          <t>ACT_PREMIUM_WITH_DEDUCTIBLE</t>
        </is>
      </c>
      <c r="B188">
        <f>ACT_PREMIUM_WITH_DEDUCTIBLE(100000, 0.95, 0.65)</f>
        <v/>
      </c>
      <c r="C188" t="inlineStr">
        <is>
          <t>Premium with deductible</t>
        </is>
      </c>
    </row>
    <row r="190">
      <c r="A190" s="13" t="inlineStr">
        <is>
          <t>CREDIBILITY - Loading</t>
        </is>
      </c>
    </row>
    <row r="191">
      <c r="A191" s="11" t="inlineStr">
        <is>
          <t>ACT_LARGE_LOSS_LOAD</t>
        </is>
      </c>
      <c r="B191">
        <f>ACT_LARGE_LOSS_LOAD(0.1, 500000, 100000)</f>
        <v/>
      </c>
      <c r="C191" t="inlineStr">
        <is>
          <t>Large loss loading</t>
        </is>
      </c>
    </row>
    <row r="192">
      <c r="A192" s="11" t="inlineStr">
        <is>
          <t>ACT_SHOCK_LOSS_LOAD</t>
        </is>
      </c>
      <c r="B192">
        <f>ACT_SHOCK_LOSS_LOAD(0.01, 10000000, 1.5)</f>
        <v/>
      </c>
      <c r="C192" t="inlineStr">
        <is>
          <t>Shock loss loading</t>
        </is>
      </c>
    </row>
    <row r="194">
      <c r="A194" s="13" t="inlineStr">
        <is>
          <t>CREDIBILITY - Burning Cost</t>
        </is>
      </c>
    </row>
    <row r="195">
      <c r="A195" s="11" t="inlineStr">
        <is>
          <t>ACT_BURNING_COST</t>
        </is>
      </c>
      <c r="B195">
        <f>ACT_BURNING_COST({50000,60000,40000}, {1000000,1100000,1050000})</f>
        <v/>
      </c>
      <c r="C195" t="inlineStr">
        <is>
          <t>Burning cost</t>
        </is>
      </c>
    </row>
    <row r="196">
      <c r="A196" s="11" t="inlineStr">
        <is>
          <t>ACT_CREDIBILITY_RATE</t>
        </is>
      </c>
      <c r="B196">
        <f>ACT_CREDIBILITY_RATE(0.05, 0.03, 0.6, 1.0, 1.0)</f>
        <v/>
      </c>
      <c r="C196" t="inlineStr">
        <is>
          <t>Credibility-weighted rate</t>
        </is>
      </c>
    </row>
    <row r="197">
      <c r="A197" s="11" t="inlineStr">
        <is>
          <t>ACT_COMPOSITE_RATE</t>
        </is>
      </c>
      <c r="B197">
        <f>ACT_COMPOSITE_RATE({0.05,0.06,0.04}, {0.5,0.3,0.2})</f>
        <v/>
      </c>
      <c r="C197" t="inlineStr">
        <is>
          <t>Composite rate</t>
        </is>
      </c>
    </row>
    <row r="198">
      <c r="A198" s="11" t="inlineStr">
        <is>
          <t>ACT_MULTIYEAR_CREDIBILITY</t>
        </is>
      </c>
      <c r="B198">
        <f>ACT_MULTIYEAR_CREDIBILITY(0.5, 3, 0.1)</f>
        <v/>
      </c>
      <c r="C198" t="inlineStr">
        <is>
          <t>Multi-year credibility</t>
        </is>
      </c>
    </row>
    <row r="200">
      <c r="A200" s="13" t="inlineStr">
        <is>
          <t>CREDIBILITY - Schedule Rating</t>
        </is>
      </c>
    </row>
    <row r="201">
      <c r="A201" s="11" t="inlineStr">
        <is>
          <t>ACT_SCHEDULE_RATING</t>
        </is>
      </c>
      <c r="B201">
        <f>ACT_SCHEDULE_RATING(100000, {0.1,-0.05,0.15})</f>
        <v/>
      </c>
      <c r="C201" t="inlineStr">
        <is>
          <t>Schedule rating</t>
        </is>
      </c>
    </row>
    <row r="202">
      <c r="A202" s="11" t="inlineStr">
        <is>
          <t>ACT_SCHEDULE_RATING_CAPPED</t>
        </is>
      </c>
      <c r="B202">
        <f>ACT_SCHEDULE_RATING_CAPPED(100000, {0.1,-0.05,0.15}, {0.15,0.1,0.2})</f>
        <v/>
      </c>
      <c r="C202" t="inlineStr">
        <is>
          <t>Capped schedule rating</t>
        </is>
      </c>
    </row>
    <row r="204">
      <c r="A204" s="13" t="inlineStr">
        <is>
          <t>CREDIBILITY - Retrospective</t>
        </is>
      </c>
    </row>
    <row r="205">
      <c r="A205" s="11" t="inlineStr">
        <is>
          <t>ACT_RETRO_PREMIUM</t>
        </is>
      </c>
      <c r="B205">
        <f>ACT_RETRO_PREMIUM(100000, 50000, 1.1, 0.3, 1.03, 0.6, 1.2)</f>
        <v/>
      </c>
      <c r="C205" t="inlineStr">
        <is>
          <t>Retro premium</t>
        </is>
      </c>
    </row>
    <row r="206">
      <c r="A206" s="11" t="inlineStr">
        <is>
          <t>ACT_RETRO_PARAMETERS</t>
        </is>
      </c>
      <c r="B206">
        <f>ACT_RETRO_PARAMETERS(0.6, 0.6, 1.2, 1.03, 0.05)</f>
        <v/>
      </c>
      <c r="C206" t="inlineStr">
        <is>
          <t>Retro parameters (array)</t>
        </is>
      </c>
    </row>
    <row r="207">
      <c r="A207" s="11" t="inlineStr">
        <is>
          <t>ACT_RETRO_LOSS_LIMIT_CREDIT</t>
        </is>
      </c>
      <c r="B207">
        <f>ACT_RETRO_LOSS_LIMIT_CREDIT(250000, 0.65, 2, 10000)</f>
        <v/>
      </c>
      <c r="C207" t="inlineStr">
        <is>
          <t>Loss limit credit</t>
        </is>
      </c>
    </row>
    <row r="209">
      <c r="A209" s="13" t="inlineStr">
        <is>
          <t>CREDIBILITY - Bayesian</t>
        </is>
      </c>
    </row>
    <row r="210">
      <c r="A210" s="11" t="inlineStr">
        <is>
          <t>ACT_BAYESIAN_UPDATE</t>
        </is>
      </c>
      <c r="B210">
        <f>ACT_BAYESIAN_UPDATE(0.05, 0.01, 0.06, 0.005)</f>
        <v/>
      </c>
      <c r="C210" t="inlineStr">
        <is>
          <t>Bayesian posterior mean</t>
        </is>
      </c>
    </row>
    <row r="211">
      <c r="A211" s="11" t="inlineStr">
        <is>
          <t>ACT_BAYESIAN_UPDATE_FULL</t>
        </is>
      </c>
      <c r="B211">
        <f>ACT_BAYESIAN_UPDATE_FULL(0.05, 0.01, 0.06, 0.005)</f>
        <v/>
      </c>
      <c r="C211" t="inlineStr">
        <is>
          <t>Posterior mean &amp; var (array)</t>
        </is>
      </c>
    </row>
    <row r="213">
      <c r="A213" s="13" t="inlineStr">
        <is>
          <t>CREDIBILITY - Poisson</t>
        </is>
      </c>
    </row>
    <row r="214">
      <c r="A214" s="11" t="inlineStr">
        <is>
          <t>ACT_CREDIBILITY_POISSON</t>
        </is>
      </c>
      <c r="B214">
        <f>ACT_CREDIBILITY_POISSON(10, 5, 2)</f>
        <v/>
      </c>
      <c r="C214" t="inlineStr">
        <is>
          <t>Poisson credibility</t>
        </is>
      </c>
    </row>
    <row r="215">
      <c r="A215" s="11" t="inlineStr">
        <is>
          <t>ACT_FREQUENCY_ESTIMATE</t>
        </is>
      </c>
      <c r="B215">
        <f>ACT_FREQUENCY_ESTIMATE(10, 1000, 0.01, 0.0001)</f>
        <v/>
      </c>
      <c r="C215" t="inlineStr">
        <is>
          <t>Credibility frequency est</t>
        </is>
      </c>
    </row>
    <row r="217">
      <c r="A217" s="13" t="inlineStr">
        <is>
          <t>COPULAS - Gaussian</t>
        </is>
      </c>
    </row>
    <row r="219">
      <c r="A219" s="11" t="inlineStr">
        <is>
          <t>ACT_COPULA_GAUSSIAN</t>
        </is>
      </c>
      <c r="B219">
        <f>ACT_COPULA_GAUSSIAN({1,0.5;0.5,1}, 5, 42)</f>
        <v/>
      </c>
      <c r="C219" t="inlineStr">
        <is>
          <t>Gaussian copula samples (array)</t>
        </is>
      </c>
    </row>
    <row r="220">
      <c r="A220" s="11" t="inlineStr">
        <is>
          <t>ACT_COPULA_GAUSSIAN_SINGLE</t>
        </is>
      </c>
      <c r="B220">
        <f>ACT_COPULA_GAUSSIAN_SINGLE({1,0.5;0.5,1}, 42)</f>
        <v/>
      </c>
      <c r="C220" t="inlineStr">
        <is>
          <t>Single Gaussian sample</t>
        </is>
      </c>
    </row>
    <row r="222">
      <c r="A222" s="13" t="inlineStr">
        <is>
          <t>COPULAS - Student-t</t>
        </is>
      </c>
    </row>
    <row r="223">
      <c r="A223" s="11" t="inlineStr">
        <is>
          <t>ACT_COPULA_STUDENT_T</t>
        </is>
      </c>
      <c r="B223">
        <f>ACT_COPULA_STUDENT_T({1,0.5;0.5,1}, 5, 5, 42)</f>
        <v/>
      </c>
      <c r="C223" t="inlineStr">
        <is>
          <t>Student-t copula (array)</t>
        </is>
      </c>
    </row>
    <row r="224">
      <c r="A224" s="11" t="inlineStr">
        <is>
          <t>ACT_COPULA_STUDENT_T_SINGLE</t>
        </is>
      </c>
      <c r="B224">
        <f>ACT_COPULA_STUDENT_T_SINGLE({1,0.5;0.5,1}, 5, 42)</f>
        <v/>
      </c>
      <c r="C224" t="inlineStr">
        <is>
          <t>Single Student-t sample</t>
        </is>
      </c>
    </row>
    <row r="226">
      <c r="A226" s="13" t="inlineStr">
        <is>
          <t>COPULAS - Clayton (lower tail)</t>
        </is>
      </c>
    </row>
    <row r="227">
      <c r="A227" s="11" t="inlineStr">
        <is>
          <t>ACT_COPULA_CLAYTON</t>
        </is>
      </c>
      <c r="B227">
        <f>ACT_COPULA_CLAYTON(2, 5, 42)</f>
        <v/>
      </c>
      <c r="C227" t="inlineStr">
        <is>
          <t>Clayton copula (array)</t>
        </is>
      </c>
    </row>
    <row r="228">
      <c r="A228" s="11" t="inlineStr">
        <is>
          <t>ACT_COPULA_CLAYTON_SINGLE</t>
        </is>
      </c>
      <c r="B228">
        <f>ACT_COPULA_CLAYTON_SINGLE(2, 42)</f>
        <v/>
      </c>
      <c r="C228" t="inlineStr">
        <is>
          <t>Single Clayton sample</t>
        </is>
      </c>
    </row>
    <row r="229">
      <c r="A229" s="11" t="inlineStr">
        <is>
          <t>ACT_COPULA_CLAYTON_CDF</t>
        </is>
      </c>
      <c r="B229">
        <f>ACT_COPULA_CLAYTON_CDF(0.5, 0.5, 2)</f>
        <v/>
      </c>
      <c r="C229" t="inlineStr">
        <is>
          <t>Clayton CDF</t>
        </is>
      </c>
    </row>
    <row r="231">
      <c r="A231" s="13" t="inlineStr">
        <is>
          <t>COPULAS - Frank (symmetric)</t>
        </is>
      </c>
    </row>
    <row r="232">
      <c r="A232" s="11" t="inlineStr">
        <is>
          <t>ACT_COPULA_FRANK</t>
        </is>
      </c>
      <c r="B232">
        <f>ACT_COPULA_FRANK(5, 5, 42)</f>
        <v/>
      </c>
      <c r="C232" t="inlineStr">
        <is>
          <t>Frank copula (array)</t>
        </is>
      </c>
    </row>
    <row r="233">
      <c r="A233" s="11" t="inlineStr">
        <is>
          <t>ACT_COPULA_FRANK_SINGLE</t>
        </is>
      </c>
      <c r="B233">
        <f>ACT_COPULA_FRANK_SINGLE(5, 42)</f>
        <v/>
      </c>
      <c r="C233" t="inlineStr">
        <is>
          <t>Single Frank sample</t>
        </is>
      </c>
    </row>
    <row r="234">
      <c r="A234" s="11" t="inlineStr">
        <is>
          <t>ACT_COPULA_FRANK_CDF</t>
        </is>
      </c>
      <c r="B234">
        <f>ACT_COPULA_FRANK_CDF(0.5, 0.5, 5)</f>
        <v/>
      </c>
      <c r="C234" t="inlineStr">
        <is>
          <t>Frank CDF</t>
        </is>
      </c>
    </row>
    <row r="236">
      <c r="A236" s="13" t="inlineStr">
        <is>
          <t>COPULAS - Gumbel (upper tail)</t>
        </is>
      </c>
    </row>
    <row r="237">
      <c r="A237" s="11" t="inlineStr">
        <is>
          <t>ACT_COPULA_GUMBEL</t>
        </is>
      </c>
      <c r="B237">
        <f>ACT_COPULA_GUMBEL(2, 5, 42)</f>
        <v/>
      </c>
      <c r="C237" t="inlineStr">
        <is>
          <t>Gumbel copula (array)</t>
        </is>
      </c>
    </row>
    <row r="238">
      <c r="A238" s="11" t="inlineStr">
        <is>
          <t>ACT_COPULA_GUMBEL_SINGLE</t>
        </is>
      </c>
      <c r="B238">
        <f>ACT_COPULA_GUMBEL_SINGLE(2, 42)</f>
        <v/>
      </c>
      <c r="C238" t="inlineStr">
        <is>
          <t>Single Gumbel sample</t>
        </is>
      </c>
    </row>
    <row r="239">
      <c r="A239" s="11" t="inlineStr">
        <is>
          <t>ACT_COPULA_GUMBEL_CDF</t>
        </is>
      </c>
      <c r="B239">
        <f>ACT_COPULA_GUMBEL_CDF(0.5, 0.5, 2)</f>
        <v/>
      </c>
      <c r="C239" t="inlineStr">
        <is>
          <t>Gumbel CDF</t>
        </is>
      </c>
    </row>
    <row r="241">
      <c r="A241" s="13" t="inlineStr">
        <is>
          <t>COPULAS - Utilities</t>
        </is>
      </c>
    </row>
    <row r="242">
      <c r="A242" s="11" t="inlineStr">
        <is>
          <t>ACT_COPULA_TAU_TO_THETA</t>
        </is>
      </c>
      <c r="B242">
        <f>ACT_COPULA_TAU_TO_THETA(0.5, "CLAYTON")</f>
        <v/>
      </c>
      <c r="C242" t="inlineStr">
        <is>
          <t>Kendall τ → θ</t>
        </is>
      </c>
    </row>
    <row r="243">
      <c r="A243" s="11" t="inlineStr">
        <is>
          <t>ACT_COPULA_TAIL_LOWER</t>
        </is>
      </c>
      <c r="B243">
        <f>ACT_COPULA_TAIL_LOWER("CLAYTON", 2)</f>
        <v/>
      </c>
      <c r="C243" t="inlineStr">
        <is>
          <t>Lower tail dependence</t>
        </is>
      </c>
    </row>
    <row r="244">
      <c r="A244" s="11" t="inlineStr">
        <is>
          <t>ACT_COPULA_TAIL_UPPER</t>
        </is>
      </c>
      <c r="B244">
        <f>ACT_COPULA_TAIL_UPPER("GUMBEL", 2)</f>
        <v/>
      </c>
      <c r="C244" t="inlineStr">
        <is>
          <t>Upper tail dependence</t>
        </is>
      </c>
    </row>
    <row r="245">
      <c r="A245" s="11" t="inlineStr">
        <is>
          <t>ACT_COPULA_TAIL_LOWER</t>
        </is>
      </c>
      <c r="B245">
        <f>ACT_COPULA_TAIL_LOWER("STUDENT_T", 0.5, 5)</f>
        <v/>
      </c>
      <c r="C245" t="inlineStr">
        <is>
          <t>Student-t lower tail</t>
        </is>
      </c>
    </row>
    <row r="246">
      <c r="A246" s="11" t="inlineStr">
        <is>
          <t>ACT_COPULA_TAIL_UPPER</t>
        </is>
      </c>
      <c r="B246">
        <f>ACT_COPULA_TAIL_UPPER("STUDENT_T", 0.5, 5)</f>
        <v/>
      </c>
      <c r="C246" t="inlineStr">
        <is>
          <t>Student-t upper tail</t>
        </is>
      </c>
    </row>
    <row r="248">
      <c r="A248" s="13" t="inlineStr">
        <is>
          <t>CHAIN LADDER - See dedicated sheet</t>
        </is>
      </c>
    </row>
    <row r="250">
      <c r="A250" s="13" t="inlineStr">
        <is>
          <t>(Chain ladder functions tested in 'Chain Ladder' sheet with triangle data)</t>
        </is>
      </c>
    </row>
    <row r="251">
      <c r="A251" s="13" t="inlineStr">
        <is>
          <t>ACT_CL_FACTORS - Development factors (array)</t>
        </is>
      </c>
    </row>
    <row r="252">
      <c r="A252" s="13" t="inlineStr">
        <is>
          <t>ACT_CL_LATEST - Latest diagonal (array)</t>
        </is>
      </c>
    </row>
    <row r="253">
      <c r="A253" s="13" t="inlineStr">
        <is>
          <t>ACT_CL_ULTIMATE - Projected ultimates (array)</t>
        </is>
      </c>
    </row>
    <row r="254">
      <c r="A254" s="13" t="inlineStr">
        <is>
          <t>ACT_CL_IBNR - IBNR reserves (array)</t>
        </is>
      </c>
    </row>
    <row r="255">
      <c r="A255" s="13" t="inlineStr">
        <is>
          <t>ACT_CL_BF_ULTIMATE - Bornhuetter-Ferguson (array)</t>
        </is>
      </c>
    </row>
    <row r="256">
      <c r="A256" s="13" t="inlineStr">
        <is>
          <t>ACT_MACK_FACTOR_SE - Factor std errors (array)</t>
        </is>
      </c>
    </row>
    <row r="257">
      <c r="A257" s="13" t="inlineStr">
        <is>
          <t>ACT_MACK_RESERVE_SE - Reserve std errors (array)</t>
        </is>
      </c>
    </row>
    <row r="258">
      <c r="A258" s="13" t="inlineStr">
        <is>
          <t>ACT_CL_BOOTSTRAP - Bootstrap total (array)</t>
        </is>
      </c>
    </row>
    <row r="259">
      <c r="A259" s="13" t="inlineStr">
        <is>
          <t>ACT_BOOTSTRAP_ORIGIN_CL - Bootstrap by AY (array)</t>
        </is>
      </c>
    </row>
    <row r="260">
      <c r="A260" s="13" t="inlineStr">
        <is>
          <t>ACT_CAPECOD_ULTIMATE - Cape Cod (array)</t>
        </is>
      </c>
    </row>
    <row r="261">
      <c r="A261" s="13" t="inlineStr">
        <is>
          <t>ACT_CAPECOD_ELR - Cape Cod ELR</t>
        </is>
      </c>
    </row>
    <row r="262">
      <c r="A262" s="13" t="inlineStr">
        <is>
          <t>ACT_TRIANGLE_TO_INCREMENTAL - Cum→Inc (array)</t>
        </is>
      </c>
    </row>
    <row r="263">
      <c r="A263" s="13" t="inlineStr">
        <is>
          <t>ACT_INCREMENTAL_TO_CUMULATIVE - Inc→Cum (array)</t>
        </is>
      </c>
    </row>
    <row r="264">
      <c r="A264" s="13" t="inlineStr">
        <is>
          <t>ACT_TRIANGLE_DIAGONAL - Extract diagonal (array)</t>
        </is>
      </c>
    </row>
    <row r="265">
      <c r="A265" s="13" t="inlineStr">
        <is>
          <t>ACT_TRIANGLE_LINK_RATIOS - Link ratios (array)</t>
        </is>
      </c>
    </row>
    <row r="266">
      <c r="A266" s="13" t="inlineStr">
        <is>
          <t>ACT_CL_CALENDAR_ADJUST - Calendar adjust (array)</t>
        </is>
      </c>
    </row>
    <row r="267">
      <c r="A267" s="13" t="inlineStr">
        <is>
          <t>ACT_CL_CALENDAR_TOTALS - Calendar totals (array)</t>
        </is>
      </c>
    </row>
    <row r="268">
      <c r="A268" s="13" t="inlineStr">
        <is>
          <t>ACT_CL_WEIGHTED_AVERAGE - Weighted avg (array)</t>
        </is>
      </c>
    </row>
    <row r="270">
      <c r="A270" s="13" t="inlineStr">
        <is>
          <t>VERSION INFO</t>
        </is>
      </c>
    </row>
    <row r="272">
      <c r="A272" s="11" t="inlineStr">
        <is>
          <t>ACT_VERSION</t>
        </is>
      </c>
      <c r="B272">
        <f>ACT_VERSION()</f>
        <v/>
      </c>
      <c r="C272" t="inlineStr">
        <is>
          <t>Current version</t>
        </is>
      </c>
    </row>
    <row r="273">
      <c r="A273" s="11" t="inlineStr">
        <is>
          <t>ACT_BUILD_DATE</t>
        </is>
      </c>
      <c r="B273">
        <f>ACT_BUILD_DATE()</f>
        <v/>
      </c>
      <c r="C273" t="inlineStr">
        <is>
          <t>Build date</t>
        </is>
      </c>
    </row>
    <row r="274">
      <c r="A274" s="11" t="inlineStr">
        <is>
          <t>ACT_GITHUB_URL</t>
        </is>
      </c>
      <c r="B274">
        <f>ACT_GITHUB_URL()</f>
        <v/>
      </c>
      <c r="C274" t="inlineStr">
        <is>
          <t>GitHub URL</t>
        </is>
      </c>
    </row>
    <row r="275">
      <c r="A275" s="11" t="inlineStr">
        <is>
          <t>ACT_COMMIT_COUNT</t>
        </is>
      </c>
      <c r="B275">
        <f>ACT_COMMIT_COUNT()</f>
        <v/>
      </c>
      <c r="C275" t="inlineStr">
        <is>
          <t>Number of commits</t>
        </is>
      </c>
    </row>
    <row r="276">
      <c r="A276" s="11" t="inlineStr">
        <is>
          <t>ACT_COMMIT_INFO</t>
        </is>
      </c>
      <c r="B276">
        <f>ACT_COMMIT_INFO(1, "hash")</f>
        <v/>
      </c>
      <c r="C276" t="inlineStr">
        <is>
          <t>Latest commit hash</t>
        </is>
      </c>
    </row>
    <row r="277">
      <c r="A277" s="11" t="inlineStr">
        <is>
          <t>ACT_COMMIT_INFO</t>
        </is>
      </c>
      <c r="B277">
        <f>ACT_COMMIT_INFO(1, "date")</f>
        <v/>
      </c>
      <c r="C277" t="inlineStr">
        <is>
          <t>Latest commit date</t>
        </is>
      </c>
    </row>
    <row r="278">
      <c r="A278" s="11" t="inlineStr">
        <is>
          <t>ACT_COMMIT_INFO</t>
        </is>
      </c>
      <c r="B278">
        <f>ACT_COMMIT_INFO(1, "message")</f>
        <v/>
      </c>
      <c r="C278" t="inlineStr">
        <is>
          <t>Latest commit message</t>
        </is>
      </c>
    </row>
    <row r="279">
      <c r="A279" s="11" t="inlineStr">
        <is>
          <t>ACT_COMMIT_HISTORY</t>
        </is>
      </c>
      <c r="B279">
        <f>ACT_COMMIT_HISTORY()</f>
        <v/>
      </c>
      <c r="C279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26"/>
  <sheetViews>
    <sheetView workbookViewId="0">
      <selection activeCell="A1" sqref="A1"/>
    </sheetView>
  </sheetViews>
  <sheetFormatPr baseColWidth="8" defaultRowHeight="15"/>
  <cols>
    <col width="8" customWidth="1" min="1" max="1"/>
    <col width="14" customWidth="1" min="2" max="2"/>
    <col width="14" customWidth="1" min="3" max="3"/>
    <col width="14" customWidth="1" min="4" max="4"/>
    <col width="8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15" t="inlineStr">
        <is>
          <t>LEV</t>
        </is>
      </c>
      <c r="E21" s="11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>
        <f>ACT_DIST_POISSON_LEV(A22, 5)</f>
        <v/>
      </c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>
        <f>ACT_DIST_POISSON_LEV(A23, 5)</f>
        <v/>
      </c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>
        <f>ACT_DIST_POISSON_LEV(A24, 5)</f>
        <v/>
      </c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>
        <f>ACT_DIST_POISSON_LEV(A25, 5)</f>
        <v/>
      </c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>
        <f>ACT_DIST_POISSON_LEV(A26, 5)</f>
        <v/>
      </c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>
        <f>ACT_DIST_POISSON_LEV(A27, 5)</f>
        <v/>
      </c>
      <c r="E27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>
        <f>ACT_DIST_POISSON_LEV(A28, 5)</f>
        <v/>
      </c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>
        <f>ACT_DIST_POISSON_LEV(A29, 5)</f>
        <v/>
      </c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>
        <f>ACT_DIST_POISSON_LEV(A30, 5)</f>
        <v/>
      </c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>
        <f>ACT_DIST_POISSON_LEV(A31, 5)</f>
        <v/>
      </c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>
        <f>ACT_DIST_POISSON_LEV(A32, 5)</f>
        <v/>
      </c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15" t="inlineStr">
        <is>
          <t>LEV</t>
        </is>
      </c>
      <c r="E36" s="11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>
        <f>ACT_DIST_NEGBIN_LEV(A37, 5, 0.3)</f>
        <v/>
      </c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>
        <f>ACT_DIST_NEGBIN_LEV(A38, 5, 0.3)</f>
        <v/>
      </c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>
        <f>ACT_DIST_NEGBIN_LEV(A39, 5, 0.3)</f>
        <v/>
      </c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>
        <f>ACT_DIST_NEGBIN_LEV(A40, 5, 0.3)</f>
        <v/>
      </c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>
        <f>ACT_DIST_NEGBIN_LEV(A41, 5, 0.3)</f>
        <v/>
      </c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>
        <f>ACT_DIST_NEGBIN_LEV(A42, 5, 0.3)</f>
        <v/>
      </c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>
        <f>ACT_DIST_NEGBIN_LEV(A43, 5, 0.3)</f>
        <v/>
      </c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>
        <f>ACT_DIST_NEGBIN_LEV(A44, 5, 0.3)</f>
        <v/>
      </c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>
        <f>ACT_DIST_NEGBIN_LEV(A45, 5, 0.3)</f>
        <v/>
      </c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>
        <f>ACT_DIST_NEGBIN_LEV(A46, 5, 0.3)</f>
        <v/>
      </c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>
        <f>ACT_DIST_NEGBIN_LEV(A47, 5, 0.3)</f>
        <v/>
      </c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15" t="inlineStr">
        <is>
          <t>LEV</t>
        </is>
      </c>
      <c r="E51" s="11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>
        <f>ACT_DIST_LOGNORM_LEV(A52, 0, 1)</f>
        <v/>
      </c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>
        <f>ACT_DIST_LOGNORM_LEV(A53, 0, 1)</f>
        <v/>
      </c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>
        <f>ACT_DIST_LOGNORM_LEV(A54, 0, 1)</f>
        <v/>
      </c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>
        <f>ACT_DIST_LOGNORM_LEV(A55, 0, 1)</f>
        <v/>
      </c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>
        <f>ACT_DIST_LOGNORM_LEV(A56, 0, 1)</f>
        <v/>
      </c>
      <c r="E56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>
        <f>ACT_DIST_LOGNORM_LEV(A57, 0, 1)</f>
        <v/>
      </c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>
        <f>ACT_DIST_LOGNORM_LEV(A58, 0, 1)</f>
        <v/>
      </c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>
        <f>ACT_DIST_LOGNORM_LEV(A59, 0, 1)</f>
        <v/>
      </c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>
        <f>ACT_DIST_LOGNORM_LEV(A60, 0, 1)</f>
        <v/>
      </c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>
        <f>ACT_DIST_LOGNORM_LEV(A61, 0, 1)</f>
        <v/>
      </c>
    </row>
    <row r="62"/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15" t="inlineStr">
        <is>
          <t>LEV</t>
        </is>
      </c>
      <c r="E66" s="11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>
        <f>ACT_DIST_GAMMA_LEV(A67, 2, 1)</f>
        <v/>
      </c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>
        <f>ACT_DIST_GAMMA_LEV(A68, 2, 1)</f>
        <v/>
      </c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>
        <f>ACT_DIST_GAMMA_LEV(A69, 2, 1)</f>
        <v/>
      </c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>
        <f>ACT_DIST_GAMMA_LEV(A70, 2, 1)</f>
        <v/>
      </c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>
        <f>ACT_DIST_GAMMA_LEV(A71, 2, 1)</f>
        <v/>
      </c>
      <c r="E71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>
        <f>ACT_DIST_GAMMA_LEV(A72, 2, 1)</f>
        <v/>
      </c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>
        <f>ACT_DIST_GAMMA_LEV(A73, 2, 1)</f>
        <v/>
      </c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>
        <f>ACT_DIST_GAMMA_LEV(A74, 2, 1)</f>
        <v/>
      </c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>
        <f>ACT_DIST_GAMMA_LEV(A75, 2, 1)</f>
        <v/>
      </c>
    </row>
    <row r="76"/>
    <row r="77"/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15" t="inlineStr">
        <is>
          <t>LEV</t>
        </is>
      </c>
      <c r="E81" s="11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>
        <f>ACT_DIST_EXP_LEV(A82, 1)</f>
        <v/>
      </c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>
        <f>ACT_DIST_EXP_LEV(A83, 1)</f>
        <v/>
      </c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>
        <f>ACT_DIST_EXP_LEV(A84, 1)</f>
        <v/>
      </c>
      <c r="E8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>
        <f>ACT_DIST_EXP_LEV(A85, 1)</f>
        <v/>
      </c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>
        <f>ACT_DIST_EXP_LEV(A86, 1)</f>
        <v/>
      </c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>
        <f>ACT_DIST_EXP_LEV(A87, 1)</f>
        <v/>
      </c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>
        <f>ACT_DIST_EXP_LEV(A88, 1)</f>
        <v/>
      </c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>
        <f>ACT_DIST_EXP_LEV(A89, 1)</f>
        <v/>
      </c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>
        <f>ACT_DIST_EXP_LEV(A90, 1)</f>
        <v/>
      </c>
    </row>
    <row r="91"/>
    <row r="92"/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15" t="inlineStr">
        <is>
          <t>LEV</t>
        </is>
      </c>
      <c r="E96" s="11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>
        <f>ACT_DIST_WEIBULL_LEV(A97, 2, 1)</f>
        <v/>
      </c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>
        <f>ACT_DIST_WEIBULL_LEV(A98, 2, 1)</f>
        <v/>
      </c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>
        <f>ACT_DIST_WEIBULL_LEV(A99, 2, 1)</f>
        <v/>
      </c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>
        <f>ACT_DIST_WEIBULL_LEV(A100, 2, 1)</f>
        <v/>
      </c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>
        <f>ACT_DIST_WEIBULL_LEV(A101, 2, 1)</f>
        <v/>
      </c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>
        <f>ACT_DIST_WEIBULL_LEV(A102, 2, 1)</f>
        <v/>
      </c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>
        <f>ACT_DIST_WEIBULL_LEV(A103, 2, 1)</f>
        <v/>
      </c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>
        <f>ACT_DIST_WEIBULL_LEV(A104, 2, 1)</f>
        <v/>
      </c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>
        <f>ACT_DIST_WEIBULL_LEV(A105, 2, 1)</f>
        <v/>
      </c>
    </row>
    <row r="106"/>
    <row r="107"/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15" t="inlineStr">
        <is>
          <t>LEV</t>
        </is>
      </c>
      <c r="E111" s="11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>
        <f>ACT_DIST_BETA_LEV(A112, 2, 5)</f>
        <v/>
      </c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>
        <f>ACT_DIST_BETA_LEV(A113, 2, 5)</f>
        <v/>
      </c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>
        <f>ACT_DIST_BETA_LEV(A114, 2, 5)</f>
        <v/>
      </c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>
        <f>ACT_DIST_BETA_LEV(A115, 2, 5)</f>
        <v/>
      </c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>
        <f>ACT_DIST_BETA_LEV(A116, 2, 5)</f>
        <v/>
      </c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>
        <f>ACT_DIST_BETA_LEV(A117, 2, 5)</f>
        <v/>
      </c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>
        <f>ACT_DIST_BETA_LEV(A118, 2, 5)</f>
        <v/>
      </c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>
        <f>ACT_DIST_BETA_LEV(A119, 2, 5)</f>
        <v/>
      </c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>
        <f>ACT_DIST_BETA_LEV(A120, 2, 5)</f>
        <v/>
      </c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>
        <f>ACT_DIST_BETA_LEV(A121, 2, 5)</f>
        <v/>
      </c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>
        <f>ACT_DIST_BETA_LEV(A122, 2, 5)</f>
        <v/>
      </c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15" t="inlineStr">
        <is>
          <t>LEV</t>
        </is>
      </c>
      <c r="E126" s="11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>
        <f>ACT_DIST_PARETO_LEV(A127, 2, 1)</f>
        <v/>
      </c>
      <c r="E127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>
        <f>ACT_DIST_PARETO_LEV(A128, 2, 1)</f>
        <v/>
      </c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>
        <f>ACT_DIST_PARETO_LEV(A129, 2, 1)</f>
        <v/>
      </c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>
        <f>ACT_DIST_PARETO_LEV(A130, 2, 1)</f>
        <v/>
      </c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>
        <f>ACT_DIST_PARETO_LEV(A131, 2, 1)</f>
        <v/>
      </c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>
        <f>ACT_DIST_PARETO_LEV(A132, 2, 1)</f>
        <v/>
      </c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>
        <f>ACT_DIST_PARETO_LEV(A133, 2, 1)</f>
        <v/>
      </c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>
        <f>ACT_DIST_PARETO_LEV(A134, 2, 1)</f>
        <v/>
      </c>
    </row>
    <row r="135"/>
    <row r="136"/>
    <row r="137"/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15" t="inlineStr">
        <is>
          <t>LEV</t>
        </is>
      </c>
      <c r="E141" s="11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>
        <f>ACT_DIST_LOMAX_LEV(A142, 2, 1)</f>
        <v/>
      </c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>
        <f>ACT_DIST_LOMAX_LEV(A143, 2, 1)</f>
        <v/>
      </c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>
        <f>ACT_DIST_LOMAX_LEV(A144, 2, 1)</f>
        <v/>
      </c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>
        <f>ACT_DIST_LOMAX_LEV(A145, 2, 1)</f>
        <v/>
      </c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>
        <f>ACT_DIST_LOMAX_LEV(A146, 2, 1)</f>
        <v/>
      </c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>
        <f>ACT_DIST_LOMAX_LEV(A147, 2, 1)</f>
        <v/>
      </c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>
        <f>ACT_DIST_LOMAX_LEV(A148, 2, 1)</f>
        <v/>
      </c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>
        <f>ACT_DIST_LOMAX_LEV(A149, 2, 1)</f>
        <v/>
      </c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>
        <f>ACT_DIST_LOMAX_LEV(A150, 2, 1)</f>
        <v/>
      </c>
    </row>
    <row r="151"/>
    <row r="152"/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15" t="inlineStr">
        <is>
          <t>LEV</t>
        </is>
      </c>
      <c r="E156" s="11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>
        <f>ACT_DIST_GPD_LEV(A157, 0.5, 1)</f>
        <v/>
      </c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>
        <f>ACT_DIST_GPD_LEV(A158, 0.5, 1)</f>
        <v/>
      </c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>
        <f>ACT_DIST_GPD_LEV(A159, 0.5, 1)</f>
        <v/>
      </c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>
        <f>ACT_DIST_GPD_LEV(A160, 0.5, 1)</f>
        <v/>
      </c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>
        <f>ACT_DIST_GPD_LEV(A161, 0.5, 1)</f>
        <v/>
      </c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>
        <f>ACT_DIST_GPD_LEV(A162, 0.5, 1)</f>
        <v/>
      </c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>
        <f>ACT_DIST_GPD_LEV(A163, 0.5, 1)</f>
        <v/>
      </c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>
        <f>ACT_DIST_GPD_LEV(A164, 0.5, 1)</f>
        <v/>
      </c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>
        <f>ACT_DIST_GPD_LEV(A165, 0.5, 1)</f>
        <v/>
      </c>
    </row>
    <row r="166"/>
    <row r="167"/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15" t="inlineStr">
        <is>
          <t>LEV</t>
        </is>
      </c>
      <c r="E171" s="11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>
        <f>ACT_DIST_BURR_LEV(A172, 2, 1, 1)</f>
        <v/>
      </c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>
        <f>ACT_DIST_BURR_LEV(A173, 2, 1, 1)</f>
        <v/>
      </c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>
        <f>ACT_DIST_BURR_LEV(A174, 2, 1, 1)</f>
        <v/>
      </c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>
        <f>ACT_DIST_BURR_LEV(A175, 2, 1, 1)</f>
        <v/>
      </c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>
        <f>ACT_DIST_BURR_LEV(A176, 2, 1, 1)</f>
        <v/>
      </c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>
        <f>ACT_DIST_BURR_LEV(A177, 2, 1, 1)</f>
        <v/>
      </c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>
        <f>ACT_DIST_BURR_LEV(A178, 2, 1, 1)</f>
        <v/>
      </c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>
        <f>ACT_DIST_BURR_LEV(A179, 2, 1, 1)</f>
        <v/>
      </c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>
        <f>ACT_DIST_BURR_LEV(A180, 2, 1, 1)</f>
        <v/>
      </c>
    </row>
    <row r="181"/>
    <row r="182"/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1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1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2026-02-01T02:17:28Z</dcterms:modified>
  <cp:lastModifiedBy>Matthew Evans</cp:lastModifiedBy>
</cp:coreProperties>
</file>