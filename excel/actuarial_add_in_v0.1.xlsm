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worksheets/sheet8.xml" ContentType="application/vnd.openxmlformats-officedocument.spreadsheetml.worksheet+xml"/>
  <Override PartName="/xl/drawings/drawing6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Distributions" sheetId="2" state="visible" r:id="rId2"/>
    <sheet name="Exposure Curves" sheetId="3" state="visible" r:id="rId3"/>
    <sheet name="Reinsurance" sheetId="4" state="visible" r:id="rId4"/>
    <sheet name="Interpolation" sheetId="5" state="visible" r:id="rId5"/>
    <sheet name="Chain Ladder" sheetId="6" state="visible" r:id="rId6"/>
    <sheet name="Copulas" sheetId="7" state="visible" r:id="rId7"/>
    <sheet name="Return Periods" sheetId="8" state="visible" r:id="rId8"/>
    <sheet name="All Functions Test" sheetId="9" state="visible" r:id="rId9"/>
    <sheet name="Array Formula Demo" sheetId="10" state="visible" r:id="rId10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b val="1"/>
      <sz val="12"/>
    </font>
  </fonts>
  <fills count="3">
    <fill>
      <patternFill/>
    </fill>
    <fill>
      <patternFill patternType="gray125"/>
    </fill>
    <fill>
      <patternFill patternType="solid">
        <fgColor rgb="004472C4"/>
        <bgColor rgb="004472C4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'Distributions'!$A$36:$A$42</f>
            </numRef>
          </xVal>
          <yVal>
            <numRef>
              <f>'Distributions'!$B$36:$B$42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'Distributions'!$A$46:$A$51</f>
            </numRef>
          </xVal>
          <yVal>
            <numRef>
              <f>'Distributions'!$B$46:$B$51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'Distributions'!$A$55:$A$61</f>
            </numRef>
          </xVal>
          <yVal>
            <numRef>
              <f>'Distributions'!$B$55:$B$61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Curves Comparison</a:t>
            </a:r>
          </a:p>
        </rich>
      </tx>
    </title>
    <plotArea>
      <scatterChart>
        <ser>
          <idx val="0"/>
          <order val="0"/>
          <tx>
            <strRef>
              <f>'Exposure Curves'!B21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Curves'!$B$22:$B$31</f>
            </numRef>
          </yVal>
        </ser>
        <ser>
          <idx val="1"/>
          <order val="1"/>
          <tx>
            <strRef>
              <f>'Exposure Curves'!C21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Curves'!$C$22:$C$31</f>
            </numRef>
          </yVal>
        </ser>
        <ser>
          <idx val="2"/>
          <order val="2"/>
          <tx>
            <strRef>
              <f>'Exposure Curves'!D21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Curves'!$D$22:$D$31</f>
            </numRef>
          </yVal>
        </ser>
        <ser>
          <idx val="3"/>
          <order val="3"/>
          <tx>
            <strRef>
              <f>'Exposure Curves'!E21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Curves'!$E$22:$E$31</f>
            </numRef>
          </yVal>
        </ser>
        <ser>
          <idx val="4"/>
          <order val="4"/>
          <tx>
            <strRef>
              <f>'Exposure Curves'!F21</f>
            </strRef>
          </tx>
          <spPr>
            <a:ln>
              <a:solidFill>
                <a:srgbClr val="5B9BD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Curves'!$F$22:$F$31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Lloyd's Curves Comparison</a:t>
            </a:r>
          </a:p>
        </rich>
      </tx>
    </title>
    <plotArea>
      <scatterChart>
        <ser>
          <idx val="0"/>
          <order val="0"/>
          <tx>
            <strRef>
              <f>'Exposure Curves'!B35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Curves'!$B$36:$B$45</f>
            </numRef>
          </yVal>
        </ser>
        <ser>
          <idx val="1"/>
          <order val="1"/>
          <tx>
            <strRef>
              <f>'Exposure Curves'!C35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Curves'!$C$36:$C$45</f>
            </numRef>
          </yVal>
        </ser>
        <ser>
          <idx val="2"/>
          <order val="2"/>
          <tx>
            <strRef>
              <f>'Exposure Curves'!D35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Curves'!$D$36:$D$45</f>
            </numRef>
          </yVal>
        </ser>
        <ser>
          <idx val="3"/>
          <order val="3"/>
          <tx>
            <strRef>
              <f>'Exposure Curves'!E35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Curves'!$E$36:$E$45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  <crosses val="autoZero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crossAx val="10"/>
        <crosses val="autoZero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Ladder'!D45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Ladder'!$D$46:$D$55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Development Pattern - Latest Diagonal to Ultimate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Ladder'!$B$46:$B$55</f>
            </numRef>
          </val>
        </ser>
        <ser>
          <idx val="1"/>
          <order val="1"/>
          <tx>
            <strRef>
              <f>'Chain Ladder'!C45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Ladder'!$C$46:$C$55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Ladder'!B72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Ladder'!$A$73:$A$82</f>
            </numRef>
          </cat>
          <val>
            <numRef>
              <f>'Chain Ladder'!$B$73:$B$82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'Copulas'!$A$19:$A$1018</f>
            </numRef>
          </xVal>
          <yVal>
            <numRef>
              <f>'Copulas'!$B$19:$B$1018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6.xml" Id="rId1" /><Relationship Type="http://schemas.openxmlformats.org/officeDocument/2006/relationships/chart" Target="/xl/charts/chart7.xml" Id="rId2" /><Relationship Type="http://schemas.openxmlformats.org/officeDocument/2006/relationships/chart" Target="/xl/charts/chart8.xml" Id="rId3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 /><Relationship Type="http://schemas.openxmlformats.org/officeDocument/2006/relationships/chart" Target="/xl/charts/chart11.xml" Id="rId2" /><Relationship Type="http://schemas.openxmlformats.org/officeDocument/2006/relationships/chart" Target="/xl/charts/chart12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4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31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45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59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7"/>
  <sheetViews>
    <sheetView workbookViewId="0">
      <selection activeCell="A1" sqref="A1"/>
    </sheetView>
  </sheetViews>
  <sheetFormatPr baseColWidth="8" defaultRowHeight="15"/>
  <cols>
    <col width="50" customWidth="1" min="1" max="1"/>
    <col width="40" customWidth="1" min="2" max="2"/>
    <col width="20" customWidth="1" min="3" max="3"/>
  </cols>
  <sheetData>
    <row r="1">
      <c r="A1" s="1" t="inlineStr">
        <is>
          <t>Actuarial Add-In v0.1.0</t>
        </is>
      </c>
    </row>
    <row r="3">
      <c r="A3" s="11" t="inlineStr">
        <is>
          <t>Build Date:</t>
        </is>
      </c>
      <c r="B3" t="inlineStr">
        <is>
          <t>2026-01-18</t>
        </is>
      </c>
    </row>
    <row r="4">
      <c r="A4" s="11" t="inlineStr">
        <is>
          <t>GitHub:</t>
        </is>
      </c>
      <c r="B4" t="inlineStr">
        <is>
          <t>https://github.com/mdevans21/actuarial_add_in</t>
        </is>
      </c>
    </row>
    <row r="6">
      <c r="A6" s="12" t="inlineStr">
        <is>
          <t>Version Functions:</t>
        </is>
      </c>
    </row>
    <row r="7">
      <c r="B7">
        <f>ACT_VERSION()</f>
        <v/>
      </c>
    </row>
    <row r="8">
      <c r="B8">
        <f>ACT_BUILD_DATE()</f>
        <v/>
      </c>
    </row>
    <row r="9">
      <c r="B9">
        <f>ACT_COMMIT_HISTORY()</f>
        <v/>
      </c>
      <c r="C9" t="inlineStr">
        <is>
          <t>(array output)</t>
        </is>
      </c>
    </row>
    <row r="11">
      <c r="A11" s="12" t="inlineStr">
        <is>
          <t>IMPORTANT: Array Formulas</t>
        </is>
      </c>
    </row>
    <row r="12">
      <c r="A12" t="inlineStr">
        <is>
          <t>If formulas show @ prefix (e.g., =@ACT_CL_FACTORS), the @ should be removed.</t>
        </is>
      </c>
    </row>
    <row r="13">
      <c r="A13" t="inlineStr">
        <is>
          <t>Array functions will spill their results in Excel 365.</t>
        </is>
      </c>
    </row>
    <row r="14">
      <c r="A14" t="inlineStr">
        <is>
          <t>For older Excel, use INDEX() to extract values, e.g.: =INDEX(ACT_CL_FACTORS(...), 1)</t>
        </is>
      </c>
    </row>
    <row r="16">
      <c r="A16" s="12" t="inlineStr">
        <is>
          <t>Array-returning functions (no @ prefix):</t>
        </is>
      </c>
    </row>
    <row r="17">
      <c r="A17" t="inlineStr">
        <is>
          <t xml:space="preserve">  ACT_BAYESIAN_UPDATE_FULL</t>
        </is>
      </c>
    </row>
    <row r="18">
      <c r="A18" t="inlineStr">
        <is>
          <t xml:space="preserve">  ACT_BERQUIST_SHERMAN</t>
        </is>
      </c>
    </row>
    <row r="19">
      <c r="A19" t="inlineStr">
        <is>
          <t xml:space="preserve">  ACT_BF_ULTIMATE</t>
        </is>
      </c>
    </row>
    <row r="20">
      <c r="A20" t="inlineStr">
        <is>
          <t xml:space="preserve">  ACT_BOOTSTRAP_CL</t>
        </is>
      </c>
    </row>
    <row r="21">
      <c r="A21" t="inlineStr">
        <is>
          <t xml:space="preserve">  ACT_BOOTSTRAP_CL_ORIGIN</t>
        </is>
      </c>
    </row>
    <row r="22">
      <c r="A22" t="inlineStr">
        <is>
          <t xml:space="preserve">  ACT_BUHLMANN_STRAUB_PARAMS</t>
        </is>
      </c>
    </row>
    <row r="23">
      <c r="A23" t="inlineStr">
        <is>
          <t xml:space="preserve">  ACT_CAPECOD_ELR</t>
        </is>
      </c>
    </row>
    <row r="24">
      <c r="A24" t="inlineStr">
        <is>
          <t xml:space="preserve">  ACT_CAPECOD_ULTIMATE</t>
        </is>
      </c>
    </row>
    <row r="25">
      <c r="A25" t="inlineStr">
        <is>
          <t xml:space="preserve">  ACT_CL_CALENDAR_ADJUST</t>
        </is>
      </c>
    </row>
    <row r="26">
      <c r="A26" t="inlineStr">
        <is>
          <t xml:space="preserve">  ACT_CL_CALENDAR_TOTALS</t>
        </is>
      </c>
    </row>
    <row r="27">
      <c r="A27" t="inlineStr">
        <is>
          <t xml:space="preserve">  ACT_CL_FACTORS</t>
        </is>
      </c>
    </row>
    <row r="28">
      <c r="A28" t="inlineStr">
        <is>
          <t xml:space="preserve">  ACT_CL_IBNR</t>
        </is>
      </c>
    </row>
    <row r="29">
      <c r="A29" t="inlineStr">
        <is>
          <t xml:space="preserve">  ACT_CL_LATEST</t>
        </is>
      </c>
    </row>
    <row r="30">
      <c r="A30" t="inlineStr">
        <is>
          <t xml:space="preserve">  ACT_CL_ULTIMATE</t>
        </is>
      </c>
    </row>
    <row r="31">
      <c r="A31" t="inlineStr">
        <is>
          <t xml:space="preserve">  ACT_CL_WEIGHTED_AVERAGE</t>
        </is>
      </c>
    </row>
    <row r="32">
      <c r="A32" t="inlineStr">
        <is>
          <t xml:space="preserve">  ACT_COMMIT_HISTORY</t>
        </is>
      </c>
    </row>
    <row r="33">
      <c r="A33" t="inlineStr">
        <is>
          <t xml:space="preserve">  ACT_COPULA_CLAYTON</t>
        </is>
      </c>
    </row>
    <row r="34">
      <c r="A34" t="inlineStr">
        <is>
          <t xml:space="preserve">  ACT_COPULA_FRANK</t>
        </is>
      </c>
    </row>
    <row r="35">
      <c r="A35" t="inlineStr">
        <is>
          <t xml:space="preserve">  ACT_COPULA_GAUSSIAN</t>
        </is>
      </c>
    </row>
    <row r="36">
      <c r="A36" t="inlineStr">
        <is>
          <t xml:space="preserve">  ACT_COPULA_GUMBEL</t>
        </is>
      </c>
    </row>
    <row r="37">
      <c r="A37" t="inlineStr">
        <is>
          <t xml:space="preserve">  ACT_COPULA_STUDENT_T</t>
        </is>
      </c>
    </row>
    <row r="38">
      <c r="A38" t="inlineStr">
        <is>
          <t xml:space="preserve">  ACT_ILF_TABLE</t>
        </is>
      </c>
    </row>
    <row r="39">
      <c r="A39" t="inlineStr">
        <is>
          <t xml:space="preserve">  ACT_ILF_TABLE_STANDARD</t>
        </is>
      </c>
    </row>
    <row r="40">
      <c r="A40" t="inlineStr">
        <is>
          <t xml:space="preserve">  ACT_INCREMENTAL_TO_CUMULATIVE</t>
        </is>
      </c>
    </row>
    <row r="41">
      <c r="A41" t="inlineStr">
        <is>
          <t xml:space="preserve">  ACT_MACK_FACTOR_SE</t>
        </is>
      </c>
    </row>
    <row r="42">
      <c r="A42" t="inlineStr">
        <is>
          <t xml:space="preserve">  ACT_MACK_RESERVE_SE</t>
        </is>
      </c>
    </row>
    <row r="43">
      <c r="A43" t="inlineStr">
        <is>
          <t xml:space="preserve">  ACT_RETRO_PARAMETERS</t>
        </is>
      </c>
    </row>
    <row r="44">
      <c r="A44" t="inlineStr">
        <is>
          <t xml:space="preserve">  ACT_RETURN_PERIOD_TABLE</t>
        </is>
      </c>
    </row>
    <row r="45">
      <c r="A45" t="inlineStr">
        <is>
          <t xml:space="preserve">  ACT_TRIANGLE_DIAGONAL</t>
        </is>
      </c>
    </row>
    <row r="46">
      <c r="A46" t="inlineStr">
        <is>
          <t xml:space="preserve">  ACT_TRIANGLE_LINK_RATIOS</t>
        </is>
      </c>
    </row>
    <row r="47">
      <c r="A47" t="inlineStr">
        <is>
          <t xml:space="preserve">  ACT_TRIANGLE_TO_INCREMENTAL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6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0.5</v>
      </c>
      <c r="B37" s="4">
        <f>ACT_LOGNORM_PDF(A37, 0, 1)</f>
        <v/>
      </c>
      <c r="C37" s="4">
        <f>ACT_LOGNORM_CDF(A37, 0, 1)</f>
        <v/>
      </c>
      <c r="D37" s="4" t="inlineStr"/>
    </row>
    <row r="38">
      <c r="A38" s="4" t="n">
        <v>1</v>
      </c>
      <c r="B38" s="4">
        <f>ACT_LOGNORM_PDF(A38, 0, 1)</f>
        <v/>
      </c>
      <c r="C38" s="4">
        <f>ACT_LOGNORM_CDF(A38, 0, 1)</f>
        <v/>
      </c>
      <c r="D38" s="4" t="inlineStr">
        <is>
          <t>Median (exp(mu))</t>
        </is>
      </c>
    </row>
    <row r="39">
      <c r="A39" s="4" t="n">
        <v>1.5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2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3</v>
      </c>
      <c r="B41" s="4">
        <f>ACT_LOGNORM_PDF(A41, 0, 1)</f>
        <v/>
      </c>
      <c r="C41" s="4">
        <f>ACT_LOGNORM_CDF(A41, 0, 1)</f>
        <v/>
      </c>
      <c r="D41" s="4" t="inlineStr"/>
    </row>
    <row r="42">
      <c r="A42" s="4" t="n">
        <v>5</v>
      </c>
      <c r="B42" s="4">
        <f>ACT_LOGNORM_PDF(A42, 0, 1)</f>
        <v/>
      </c>
      <c r="C42" s="4">
        <f>ACT_LOGNORM_CDF(A42, 0, 1)</f>
        <v/>
      </c>
      <c r="D42" s="4" t="inlineStr"/>
    </row>
    <row r="44">
      <c r="A44" s="2" t="inlineStr">
        <is>
          <t>GAMMA DISTRIBUTION (alpha=2, beta=1)</t>
        </is>
      </c>
    </row>
    <row r="45">
      <c r="A45" s="3" t="inlineStr">
        <is>
          <t>x</t>
        </is>
      </c>
      <c r="B45" s="3" t="inlineStr">
        <is>
          <t>PDF</t>
        </is>
      </c>
      <c r="C45" s="3" t="inlineStr">
        <is>
          <t>CDF</t>
        </is>
      </c>
      <c r="D45" s="3" t="inlineStr">
        <is>
          <t>Notes</t>
        </is>
      </c>
    </row>
    <row r="46">
      <c r="A46" s="4" t="n">
        <v>0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0.5</v>
      </c>
      <c r="B47" s="4">
        <f>ACT_GAMMA_PDF(A47, 2, 1)</f>
        <v/>
      </c>
      <c r="C47" s="4">
        <f>ACT_GAMMA_CDF(A47, 2, 1)</f>
        <v/>
      </c>
      <c r="D47" s="4" t="inlineStr"/>
    </row>
    <row r="48">
      <c r="A48" s="4" t="n">
        <v>1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2</v>
      </c>
      <c r="B49" s="4">
        <f>ACT_GAMMA_PDF(A49, 2, 1)</f>
        <v/>
      </c>
      <c r="C49" s="4">
        <f>ACT_GAMMA_CDF(A49, 2, 1)</f>
        <v/>
      </c>
      <c r="D49" s="4" t="inlineStr">
        <is>
          <t>Mean (alpha/beta)</t>
        </is>
      </c>
    </row>
    <row r="50">
      <c r="A50" s="4" t="n">
        <v>3</v>
      </c>
      <c r="B50" s="4">
        <f>ACT_GAMMA_PDF(A50, 2, 1)</f>
        <v/>
      </c>
      <c r="C50" s="4">
        <f>ACT_GAMMA_CDF(A50, 2, 1)</f>
        <v/>
      </c>
      <c r="D50" s="4" t="inlineStr"/>
    </row>
    <row r="51">
      <c r="A51" s="4" t="n">
        <v>5</v>
      </c>
      <c r="B51" s="4">
        <f>ACT_GAMMA_PDF(A51, 2, 1)</f>
        <v/>
      </c>
      <c r="C51" s="4">
        <f>ACT_GAMMA_CDF(A51, 2, 1)</f>
        <v/>
      </c>
      <c r="D51" s="4" t="inlineStr"/>
    </row>
    <row r="53">
      <c r="A53" s="2" t="inlineStr">
        <is>
          <t>PARETO DISTRIBUTION (alpha=2, xm=1)</t>
        </is>
      </c>
    </row>
    <row r="54">
      <c r="A54" s="3" t="inlineStr">
        <is>
          <t>x</t>
        </is>
      </c>
      <c r="B54" s="3" t="inlineStr">
        <is>
          <t>PDF</t>
        </is>
      </c>
      <c r="C54" s="3" t="inlineStr">
        <is>
          <t>CDF</t>
        </is>
      </c>
      <c r="D54" s="3" t="inlineStr">
        <is>
          <t>Notes</t>
        </is>
      </c>
    </row>
    <row r="55">
      <c r="A55" s="4" t="n">
        <v>0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1</v>
      </c>
      <c r="B56" s="4">
        <f>ACT_PARETO_PDF(A56, 2, 1)</f>
        <v/>
      </c>
      <c r="C56" s="4">
        <f>ACT_PARETO_CDF(A56, 2, 1)</f>
        <v/>
      </c>
      <c r="D56" s="4" t="inlineStr">
        <is>
          <t>Minimum value (xm)</t>
        </is>
      </c>
    </row>
    <row r="57">
      <c r="A57" s="4" t="n">
        <v>1.5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2</v>
      </c>
      <c r="B58" s="4">
        <f>ACT_PARETO_PDF(A58, 2, 1)</f>
        <v/>
      </c>
      <c r="C58" s="4">
        <f>ACT_PARETO_CDF(A58, 2, 1)</f>
        <v/>
      </c>
      <c r="D58" s="4" t="inlineStr"/>
    </row>
    <row r="59">
      <c r="A59" s="4" t="n">
        <v>3</v>
      </c>
      <c r="B59" s="4">
        <f>ACT_PARETO_PDF(A59, 2, 1)</f>
        <v/>
      </c>
      <c r="C59" s="4">
        <f>ACT_PARETO_CDF(A59, 2, 1)</f>
        <v/>
      </c>
      <c r="D59" s="4" t="inlineStr"/>
    </row>
    <row r="60">
      <c r="A60" s="4" t="n">
        <v>5</v>
      </c>
      <c r="B60" s="4">
        <f>ACT_PARETO_PDF(A60, 2, 1)</f>
        <v/>
      </c>
      <c r="C60" s="4">
        <f>ACT_PARETO_CDF(A60, 2, 1)</f>
        <v/>
      </c>
      <c r="D60" s="4" t="inlineStr"/>
    </row>
    <row r="61">
      <c r="A61" s="4" t="n">
        <v>10</v>
      </c>
      <c r="B61" s="4">
        <f>ACT_PARETO_PDF(A61, 2, 1)</f>
        <v/>
      </c>
      <c r="C61" s="4">
        <f>ACT_PARETO_CDF(A61, 2, 1)</f>
        <v/>
      </c>
      <c r="D61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5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ACT_SWISSRE_CURVE(A21, 1)</f>
        <v/>
      </c>
      <c r="C21" s="5">
        <f>ACT_SWISSRE_CURVE(A21, 2)</f>
        <v/>
      </c>
      <c r="D21" s="5">
        <f>ACT_SWISSRE_CURVE(A21, 3)</f>
        <v/>
      </c>
      <c r="E21" s="5">
        <f>ACT_SWISSRE_CURVE(A21, 4)</f>
        <v/>
      </c>
      <c r="F21" s="5">
        <f>ACT_SWISSRE_CURVE(A21, 5)</f>
        <v/>
      </c>
    </row>
    <row r="22">
      <c r="A22" s="5" t="n">
        <v>0.1</v>
      </c>
      <c r="B22" s="5">
        <f>ACT_SWISSRE_CURVE(A22, 1)</f>
        <v/>
      </c>
      <c r="C22" s="5">
        <f>ACT_SWISSRE_CURVE(A22, 2)</f>
        <v/>
      </c>
      <c r="D22" s="5">
        <f>ACT_SWISSRE_CURVE(A22, 3)</f>
        <v/>
      </c>
      <c r="E22" s="5">
        <f>ACT_SWISSRE_CURVE(A22, 4)</f>
        <v/>
      </c>
      <c r="F22" s="5">
        <f>ACT_SWISSRE_CURVE(A22, 5)</f>
        <v/>
      </c>
    </row>
    <row r="23">
      <c r="A23" s="5" t="n">
        <v>0.2</v>
      </c>
      <c r="B23" s="5">
        <f>ACT_SWISSRE_CURVE(A23, 1)</f>
        <v/>
      </c>
      <c r="C23" s="5">
        <f>ACT_SWISSRE_CURVE(A23, 2)</f>
        <v/>
      </c>
      <c r="D23" s="5">
        <f>ACT_SWISSRE_CURVE(A23, 3)</f>
        <v/>
      </c>
      <c r="E23" s="5">
        <f>ACT_SWISSRE_CURVE(A23, 4)</f>
        <v/>
      </c>
      <c r="F23" s="5">
        <f>ACT_SWISSRE_CURVE(A23, 5)</f>
        <v/>
      </c>
    </row>
    <row r="24">
      <c r="A24" s="5" t="n">
        <v>0.3</v>
      </c>
      <c r="B24" s="5">
        <f>ACT_SWISSRE_CURVE(A24, 1)</f>
        <v/>
      </c>
      <c r="C24" s="5">
        <f>ACT_SWISSRE_CURVE(A24, 2)</f>
        <v/>
      </c>
      <c r="D24" s="5">
        <f>ACT_SWISSRE_CURVE(A24, 3)</f>
        <v/>
      </c>
      <c r="E24" s="5">
        <f>ACT_SWISSRE_CURVE(A24, 4)</f>
        <v/>
      </c>
      <c r="F24" s="5">
        <f>ACT_SWISSRE_CURVE(A24, 5)</f>
        <v/>
      </c>
    </row>
    <row r="25">
      <c r="A25" s="5" t="n">
        <v>0.4</v>
      </c>
      <c r="B25" s="5">
        <f>ACT_SWISSRE_CURVE(A25, 1)</f>
        <v/>
      </c>
      <c r="C25" s="5">
        <f>ACT_SWISSRE_CURVE(A25, 2)</f>
        <v/>
      </c>
      <c r="D25" s="5">
        <f>ACT_SWISSRE_CURVE(A25, 3)</f>
        <v/>
      </c>
      <c r="E25" s="5">
        <f>ACT_SWISSRE_CURVE(A25, 4)</f>
        <v/>
      </c>
      <c r="F25" s="5">
        <f>ACT_SWISSRE_CURVE(A25, 5)</f>
        <v/>
      </c>
    </row>
    <row r="26">
      <c r="A26" s="5" t="n">
        <v>0.5</v>
      </c>
      <c r="B26" s="5">
        <f>ACT_SWISSRE_CURVE(A26, 1)</f>
        <v/>
      </c>
      <c r="C26" s="5">
        <f>ACT_SWISSRE_CURVE(A26, 2)</f>
        <v/>
      </c>
      <c r="D26" s="5">
        <f>ACT_SWISSRE_CURVE(A26, 3)</f>
        <v/>
      </c>
      <c r="E26" s="5">
        <f>ACT_SWISSRE_CURVE(A26, 4)</f>
        <v/>
      </c>
      <c r="F26" s="5">
        <f>ACT_SWISSRE_CURVE(A26, 5)</f>
        <v/>
      </c>
    </row>
    <row r="27">
      <c r="A27" s="5" t="n">
        <v>0.6</v>
      </c>
      <c r="B27" s="5">
        <f>ACT_SWISSRE_CURVE(A27, 1)</f>
        <v/>
      </c>
      <c r="C27" s="5">
        <f>ACT_SWISSRE_CURVE(A27, 2)</f>
        <v/>
      </c>
      <c r="D27" s="5">
        <f>ACT_SWISSRE_CURVE(A27, 3)</f>
        <v/>
      </c>
      <c r="E27" s="5">
        <f>ACT_SWISSRE_CURVE(A27, 4)</f>
        <v/>
      </c>
      <c r="F27" s="5">
        <f>ACT_SWISSRE_CURVE(A27, 5)</f>
        <v/>
      </c>
    </row>
    <row r="28">
      <c r="A28" s="5" t="n">
        <v>0.7</v>
      </c>
      <c r="B28" s="5">
        <f>ACT_SWISSRE_CURVE(A28, 1)</f>
        <v/>
      </c>
      <c r="C28" s="5">
        <f>ACT_SWISSRE_CURVE(A28, 2)</f>
        <v/>
      </c>
      <c r="D28" s="5">
        <f>ACT_SWISSRE_CURVE(A28, 3)</f>
        <v/>
      </c>
      <c r="E28" s="5">
        <f>ACT_SWISSRE_CURVE(A28, 4)</f>
        <v/>
      </c>
      <c r="F28" s="5">
        <f>ACT_SWISSRE_CURVE(A28, 5)</f>
        <v/>
      </c>
    </row>
    <row r="29">
      <c r="A29" s="5" t="n">
        <v>0.8</v>
      </c>
      <c r="B29" s="5">
        <f>ACT_SWISSRE_CURVE(A29, 1)</f>
        <v/>
      </c>
      <c r="C29" s="5">
        <f>ACT_SWISSRE_CURVE(A29, 2)</f>
        <v/>
      </c>
      <c r="D29" s="5">
        <f>ACT_SWISSRE_CURVE(A29, 3)</f>
        <v/>
      </c>
      <c r="E29" s="5">
        <f>ACT_SWISSRE_CURVE(A29, 4)</f>
        <v/>
      </c>
      <c r="F29" s="5">
        <f>ACT_SWISSRE_CURVE(A29, 5)</f>
        <v/>
      </c>
    </row>
    <row r="30">
      <c r="A30" s="5" t="n">
        <v>0.9</v>
      </c>
      <c r="B30" s="5">
        <f>ACT_SWISSRE_CURVE(A30, 1)</f>
        <v/>
      </c>
      <c r="C30" s="5">
        <f>ACT_SWISSRE_CURVE(A30, 2)</f>
        <v/>
      </c>
      <c r="D30" s="5">
        <f>ACT_SWISSRE_CURVE(A30, 3)</f>
        <v/>
      </c>
      <c r="E30" s="5">
        <f>ACT_SWISSRE_CURVE(A30, 4)</f>
        <v/>
      </c>
      <c r="F30" s="5">
        <f>ACT_SWISSRE_CURVE(A30, 5)</f>
        <v/>
      </c>
    </row>
    <row r="31">
      <c r="A31" s="5" t="n">
        <v>1</v>
      </c>
      <c r="B31" s="5">
        <f>ACT_SWISSRE_CURVE(A31, 1)</f>
        <v/>
      </c>
      <c r="C31" s="5">
        <f>ACT_SWISSRE_CURVE(A31, 2)</f>
        <v/>
      </c>
      <c r="D31" s="5">
        <f>ACT_SWISSRE_CURVE(A31, 3)</f>
        <v/>
      </c>
      <c r="E31" s="5">
        <f>ACT_SWISSRE_CURVE(A31, 4)</f>
        <v/>
      </c>
      <c r="F31" s="5">
        <f>ACT_SWISSRE_CURVE(A31,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ACT_LLOYDS_CURVE(A35, "Y1")</f>
        <v/>
      </c>
      <c r="C35" s="5">
        <f>ACT_LLOYDS_CURVE(A35, "Y2")</f>
        <v/>
      </c>
      <c r="D35" s="5">
        <f>ACT_LLOYDS_CURVE(A35, "Y3")</f>
        <v/>
      </c>
      <c r="E35" s="5">
        <f>ACT_LLOYDS_CURVE(A35, "Y4")</f>
        <v/>
      </c>
    </row>
    <row r="36">
      <c r="A36" s="5" t="n">
        <v>0.1</v>
      </c>
      <c r="B36" s="5">
        <f>ACT_LLOYDS_CURVE(A36, "Y1")</f>
        <v/>
      </c>
      <c r="C36" s="5">
        <f>ACT_LLOYDS_CURVE(A36, "Y2")</f>
        <v/>
      </c>
      <c r="D36" s="5">
        <f>ACT_LLOYDS_CURVE(A36, "Y3")</f>
        <v/>
      </c>
      <c r="E36" s="5">
        <f>ACT_LLOYDS_CURVE(A36, "Y4")</f>
        <v/>
      </c>
    </row>
    <row r="37">
      <c r="A37" s="5" t="n">
        <v>0.2</v>
      </c>
      <c r="B37" s="5">
        <f>ACT_LLOYDS_CURVE(A37, "Y1")</f>
        <v/>
      </c>
      <c r="C37" s="5">
        <f>ACT_LLOYDS_CURVE(A37, "Y2")</f>
        <v/>
      </c>
      <c r="D37" s="5">
        <f>ACT_LLOYDS_CURVE(A37, "Y3")</f>
        <v/>
      </c>
      <c r="E37" s="5">
        <f>ACT_LLOYDS_CURVE(A37, "Y4")</f>
        <v/>
      </c>
    </row>
    <row r="38">
      <c r="A38" s="5" t="n">
        <v>0.3</v>
      </c>
      <c r="B38" s="5">
        <f>ACT_LLOYDS_CURVE(A38, "Y1")</f>
        <v/>
      </c>
      <c r="C38" s="5">
        <f>ACT_LLOYDS_CURVE(A38, "Y2")</f>
        <v/>
      </c>
      <c r="D38" s="5">
        <f>ACT_LLOYDS_CURVE(A38, "Y3")</f>
        <v/>
      </c>
      <c r="E38" s="5">
        <f>ACT_LLOYDS_CURVE(A38, "Y4")</f>
        <v/>
      </c>
    </row>
    <row r="39">
      <c r="A39" s="5" t="n">
        <v>0.4</v>
      </c>
      <c r="B39" s="5">
        <f>ACT_LLOYDS_CURVE(A39, "Y1")</f>
        <v/>
      </c>
      <c r="C39" s="5">
        <f>ACT_LLOYDS_CURVE(A39, "Y2")</f>
        <v/>
      </c>
      <c r="D39" s="5">
        <f>ACT_LLOYDS_CURVE(A39, "Y3")</f>
        <v/>
      </c>
      <c r="E39" s="5">
        <f>ACT_LLOYDS_CURVE(A39, "Y4")</f>
        <v/>
      </c>
    </row>
    <row r="40">
      <c r="A40" s="5" t="n">
        <v>0.5</v>
      </c>
      <c r="B40" s="5">
        <f>ACT_LLOYDS_CURVE(A40, "Y1")</f>
        <v/>
      </c>
      <c r="C40" s="5">
        <f>ACT_LLOYDS_CURVE(A40, "Y2")</f>
        <v/>
      </c>
      <c r="D40" s="5">
        <f>ACT_LLOYDS_CURVE(A40, "Y3")</f>
        <v/>
      </c>
      <c r="E40" s="5">
        <f>ACT_LLOYDS_CURVE(A40, "Y4")</f>
        <v/>
      </c>
    </row>
    <row r="41">
      <c r="A41" s="5" t="n">
        <v>0.6</v>
      </c>
      <c r="B41" s="5">
        <f>ACT_LLOYDS_CURVE(A41, "Y1")</f>
        <v/>
      </c>
      <c r="C41" s="5">
        <f>ACT_LLOYDS_CURVE(A41, "Y2")</f>
        <v/>
      </c>
      <c r="D41" s="5">
        <f>ACT_LLOYDS_CURVE(A41, "Y3")</f>
        <v/>
      </c>
      <c r="E41" s="5">
        <f>ACT_LLOYDS_CURVE(A41, "Y4")</f>
        <v/>
      </c>
    </row>
    <row r="42">
      <c r="A42" s="5" t="n">
        <v>0.7</v>
      </c>
      <c r="B42" s="5">
        <f>ACT_LLOYDS_CURVE(A42, "Y1")</f>
        <v/>
      </c>
      <c r="C42" s="5">
        <f>ACT_LLOYDS_CURVE(A42, "Y2")</f>
        <v/>
      </c>
      <c r="D42" s="5">
        <f>ACT_LLOYDS_CURVE(A42, "Y3")</f>
        <v/>
      </c>
      <c r="E42" s="5">
        <f>ACT_LLOYDS_CURVE(A42, "Y4")</f>
        <v/>
      </c>
    </row>
    <row r="43">
      <c r="A43" s="5" t="n">
        <v>0.8</v>
      </c>
      <c r="B43" s="5">
        <f>ACT_LLOYDS_CURVE(A43, "Y1")</f>
        <v/>
      </c>
      <c r="C43" s="5">
        <f>ACT_LLOYDS_CURVE(A43, "Y2")</f>
        <v/>
      </c>
      <c r="D43" s="5">
        <f>ACT_LLOYDS_CURVE(A43, "Y3")</f>
        <v/>
      </c>
      <c r="E43" s="5">
        <f>ACT_LLOYDS_CURVE(A43, "Y4")</f>
        <v/>
      </c>
    </row>
    <row r="44">
      <c r="A44" s="5" t="n">
        <v>0.9</v>
      </c>
      <c r="B44" s="5">
        <f>ACT_LLOYDS_CURVE(A44, "Y1")</f>
        <v/>
      </c>
      <c r="C44" s="5">
        <f>ACT_LLOYDS_CURVE(A44, "Y2")</f>
        <v/>
      </c>
      <c r="D44" s="5">
        <f>ACT_LLOYDS_CURVE(A44, "Y3")</f>
        <v/>
      </c>
      <c r="E44" s="5">
        <f>ACT_LLOYDS_CURVE(A44, "Y4")</f>
        <v/>
      </c>
    </row>
    <row r="45">
      <c r="A45" s="5" t="n">
        <v>1</v>
      </c>
      <c r="B45" s="5">
        <f>ACT_LLOYDS_CURVE(A45, "Y1")</f>
        <v/>
      </c>
      <c r="C45" s="5">
        <f>ACT_LLOYDS_CURVE(A45, "Y2")</f>
        <v/>
      </c>
      <c r="D45" s="5">
        <f>ACT_LLOYDS_CURVE(A45, "Y3")</f>
        <v/>
      </c>
      <c r="E45" s="5">
        <f>ACT_LLOYDS_CURVE(A45,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ACT_POWER_CURVE(0.5, 2)</t>
        </is>
      </c>
      <c r="C49" s="5">
        <f>ACT_POWER_CURVE(0.5,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ACT_INVERSE_POWER_CURVE(0.5, 2)</t>
        </is>
      </c>
      <c r="C50" s="5">
        <f>ACT_INVERSE_POWER_CURVE(0.5,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ACT_PARETO_EXPOSURE(0.5, 2)</t>
        </is>
      </c>
      <c r="C51" s="5">
        <f>ACT_PARETO_EXPOSURE(0.5, 2)</f>
        <v/>
      </c>
      <c r="D51" s="5" t="inlineStr">
        <is>
          <t>Based on Pareto severity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loss, quota share, and aggregate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8" t="n">
        <v>1000000</v>
      </c>
      <c r="B16" s="8">
        <f>ACT_QS_CEDED(A16, 0.5)</f>
        <v/>
      </c>
      <c r="C16" s="8">
        <f>A16-B16</f>
        <v/>
      </c>
    </row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8" t="n">
        <v>1000000</v>
      </c>
      <c r="B20" s="8">
        <f>ACT_AGGREGATE_LAYER(A20, 2000000, 10000000)</f>
        <v/>
      </c>
      <c r="C20" s="5" t="inlineStr">
        <is>
          <t>Below deductible</t>
        </is>
      </c>
    </row>
    <row r="21">
      <c r="A21" s="8" t="n">
        <v>2000000</v>
      </c>
      <c r="B21" s="8">
        <f>ACT_AGGREGATE_LAYER(A21, 2000000, 10000000)</f>
        <v/>
      </c>
      <c r="C21" s="5" t="inlineStr">
        <is>
          <t>At deductible</t>
        </is>
      </c>
    </row>
    <row r="22">
      <c r="A22" s="8" t="n">
        <v>5000000</v>
      </c>
      <c r="B22" s="8">
        <f>ACT_AGGREGATE_LAYER(A22, 2000000, 10000000)</f>
        <v/>
      </c>
      <c r="C22" s="5" t="inlineStr">
        <is>
          <t>Partial recovery</t>
        </is>
      </c>
    </row>
    <row r="23">
      <c r="A23" s="8" t="n">
        <v>12000000</v>
      </c>
      <c r="B23" s="8">
        <f>ACT_AGGREGATE_LAYER(A23, 2000000, 10000000)</f>
        <v/>
      </c>
      <c r="C23" s="5" t="inlineStr">
        <is>
          <t>Full limit</t>
        </is>
      </c>
    </row>
    <row r="24">
      <c r="A24" s="8" t="n">
        <v>15000000</v>
      </c>
      <c r="B24" s="8">
        <f>ACT_AGGREGATE_LAYER(A24, 2000000, 10000000)</f>
        <v/>
      </c>
      <c r="C24" s="5" t="inlineStr">
        <is>
          <t>Capped at limit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K99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ACT_CL_FACTORS(B7:K16)</f>
        <v/>
      </c>
    </row>
    <row r="23">
      <c r="A23" s="2" t="inlineStr">
        <is>
          <t>LATEST DIAGONAL (ACT_CL_LATEST)</t>
        </is>
      </c>
    </row>
    <row r="24">
      <c r="A24" s="3" t="inlineStr">
        <is>
          <t>AY</t>
        </is>
      </c>
      <c r="B24" s="3" t="inlineStr">
        <is>
          <t>Latest</t>
        </is>
      </c>
    </row>
    <row r="25">
      <c r="A25" s="5" t="n">
        <v>1</v>
      </c>
      <c r="B25" s="8">
        <f>INDEX(ACT_CL_LATEST(B7:K16), 1)</f>
        <v/>
      </c>
    </row>
    <row r="26">
      <c r="A26" s="5" t="n">
        <v>2</v>
      </c>
      <c r="B26" s="8">
        <f>INDEX(ACT_CL_LATEST(B7:K16), 2)</f>
        <v/>
      </c>
    </row>
    <row r="27">
      <c r="A27" s="5" t="n">
        <v>3</v>
      </c>
      <c r="B27" s="8">
        <f>INDEX(ACT_CL_LATEST(B7:K16), 3)</f>
        <v/>
      </c>
    </row>
    <row r="28">
      <c r="A28" s="5" t="n">
        <v>4</v>
      </c>
      <c r="B28" s="8">
        <f>INDEX(ACT_CL_LATEST(B7:K16), 4)</f>
        <v/>
      </c>
    </row>
    <row r="29">
      <c r="A29" s="5" t="n">
        <v>5</v>
      </c>
      <c r="B29" s="8">
        <f>INDEX(ACT_CL_LATEST(B7:K16), 5)</f>
        <v/>
      </c>
    </row>
    <row r="30">
      <c r="A30" s="5" t="n">
        <v>6</v>
      </c>
      <c r="B30" s="8">
        <f>INDEX(ACT_CL_LATEST(B7:K16), 6)</f>
        <v/>
      </c>
    </row>
    <row r="31">
      <c r="A31" s="5" t="n">
        <v>7</v>
      </c>
      <c r="B31" s="8">
        <f>INDEX(ACT_CL_LATEST(B7:K16), 7)</f>
        <v/>
      </c>
    </row>
    <row r="32">
      <c r="A32" s="5" t="n">
        <v>8</v>
      </c>
      <c r="B32" s="8">
        <f>INDEX(ACT_CL_LATEST(B7:K16), 8)</f>
        <v/>
      </c>
    </row>
    <row r="33">
      <c r="A33" s="5" t="n">
        <v>9</v>
      </c>
      <c r="B33" s="8">
        <f>INDEX(ACT_CL_LATEST(B7:K16), 9)</f>
        <v/>
      </c>
    </row>
    <row r="34">
      <c r="A34" s="5" t="n">
        <v>10</v>
      </c>
      <c r="B34" s="8">
        <f>INDEX(ACT_CL_LATEST(B7:K16), 10)</f>
        <v/>
      </c>
    </row>
    <row r="36">
      <c r="A36" s="2" t="inlineStr">
        <is>
          <t>DEVELOPMENT FACTORS (ADJUSTED OPTIONS)</t>
        </is>
      </c>
    </row>
    <row r="37">
      <c r="A37" s="5" t="inlineStr">
        <is>
          <t>Top N years</t>
        </is>
      </c>
      <c r="B37" s="5" t="n">
        <v>5</v>
      </c>
    </row>
    <row r="38">
      <c r="A38" s="5" t="inlineStr">
        <is>
          <t>Exclude most recent year</t>
        </is>
      </c>
      <c r="B38" s="5" t="b">
        <v>1</v>
      </c>
    </row>
    <row r="39">
      <c r="A39" s="5" t="inlineStr">
        <is>
          <t>Exclude high/low ratios</t>
        </is>
      </c>
      <c r="B39" s="5" t="b">
        <v>1</v>
      </c>
    </row>
    <row r="40">
      <c r="A40" s="3" t="inlineStr">
        <is>
          <t>Period</t>
        </is>
      </c>
      <c r="B40" s="3" t="inlineStr">
        <is>
          <t>1-2</t>
        </is>
      </c>
      <c r="C40" s="3" t="inlineStr">
        <is>
          <t>2-3</t>
        </is>
      </c>
      <c r="D40" s="3" t="inlineStr">
        <is>
          <t>3-4</t>
        </is>
      </c>
      <c r="E40" s="3" t="inlineStr">
        <is>
          <t>4-5</t>
        </is>
      </c>
      <c r="F40" s="3" t="inlineStr">
        <is>
          <t>5-6</t>
        </is>
      </c>
      <c r="G40" s="3" t="inlineStr">
        <is>
          <t>6-7</t>
        </is>
      </c>
      <c r="H40" s="3" t="inlineStr">
        <is>
          <t>7-8</t>
        </is>
      </c>
      <c r="I40" s="3" t="inlineStr">
        <is>
          <t>8-9</t>
        </is>
      </c>
      <c r="J40" s="3" t="inlineStr">
        <is>
          <t>9-10</t>
        </is>
      </c>
    </row>
    <row r="41">
      <c r="A41" s="5" t="inlineStr">
        <is>
          <t>Adjusted</t>
        </is>
      </c>
      <c r="B41" s="5">
        <f>ACT_CL_FACTORS(B7:K16, B37, B38, B39)</f>
        <v/>
      </c>
    </row>
    <row r="43">
      <c r="A43" s="2" t="inlineStr">
        <is>
          <t>PROJECTED ULTIMATES AND IBNR</t>
        </is>
      </c>
    </row>
    <row r="44">
      <c r="A44" s="2" t="inlineStr">
        <is>
          <t>Expected Total IBNR: ~18,680,856</t>
        </is>
      </c>
    </row>
    <row r="45">
      <c r="A45" s="3" t="inlineStr">
        <is>
          <t>AY</t>
        </is>
      </c>
      <c r="B45" s="3" t="inlineStr">
        <is>
          <t>Latest Cumulative</t>
        </is>
      </c>
      <c r="C45" s="3" t="inlineStr">
        <is>
          <t>Ultimate</t>
        </is>
      </c>
      <c r="D45" s="3" t="inlineStr">
        <is>
          <t>IBNR</t>
        </is>
      </c>
    </row>
    <row r="46">
      <c r="A46" s="5" t="n">
        <v>1</v>
      </c>
      <c r="B46" s="8" t="n">
        <v>3901463</v>
      </c>
      <c r="C46" s="8">
        <f>INDEX(ACT_CL_ULTIMATE(B7:K16), 1)</f>
        <v/>
      </c>
      <c r="D46" s="8">
        <f>INDEX(ACT_CL_IBNR(B7:K16), 1)</f>
        <v/>
      </c>
    </row>
    <row r="47">
      <c r="A47" s="5" t="n">
        <v>2</v>
      </c>
      <c r="B47" s="8" t="n">
        <v>5339085</v>
      </c>
      <c r="C47" s="8">
        <f>INDEX(ACT_CL_ULTIMATE(B7:K16), 2)</f>
        <v/>
      </c>
      <c r="D47" s="8">
        <f>INDEX(ACT_CL_IBNR(B7:K16), 2)</f>
        <v/>
      </c>
    </row>
    <row r="48">
      <c r="A48" s="5" t="n">
        <v>3</v>
      </c>
      <c r="B48" s="8" t="n">
        <v>4909315</v>
      </c>
      <c r="C48" s="8">
        <f>INDEX(ACT_CL_ULTIMATE(B7:K16), 3)</f>
        <v/>
      </c>
      <c r="D48" s="8">
        <f>INDEX(ACT_CL_IBNR(B7:K16), 3)</f>
        <v/>
      </c>
    </row>
    <row r="49">
      <c r="A49" s="5" t="n">
        <v>4</v>
      </c>
      <c r="B49" s="8" t="n">
        <v>4588268</v>
      </c>
      <c r="C49" s="8">
        <f>INDEX(ACT_CL_ULTIMATE(B7:K16), 4)</f>
        <v/>
      </c>
      <c r="D49" s="8">
        <f>INDEX(ACT_CL_IBNR(B7:K16), 4)</f>
        <v/>
      </c>
    </row>
    <row r="50">
      <c r="A50" s="5" t="n">
        <v>5</v>
      </c>
      <c r="B50" s="8" t="n">
        <v>3873311</v>
      </c>
      <c r="C50" s="8">
        <f>INDEX(ACT_CL_ULTIMATE(B7:K16), 5)</f>
        <v/>
      </c>
      <c r="D50" s="8">
        <f>INDEX(ACT_CL_IBNR(B7:K16), 5)</f>
        <v/>
      </c>
    </row>
    <row r="51">
      <c r="A51" s="5" t="n">
        <v>6</v>
      </c>
      <c r="B51" s="8" t="n">
        <v>3691712</v>
      </c>
      <c r="C51" s="8">
        <f>INDEX(ACT_CL_ULTIMATE(B7:K16), 6)</f>
        <v/>
      </c>
      <c r="D51" s="8">
        <f>INDEX(ACT_CL_IBNR(B7:K16), 6)</f>
        <v/>
      </c>
    </row>
    <row r="52">
      <c r="A52" s="5" t="n">
        <v>7</v>
      </c>
      <c r="B52" s="8" t="n">
        <v>3483130</v>
      </c>
      <c r="C52" s="8">
        <f>INDEX(ACT_CL_ULTIMATE(B7:K16), 7)</f>
        <v/>
      </c>
      <c r="D52" s="8">
        <f>INDEX(ACT_CL_IBNR(B7:K16), 7)</f>
        <v/>
      </c>
    </row>
    <row r="53">
      <c r="A53" s="5" t="n">
        <v>8</v>
      </c>
      <c r="B53" s="8" t="n">
        <v>2864498</v>
      </c>
      <c r="C53" s="8">
        <f>INDEX(ACT_CL_ULTIMATE(B7:K16), 8)</f>
        <v/>
      </c>
      <c r="D53" s="8">
        <f>INDEX(ACT_CL_IBNR(B7:K16), 8)</f>
        <v/>
      </c>
    </row>
    <row r="54">
      <c r="A54" s="5" t="n">
        <v>9</v>
      </c>
      <c r="B54" s="8" t="n">
        <v>1363294</v>
      </c>
      <c r="C54" s="8">
        <f>INDEX(ACT_CL_ULTIMATE(B7:K16), 9)</f>
        <v/>
      </c>
      <c r="D54" s="8">
        <f>INDEX(ACT_CL_IBNR(B7:K16), 9)</f>
        <v/>
      </c>
    </row>
    <row r="55">
      <c r="A55" s="5" t="n">
        <v>10</v>
      </c>
      <c r="B55" s="8" t="n">
        <v>344014</v>
      </c>
      <c r="C55" s="8">
        <f>INDEX(ACT_CL_ULTIMATE(B7:K16), 10)</f>
        <v/>
      </c>
      <c r="D55" s="8">
        <f>INDEX(ACT_CL_IBNR(B7:K16), 10)</f>
        <v/>
      </c>
    </row>
    <row r="56">
      <c r="A56" s="7" t="inlineStr">
        <is>
          <t>Total</t>
        </is>
      </c>
      <c r="B56" s="9">
        <f>SUM(B46:B55)</f>
        <v/>
      </c>
      <c r="C56" s="9">
        <f>SUM(C46:C55)</f>
        <v/>
      </c>
      <c r="D56" s="9">
        <f>SUM(D46:D55)</f>
        <v/>
      </c>
    </row>
    <row r="58">
      <c r="A58" s="2" t="inlineStr">
        <is>
          <t>BORNHUETTER-FERGUSON ULTIMATES (A priori = Latest * 1.10)</t>
        </is>
      </c>
    </row>
    <row r="59">
      <c r="A59" s="3" t="inlineStr">
        <is>
          <t>AY</t>
        </is>
      </c>
      <c r="B59" s="3" t="inlineStr">
        <is>
          <t>Latest</t>
        </is>
      </c>
      <c r="C59" s="3" t="inlineStr">
        <is>
          <t>A Priori Ultimate</t>
        </is>
      </c>
      <c r="D59" s="3" t="inlineStr">
        <is>
          <t>BF Ultimate</t>
        </is>
      </c>
    </row>
    <row r="60">
      <c r="A60" s="5" t="n">
        <v>1</v>
      </c>
      <c r="B60" s="8">
        <f>INDEX(ACT_CL_LATEST(B7:K16), 1)</f>
        <v/>
      </c>
      <c r="C60" s="8">
        <f>B60*1.10</f>
        <v/>
      </c>
      <c r="D60" s="8">
        <f>INDEX(ACT_BF_ULTIMATE(B7:K16, ACT_CL_FACTORS(B7:K16), C60:C69), 1)</f>
        <v/>
      </c>
    </row>
    <row r="61">
      <c r="A61" s="5" t="n">
        <v>2</v>
      </c>
      <c r="B61" s="8">
        <f>INDEX(ACT_CL_LATEST(B7:K16), 2)</f>
        <v/>
      </c>
      <c r="C61" s="8">
        <f>B61*1.10</f>
        <v/>
      </c>
      <c r="D61" s="8">
        <f>INDEX(ACT_BF_ULTIMATE(B7:K16, ACT_CL_FACTORS(B7:K16), C60:C69), 2)</f>
        <v/>
      </c>
    </row>
    <row r="62">
      <c r="A62" s="5" t="n">
        <v>3</v>
      </c>
      <c r="B62" s="8">
        <f>INDEX(ACT_CL_LATEST(B7:K16), 3)</f>
        <v/>
      </c>
      <c r="C62" s="8">
        <f>B62*1.10</f>
        <v/>
      </c>
      <c r="D62" s="8">
        <f>INDEX(ACT_BF_ULTIMATE(B7:K16, ACT_CL_FACTORS(B7:K16), C60:C69), 3)</f>
        <v/>
      </c>
    </row>
    <row r="63">
      <c r="A63" s="5" t="n">
        <v>4</v>
      </c>
      <c r="B63" s="8">
        <f>INDEX(ACT_CL_LATEST(B7:K16), 4)</f>
        <v/>
      </c>
      <c r="C63" s="8">
        <f>B63*1.10</f>
        <v/>
      </c>
      <c r="D63" s="8">
        <f>INDEX(ACT_BF_ULTIMATE(B7:K16, ACT_CL_FACTORS(B7:K16), C60:C69), 4)</f>
        <v/>
      </c>
    </row>
    <row r="64">
      <c r="A64" s="5" t="n">
        <v>5</v>
      </c>
      <c r="B64" s="8">
        <f>INDEX(ACT_CL_LATEST(B7:K16), 5)</f>
        <v/>
      </c>
      <c r="C64" s="8">
        <f>B64*1.10</f>
        <v/>
      </c>
      <c r="D64" s="8">
        <f>INDEX(ACT_BF_ULTIMATE(B7:K16, ACT_CL_FACTORS(B7:K16), C60:C69), 5)</f>
        <v/>
      </c>
    </row>
    <row r="65">
      <c r="A65" s="5" t="n">
        <v>6</v>
      </c>
      <c r="B65" s="8">
        <f>INDEX(ACT_CL_LATEST(B7:K16), 6)</f>
        <v/>
      </c>
      <c r="C65" s="8">
        <f>B65*1.10</f>
        <v/>
      </c>
      <c r="D65" s="8">
        <f>INDEX(ACT_BF_ULTIMATE(B7:K16, ACT_CL_FACTORS(B7:K16), C60:C69), 6)</f>
        <v/>
      </c>
    </row>
    <row r="66">
      <c r="A66" s="5" t="n">
        <v>7</v>
      </c>
      <c r="B66" s="8">
        <f>INDEX(ACT_CL_LATEST(B7:K16), 7)</f>
        <v/>
      </c>
      <c r="C66" s="8">
        <f>B66*1.10</f>
        <v/>
      </c>
      <c r="D66" s="8">
        <f>INDEX(ACT_BF_ULTIMATE(B7:K16, ACT_CL_FACTORS(B7:K16), C60:C69), 7)</f>
        <v/>
      </c>
    </row>
    <row r="67">
      <c r="A67" s="5" t="n">
        <v>8</v>
      </c>
      <c r="B67" s="8">
        <f>INDEX(ACT_CL_LATEST(B7:K16), 8)</f>
        <v/>
      </c>
      <c r="C67" s="8">
        <f>B67*1.10</f>
        <v/>
      </c>
      <c r="D67" s="8">
        <f>INDEX(ACT_BF_ULTIMATE(B7:K16, ACT_CL_FACTORS(B7:K16), C60:C69), 8)</f>
        <v/>
      </c>
    </row>
    <row r="68">
      <c r="A68" s="5" t="n">
        <v>9</v>
      </c>
      <c r="B68" s="8">
        <f>INDEX(ACT_CL_LATEST(B7:K16), 9)</f>
        <v/>
      </c>
      <c r="C68" s="8">
        <f>B68*1.10</f>
        <v/>
      </c>
      <c r="D68" s="8">
        <f>INDEX(ACT_BF_ULTIMATE(B7:K16, ACT_CL_FACTORS(B7:K16), C60:C69), 9)</f>
        <v/>
      </c>
    </row>
    <row r="69">
      <c r="A69" s="5" t="n">
        <v>10</v>
      </c>
      <c r="B69" s="8">
        <f>INDEX(ACT_CL_LATEST(B7:K16), 10)</f>
        <v/>
      </c>
      <c r="C69" s="8">
        <f>B69*1.10</f>
        <v/>
      </c>
      <c r="D69" s="8">
        <f>INDEX(ACT_BF_ULTIMATE(B7:K16, ACT_CL_FACTORS(B7:K16), C60:C69), 10)</f>
        <v/>
      </c>
    </row>
    <row r="71">
      <c r="A71" s="2" t="inlineStr">
        <is>
          <t>MACK STANDARD ERRORS (reserve uncertainty)</t>
        </is>
      </c>
    </row>
    <row r="72">
      <c r="A72" s="3" t="inlineStr">
        <is>
          <t>AY</t>
        </is>
      </c>
      <c r="B72" s="3" t="inlineStr">
        <is>
          <t>Reserve SE</t>
        </is>
      </c>
    </row>
    <row r="73">
      <c r="A73" s="5" t="n">
        <v>1</v>
      </c>
      <c r="B73" s="8">
        <f>INDEX(ACT_MACK_RESERVE_SE(B7:K16), 1)</f>
        <v/>
      </c>
    </row>
    <row r="74">
      <c r="A74" s="5" t="n">
        <v>2</v>
      </c>
      <c r="B74" s="8">
        <f>INDEX(ACT_MACK_RESERVE_SE(B7:K16), 2)</f>
        <v/>
      </c>
    </row>
    <row r="75">
      <c r="A75" s="5" t="n">
        <v>3</v>
      </c>
      <c r="B75" s="8">
        <f>INDEX(ACT_MACK_RESERVE_SE(B7:K16), 3)</f>
        <v/>
      </c>
    </row>
    <row r="76">
      <c r="A76" s="5" t="n">
        <v>4</v>
      </c>
      <c r="B76" s="8">
        <f>INDEX(ACT_MACK_RESERVE_SE(B7:K16), 4)</f>
        <v/>
      </c>
    </row>
    <row r="77">
      <c r="A77" s="5" t="n">
        <v>5</v>
      </c>
      <c r="B77" s="8">
        <f>INDEX(ACT_MACK_RESERVE_SE(B7:K16), 5)</f>
        <v/>
      </c>
    </row>
    <row r="78">
      <c r="A78" s="5" t="n">
        <v>6</v>
      </c>
      <c r="B78" s="8">
        <f>INDEX(ACT_MACK_RESERVE_SE(B7:K16), 6)</f>
        <v/>
      </c>
    </row>
    <row r="79">
      <c r="A79" s="5" t="n">
        <v>7</v>
      </c>
      <c r="B79" s="8">
        <f>INDEX(ACT_MACK_RESERVE_SE(B7:K16), 7)</f>
        <v/>
      </c>
    </row>
    <row r="80">
      <c r="A80" s="5" t="n">
        <v>8</v>
      </c>
      <c r="B80" s="8">
        <f>INDEX(ACT_MACK_RESERVE_SE(B7:K16), 8)</f>
        <v/>
      </c>
    </row>
    <row r="81">
      <c r="A81" s="5" t="n">
        <v>9</v>
      </c>
      <c r="B81" s="8">
        <f>INDEX(ACT_MACK_RESERVE_SE(B7:K16), 9)</f>
        <v/>
      </c>
    </row>
    <row r="82">
      <c r="A82" s="5" t="n">
        <v>10</v>
      </c>
      <c r="B82" s="8">
        <f>INDEX(ACT_MACK_RESERVE_SE(B7:K16), 10)</f>
        <v/>
      </c>
    </row>
    <row r="84">
      <c r="A84" s="2" t="inlineStr">
        <is>
          <t>BOOTSTRAP CHAIN LADDER (ODP)</t>
        </is>
      </c>
    </row>
    <row r="85">
      <c r="A85" s="5" t="inlineStr">
        <is>
          <t>Iterations</t>
        </is>
      </c>
      <c r="B85" s="5" t="n">
        <v>1000</v>
      </c>
    </row>
    <row r="86">
      <c r="A86" s="5" t="inlineStr">
        <is>
          <t>Seed</t>
        </is>
      </c>
      <c r="B86" s="5" t="n">
        <v>42</v>
      </c>
    </row>
    <row r="87">
      <c r="A87" s="2" t="inlineStr">
        <is>
          <t>BOOTSTRAP RESULTS (mean, std dev, percentiles)</t>
        </is>
      </c>
    </row>
    <row r="88">
      <c r="A88" s="3" t="inlineStr">
        <is>
          <t>Statistic</t>
        </is>
      </c>
      <c r="B88" s="3" t="inlineStr">
        <is>
          <t>Value</t>
        </is>
      </c>
    </row>
    <row r="89">
      <c r="A89" s="5">
        <f>ACT_BOOTSTRAP_CL(B7:K16, B85, B86)</f>
        <v/>
      </c>
    </row>
    <row r="90">
      <c r="A90" s="2" t="n"/>
    </row>
    <row r="91">
      <c r="A91" s="3" t="n"/>
      <c r="B91" s="3" t="n"/>
      <c r="C91" s="3" t="n"/>
      <c r="D91" s="3" t="inlineStr">
        <is>
          <t>P50</t>
        </is>
      </c>
      <c r="E91" s="3" t="inlineStr">
        <is>
          <t>P75</t>
        </is>
      </c>
      <c r="F91" s="3" t="inlineStr">
        <is>
          <t>P90</t>
        </is>
      </c>
      <c r="G91" s="3" t="inlineStr">
        <is>
          <t>P95</t>
        </is>
      </c>
      <c r="H91" s="3" t="inlineStr">
        <is>
          <t>P99</t>
        </is>
      </c>
    </row>
    <row r="92">
      <c r="A92" s="5" t="n"/>
    </row>
    <row r="93"/>
    <row r="94"/>
    <row r="95"/>
    <row r="96"/>
    <row r="97"/>
    <row r="98"/>
    <row r="99"/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024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U1</t>
        </is>
      </c>
      <c r="B18" s="3" t="inlineStr">
        <is>
          <t>U2</t>
        </is>
      </c>
      <c r="C18" s="3" t="inlineStr">
        <is>
          <t>U3</t>
        </is>
      </c>
    </row>
    <row r="19">
      <c r="A19" s="5">
        <f>ACT_STUDENT_T_COPULA(B7:D9, B12, B13, B14)</f>
        <v/>
      </c>
    </row>
    <row r="1020">
      <c r="A1020" s="2" t="inlineStr">
        <is>
          <t>RANK CORRELATION CHECK (Spearman)</t>
        </is>
      </c>
    </row>
    <row r="1021">
      <c r="A1021" s="3" t="inlineStr">
        <is>
          <t>Pair</t>
        </is>
      </c>
      <c r="B1021" s="3" t="inlineStr">
        <is>
          <t>Target</t>
        </is>
      </c>
      <c r="C1021" s="3" t="inlineStr">
        <is>
          <t>Rank Corr</t>
        </is>
      </c>
    </row>
    <row r="1022">
      <c r="A1022" s="5" t="inlineStr">
        <is>
          <t>U1-U2</t>
        </is>
      </c>
      <c r="B1022" s="5">
        <f>C7</f>
        <v/>
      </c>
      <c r="C1022" s="5">
        <f>LET(x, A19:INDEX(A:A, 19-1+B13), y, B19:INDEX(B:B, 19-1+B13), CORREL(RANK.EQ(x, x, 1), RANK.EQ(y, y, 1)))</f>
        <v/>
      </c>
    </row>
    <row r="1024">
      <c r="A1024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24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RETURN PERIOD TABLE (LOG)</t>
        </is>
      </c>
    </row>
    <row r="21">
      <c r="A21" s="3" t="inlineStr">
        <is>
          <t>Target RP</t>
        </is>
      </c>
      <c r="B21" s="3" t="inlineStr">
        <is>
          <t>Loss</t>
        </is>
      </c>
    </row>
    <row r="22">
      <c r="A22" s="5">
        <f>ACT_RETURN_PERIOD_TABLE(A7:A11, B7:B11, A15:A18, "LOG")</f>
        <v/>
      </c>
    </row>
    <row r="23">
      <c r="A23" s="2" t="inlineStr">
        <is>
          <t>AVERAGE ANNUAL LOSS (AAL) FROM OEP CURVE</t>
        </is>
      </c>
    </row>
    <row r="24">
      <c r="A24" s="6" t="inlineStr">
        <is>
          <t>AAL:</t>
        </is>
      </c>
      <c r="B24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94"/>
  <sheetViews>
    <sheetView workbookViewId="0">
      <selection activeCell="A1" sqref="A1"/>
    </sheetView>
  </sheetViews>
  <sheetFormatPr baseColWidth="8" defaultRowHeight="15"/>
  <cols>
    <col width="35" customWidth="1" min="1" max="1"/>
    <col width="80" customWidth="1" min="2" max="2"/>
  </cols>
  <sheetData>
    <row r="1">
      <c r="A1" s="1" t="inlineStr">
        <is>
          <t>COMPREHENSIVE FUNCTION TESTS</t>
        </is>
      </c>
    </row>
    <row r="3">
      <c r="A3" s="12" t="inlineStr">
        <is>
          <t>DISTRIBUTIONS</t>
        </is>
      </c>
    </row>
    <row r="4">
      <c r="A4" s="12" t="inlineStr">
        <is>
          <t>Poisson (λ=5)</t>
        </is>
      </c>
    </row>
    <row r="5">
      <c r="A5" s="11" t="inlineStr">
        <is>
          <t>ACT_POISSON_PDF</t>
        </is>
      </c>
      <c r="B5">
        <f>ACT_POISSON_PDF(3, 5)</f>
        <v/>
      </c>
    </row>
    <row r="6">
      <c r="A6" s="11" t="inlineStr">
        <is>
          <t>ACT_POISSON_CDF</t>
        </is>
      </c>
      <c r="B6">
        <f>ACT_POISSON_CDF(3, 5)</f>
        <v/>
      </c>
    </row>
    <row r="7">
      <c r="A7" s="11" t="inlineStr">
        <is>
          <t>ACT_POISSON_INV</t>
        </is>
      </c>
      <c r="B7">
        <f>ACT_POISSON_INV(0.5, 5)</f>
        <v/>
      </c>
    </row>
    <row r="9">
      <c r="A9" s="12" t="inlineStr">
        <is>
          <t>Negative Binomial</t>
        </is>
      </c>
    </row>
    <row r="10">
      <c r="A10" s="11" t="inlineStr">
        <is>
          <t>ACT_NEGBIN_PDF</t>
        </is>
      </c>
      <c r="B10">
        <f>ACT_NEGBIN_PDF(5, 5, 0.3)</f>
        <v/>
      </c>
    </row>
    <row r="11">
      <c r="A11" s="11" t="inlineStr">
        <is>
          <t>ACT_NEGBIN_CDF</t>
        </is>
      </c>
      <c r="B11">
        <f>ACT_NEGBIN_CDF(5, 5, 0.3)</f>
        <v/>
      </c>
    </row>
    <row r="12">
      <c r="A12" s="11" t="inlineStr">
        <is>
          <t>ACT_NEGBIN_INV</t>
        </is>
      </c>
      <c r="B12">
        <f>ACT_NEGBIN_INV(0.5, 5, 0.3)</f>
        <v/>
      </c>
    </row>
    <row r="14">
      <c r="A14" s="12" t="inlineStr">
        <is>
          <t>Lognormal (μ=0, σ=1)</t>
        </is>
      </c>
    </row>
    <row r="15">
      <c r="A15" s="11" t="inlineStr">
        <is>
          <t>ACT_LOGNORM_PDF</t>
        </is>
      </c>
      <c r="B15">
        <f>ACT_LOGNORM_PDF(1, 0, 1)</f>
        <v/>
      </c>
    </row>
    <row r="16">
      <c r="A16" s="11" t="inlineStr">
        <is>
          <t>ACT_LOGNORM_CDF</t>
        </is>
      </c>
      <c r="B16">
        <f>ACT_LOGNORM_CDF(1, 0, 1)</f>
        <v/>
      </c>
    </row>
    <row r="17">
      <c r="A17" s="11" t="inlineStr">
        <is>
          <t>ACT_LOGNORM_INV</t>
        </is>
      </c>
      <c r="B17">
        <f>ACT_LOGNORM_INV(0.5, 0, 1)</f>
        <v/>
      </c>
    </row>
    <row r="19">
      <c r="A19" s="12" t="inlineStr">
        <is>
          <t>Gamma (α=2, β=1)</t>
        </is>
      </c>
    </row>
    <row r="20">
      <c r="A20" s="11" t="inlineStr">
        <is>
          <t>ACT_GAMMA_PDF</t>
        </is>
      </c>
      <c r="B20">
        <f>ACT_GAMMA_PDF(1, 2, 1)</f>
        <v/>
      </c>
    </row>
    <row r="21">
      <c r="A21" s="11" t="inlineStr">
        <is>
          <t>ACT_GAMMA_CDF</t>
        </is>
      </c>
      <c r="B21">
        <f>ACT_GAMMA_CDF(1, 2, 1)</f>
        <v/>
      </c>
    </row>
    <row r="22">
      <c r="A22" s="11" t="inlineStr">
        <is>
          <t>ACT_GAMMA_INV</t>
        </is>
      </c>
      <c r="B22">
        <f>ACT_GAMMA_INV(0.5, 2, 1)</f>
        <v/>
      </c>
    </row>
    <row r="24">
      <c r="A24" s="12" t="inlineStr">
        <is>
          <t>Pareto (α=2, xm=1)</t>
        </is>
      </c>
    </row>
    <row r="25">
      <c r="A25" s="11" t="inlineStr">
        <is>
          <t>ACT_PARETO_PDF</t>
        </is>
      </c>
      <c r="B25">
        <f>ACT_PARETO_PDF(2, 2, 1)</f>
        <v/>
      </c>
    </row>
    <row r="26">
      <c r="A26" s="11" t="inlineStr">
        <is>
          <t>ACT_PARETO_CDF</t>
        </is>
      </c>
      <c r="B26">
        <f>ACT_PARETO_CDF(2, 2, 1)</f>
        <v/>
      </c>
    </row>
    <row r="27">
      <c r="A27" s="11" t="inlineStr">
        <is>
          <t>ACT_PARETO_INV</t>
        </is>
      </c>
      <c r="B27">
        <f>ACT_PARETO_INV(0.5, 2, 1)</f>
        <v/>
      </c>
    </row>
    <row r="29">
      <c r="A29" s="12" t="inlineStr">
        <is>
          <t>Weibull (k=2, λ=1)</t>
        </is>
      </c>
    </row>
    <row r="30">
      <c r="A30" s="11" t="inlineStr">
        <is>
          <t>ACT_WEIBULL_PDF</t>
        </is>
      </c>
      <c r="B30">
        <f>ACT_WEIBULL_PDF(1, 2, 1)</f>
        <v/>
      </c>
    </row>
    <row r="31">
      <c r="A31" s="11" t="inlineStr">
        <is>
          <t>ACT_WEIBULL_CDF</t>
        </is>
      </c>
      <c r="B31">
        <f>ACT_WEIBULL_CDF(1, 2, 1)</f>
        <v/>
      </c>
    </row>
    <row r="32">
      <c r="A32" s="11" t="inlineStr">
        <is>
          <t>ACT_WEIBULL_INV</t>
        </is>
      </c>
      <c r="B32">
        <f>ACT_WEIBULL_INV(0.5, 2, 1)</f>
        <v/>
      </c>
    </row>
    <row r="34">
      <c r="A34" s="12" t="inlineStr">
        <is>
          <t>Beta (α=2, β=5)</t>
        </is>
      </c>
    </row>
    <row r="35">
      <c r="A35" s="11" t="inlineStr">
        <is>
          <t>ACT_BETA_PDF</t>
        </is>
      </c>
      <c r="B35">
        <f>ACT_BETA_PDF(0.3, 2, 5)</f>
        <v/>
      </c>
    </row>
    <row r="36">
      <c r="A36" s="11" t="inlineStr">
        <is>
          <t>ACT_BETA_CDF</t>
        </is>
      </c>
      <c r="B36">
        <f>ACT_BETA_CDF(0.3, 2, 5)</f>
        <v/>
      </c>
    </row>
    <row r="37">
      <c r="A37" s="11" t="inlineStr">
        <is>
          <t>ACT_BETA_INV</t>
        </is>
      </c>
      <c r="B37">
        <f>ACT_BETA_INV(0.5, 2, 5)</f>
        <v/>
      </c>
    </row>
    <row r="39">
      <c r="A39" s="12" t="inlineStr">
        <is>
          <t>Exponential (λ=0.5)</t>
        </is>
      </c>
    </row>
    <row r="40">
      <c r="A40" s="11" t="inlineStr">
        <is>
          <t>ACT_EXP_PDF</t>
        </is>
      </c>
      <c r="B40">
        <f>ACT_EXP_PDF(1, 0.5)</f>
        <v/>
      </c>
    </row>
    <row r="41">
      <c r="A41" s="11" t="inlineStr">
        <is>
          <t>ACT_EXP_CDF</t>
        </is>
      </c>
      <c r="B41">
        <f>ACT_EXP_CDF(1, 0.5)</f>
        <v/>
      </c>
    </row>
    <row r="42">
      <c r="A42" s="11" t="inlineStr">
        <is>
          <t>ACT_EXP_INV</t>
        </is>
      </c>
      <c r="B42">
        <f>ACT_EXP_INV(0.5, 0.5)</f>
        <v/>
      </c>
    </row>
    <row r="44">
      <c r="A44" s="12" t="inlineStr">
        <is>
          <t>GPD (ξ=0.5, σ=1)</t>
        </is>
      </c>
    </row>
    <row r="45">
      <c r="A45" s="11" t="inlineStr">
        <is>
          <t>ACT_GPD_PDF</t>
        </is>
      </c>
      <c r="B45">
        <f>ACT_GPD_PDF(1, 0.5, 1)</f>
        <v/>
      </c>
    </row>
    <row r="46">
      <c r="A46" s="11" t="inlineStr">
        <is>
          <t>ACT_GPD_CDF</t>
        </is>
      </c>
      <c r="B46">
        <f>ACT_GPD_CDF(1, 0.5, 1)</f>
        <v/>
      </c>
    </row>
    <row r="47">
      <c r="A47" s="11" t="inlineStr">
        <is>
          <t>ACT_GPD_INV</t>
        </is>
      </c>
      <c r="B47">
        <f>ACT_GPD_INV(0.5, 0.5, 1)</f>
        <v/>
      </c>
    </row>
    <row r="49">
      <c r="A49" s="12" t="inlineStr">
        <is>
          <t>Burr XII (c=2, k=3, λ=1)</t>
        </is>
      </c>
    </row>
    <row r="50">
      <c r="A50" s="11" t="inlineStr">
        <is>
          <t>ACT_BURR_PDF</t>
        </is>
      </c>
      <c r="B50">
        <f>ACT_BURR_PDF(1, 2, 3, 1)</f>
        <v/>
      </c>
    </row>
    <row r="51">
      <c r="A51" s="11" t="inlineStr">
        <is>
          <t>ACT_BURR_CDF</t>
        </is>
      </c>
      <c r="B51">
        <f>ACT_BURR_CDF(1, 2, 3, 1)</f>
        <v/>
      </c>
    </row>
    <row r="52">
      <c r="A52" s="11" t="inlineStr">
        <is>
          <t>ACT_BURR_INV</t>
        </is>
      </c>
      <c r="B52">
        <f>ACT_BURR_INV(0.5, 2, 3, 1)</f>
        <v/>
      </c>
    </row>
    <row r="54">
      <c r="A54" s="12" t="inlineStr">
        <is>
          <t>EXPOSURE CURVES</t>
        </is>
      </c>
    </row>
    <row r="55">
      <c r="A55" s="11" t="inlineStr">
        <is>
          <t>ACT_MBBEFD</t>
        </is>
      </c>
      <c r="B55">
        <f>ACT_MBBEFD(0.5, 2, 3)</f>
        <v/>
      </c>
    </row>
    <row r="56">
      <c r="A56" s="11" t="inlineStr">
        <is>
          <t>ACT_SWISSRE_CURVE</t>
        </is>
      </c>
      <c r="B56">
        <f>ACT_SWISSRE_CURVE(0.5, 3)</f>
        <v/>
      </c>
    </row>
    <row r="57">
      <c r="A57" s="11" t="inlineStr">
        <is>
          <t>ACT_LLOYDS_CURVE</t>
        </is>
      </c>
      <c r="B57">
        <f>ACT_LLOYDS_CURVE(0.5, 2)</f>
        <v/>
      </c>
    </row>
    <row r="58">
      <c r="A58" s="11" t="inlineStr">
        <is>
          <t>ACT_POWER_CURVE</t>
        </is>
      </c>
      <c r="B58">
        <f>ACT_POWER_CURVE(0.5, 2)</f>
        <v/>
      </c>
    </row>
    <row r="59">
      <c r="A59" s="11" t="inlineStr">
        <is>
          <t>ACT_INVERSE_POWER_CURVE</t>
        </is>
      </c>
      <c r="B59">
        <f>ACT_INVERSE_POWER_CURVE(0.5, 2)</f>
        <v/>
      </c>
    </row>
    <row r="60">
      <c r="A60" s="11" t="inlineStr">
        <is>
          <t>ACT_PARETO_EXPOSURE</t>
        </is>
      </c>
      <c r="B60">
        <f>ACT_PARETO_EXPOSURE(0.5, 2)</f>
        <v/>
      </c>
    </row>
    <row r="61">
      <c r="A61" s="11" t="inlineStr">
        <is>
          <t>ACT_RIEBESELL_CURVE</t>
        </is>
      </c>
      <c r="B61">
        <f>ACT_RIEBESELL_CURVE(0.5, 0.8)</f>
        <v/>
      </c>
    </row>
    <row r="63">
      <c r="A63" s="12" t="inlineStr">
        <is>
          <t>REINSURANCE</t>
        </is>
      </c>
    </row>
    <row r="64">
      <c r="A64" s="11" t="inlineStr">
        <is>
          <t>ACT_XOL_LAYER_LOSS</t>
        </is>
      </c>
      <c r="B64">
        <f>ACT_XOL_LAYER_LOSS(5000000, 1000000, 4000000)</f>
        <v/>
      </c>
    </row>
    <row r="65">
      <c r="A65" s="11" t="inlineStr">
        <is>
          <t>ACT_QS_CEDED</t>
        </is>
      </c>
      <c r="B65">
        <f>ACT_QS_CEDED(1000000, 0.5)</f>
        <v/>
      </c>
    </row>
    <row r="66">
      <c r="A66" s="11" t="inlineStr">
        <is>
          <t>ACT_AGGREGATE_LAYER</t>
        </is>
      </c>
      <c r="B66">
        <f>ACT_AGGREGATE_LAYER(15000000, 2000000, 10000000)</f>
        <v/>
      </c>
    </row>
    <row r="67">
      <c r="A67" s="11" t="inlineStr">
        <is>
          <t>ACT_ILF_PARETO</t>
        </is>
      </c>
      <c r="B67">
        <f>ACT_ILF_PARETO(2000000, 1000000, 2)</f>
        <v/>
      </c>
    </row>
    <row r="68">
      <c r="A68" s="11" t="inlineStr">
        <is>
          <t>ACT_LAYER_RATE_ON_LINE</t>
        </is>
      </c>
      <c r="B68">
        <f>ACT_LAYER_RATE_ON_LINE(100000, 1000000, 4000000)</f>
        <v/>
      </c>
    </row>
    <row r="69">
      <c r="A69" s="11" t="inlineStr">
        <is>
          <t>ACT_AAL_FROM_OEP</t>
        </is>
      </c>
      <c r="B69">
        <f>ACT_AAL_FROM_OEP({100,50,25,10,5}, {1000000,2000000,3000000,5000000,10000000})</f>
        <v/>
      </c>
    </row>
    <row r="71">
      <c r="A71" s="12" t="inlineStr">
        <is>
          <t>INTERPOLATION</t>
        </is>
      </c>
    </row>
    <row r="72">
      <c r="A72" s="11" t="inlineStr">
        <is>
          <t>ACT_INTERP</t>
        </is>
      </c>
      <c r="B72">
        <f>ACT_INTERP({1,2,3,4,5}, {10,20,35,55,80}, 2.5, "LINEAR")</f>
        <v/>
      </c>
    </row>
    <row r="73">
      <c r="A73" s="11" t="inlineStr">
        <is>
          <t>ACT_INTERP_LOG</t>
        </is>
      </c>
      <c r="B73">
        <f>ACT_INTERP_LOG({1,2,3,4,5}, {10,20,35,55,80}, 2.5)</f>
        <v/>
      </c>
    </row>
    <row r="75">
      <c r="A75" s="12" t="inlineStr">
        <is>
          <t>CREDIBILITY</t>
        </is>
      </c>
    </row>
    <row r="76">
      <c r="A76" s="11" t="inlineStr">
        <is>
          <t>ACT_CREDIBILITY_BUHLMANN</t>
        </is>
      </c>
      <c r="B76">
        <f>ACT_CREDIBILITY_BUHLMANN(10, 5)</f>
        <v/>
      </c>
    </row>
    <row r="77">
      <c r="A77" s="11" t="inlineStr">
        <is>
          <t>ACT_CREDIBILITY_ESTIMATE</t>
        </is>
      </c>
      <c r="B77">
        <f>ACT_CREDIBILITY_ESTIMATE(10, 5, 0.05, 0.03)</f>
        <v/>
      </c>
    </row>
    <row r="78">
      <c r="A78" s="11" t="inlineStr">
        <is>
          <t>ACT_EXPERIENCE_MOD</t>
        </is>
      </c>
      <c r="B78">
        <f>ACT_EXPERIENCE_MOD(0.7, 50000, 70000)</f>
        <v/>
      </c>
    </row>
    <row r="79">
      <c r="A79" s="11" t="inlineStr">
        <is>
          <t>ACT_FULL_CREDIBILITY_STANDARD</t>
        </is>
      </c>
      <c r="B79">
        <f>ACT_FULL_CREDIBILITY_STANDARD(0.05, 0.90, 1.5)</f>
        <v/>
      </c>
    </row>
    <row r="80">
      <c r="A80" s="11" t="inlineStr">
        <is>
          <t>ACT_PARTIAL_CREDIBILITY</t>
        </is>
      </c>
      <c r="B80">
        <f>ACT_PARTIAL_CREDIBILITY(500, 1082)</f>
        <v/>
      </c>
    </row>
    <row r="81">
      <c r="A81" s="11" t="inlineStr">
        <is>
          <t>ACT_BURNING_COST</t>
        </is>
      </c>
      <c r="B81">
        <f>ACT_BURNING_COST({50000,60000,40000}, {1000000,1100000,1050000})</f>
        <v/>
      </c>
    </row>
    <row r="82">
      <c r="A82" s="11" t="inlineStr">
        <is>
          <t>ACT_LOSS_ELIMINATION_RATIO</t>
        </is>
      </c>
      <c r="B82">
        <f>ACT_LOSS_ELIMINATION_RATIO(10000, 2, 1000)</f>
        <v/>
      </c>
    </row>
    <row r="83">
      <c r="A83" s="11" t="inlineStr">
        <is>
          <t>ACT_DEDUCTIBLE_CREDIT</t>
        </is>
      </c>
      <c r="B83">
        <f>ACT_DEDUCTIBLE_CREDIT(10000, 2, 1000)</f>
        <v/>
      </c>
    </row>
    <row r="85">
      <c r="A85" s="12" t="inlineStr">
        <is>
          <t>COPULAS</t>
        </is>
      </c>
    </row>
    <row r="86">
      <c r="A86" s="11" t="inlineStr">
        <is>
          <t>ACT_COPULA_GAUSSIAN_SINGLE</t>
        </is>
      </c>
      <c r="B86">
        <f>ACT_COPULA_GAUSSIAN_SINGLE({1,0.5;0.5,1}, 42)</f>
        <v/>
      </c>
    </row>
    <row r="87">
      <c r="A87" s="11" t="inlineStr">
        <is>
          <t>ACT_COPULA_STUDENT_T_SINGLE</t>
        </is>
      </c>
      <c r="B87">
        <f>ACT_COPULA_STUDENT_T_SINGLE({1,0.5;0.5,1}, 5, 42)</f>
        <v/>
      </c>
    </row>
    <row r="88">
      <c r="A88" s="11" t="inlineStr">
        <is>
          <t>ACT_COPULA_CLAYTON_SINGLE</t>
        </is>
      </c>
      <c r="B88">
        <f>ACT_COPULA_CLAYTON_SINGLE(2, 42)</f>
        <v/>
      </c>
    </row>
    <row r="89">
      <c r="A89" s="11" t="inlineStr">
        <is>
          <t>ACT_COPULA_FRANK_SINGLE</t>
        </is>
      </c>
      <c r="B89">
        <f>ACT_COPULA_FRANK_SINGLE(5, 42)</f>
        <v/>
      </c>
    </row>
    <row r="90">
      <c r="A90" s="11" t="inlineStr">
        <is>
          <t>ACT_COPULA_GUMBEL_SINGLE</t>
        </is>
      </c>
      <c r="B90">
        <f>ACT_COPULA_GUMBEL_SINGLE(2, 42)</f>
        <v/>
      </c>
    </row>
    <row r="91">
      <c r="A91" s="11" t="inlineStr">
        <is>
          <t>ACT_COPULA_CLAYTON_CDF</t>
        </is>
      </c>
      <c r="B91">
        <f>ACT_COPULA_CLAYTON_CDF(0.5, 0.5, 2)</f>
        <v/>
      </c>
    </row>
    <row r="92">
      <c r="A92" s="11" t="inlineStr">
        <is>
          <t>ACT_COPULA_TAU_TO_THETA</t>
        </is>
      </c>
      <c r="B92">
        <f>ACT_COPULA_TAU_TO_THETA(0.5, "CLAYTON")</f>
        <v/>
      </c>
    </row>
    <row r="93">
      <c r="A93" s="11" t="inlineStr">
        <is>
          <t>ACT_COPULA_TAIL_LOWER</t>
        </is>
      </c>
      <c r="B93">
        <f>ACT_COPULA_TAIL_LOWER("CLAYTON", 2)</f>
        <v/>
      </c>
    </row>
    <row r="94">
      <c r="A94" s="11" t="inlineStr">
        <is>
          <t>ACT_COPULA_TAIL_UPPER</t>
        </is>
      </c>
      <c r="B94">
        <f>ACT_COPULA_TAIL_UPPER("GUMBEL", 2)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F56"/>
  <sheetViews>
    <sheetView workbookViewId="0">
      <selection activeCell="A1" sqref="A1"/>
    </sheetView>
  </sheetViews>
  <sheetFormatPr baseColWidth="8" defaultRowHeight="15"/>
  <cols>
    <col width="40" customWidth="1" min="1" max="1"/>
    <col width="50" customWidth="1" min="2" max="2"/>
  </cols>
  <sheetData>
    <row r="1">
      <c r="A1" s="1" t="inlineStr">
        <is>
          <t>ARRAY FORMULA DEMONSTRATION</t>
        </is>
      </c>
    </row>
    <row r="3">
      <c r="A3" s="11" t="inlineStr">
        <is>
          <t>These formulas return arrays that spill in Excel 365.</t>
        </is>
      </c>
    </row>
    <row r="4">
      <c r="A4" t="inlineStr">
        <is>
          <t>If you see @ prefix, delete it - the formula should spill into empty cells.</t>
        </is>
      </c>
    </row>
    <row r="6">
      <c r="A6" s="11" t="inlineStr">
        <is>
          <t>Test Triangle:</t>
        </is>
      </c>
    </row>
    <row r="7">
      <c r="B7" t="n">
        <v>100</v>
      </c>
      <c r="C7" t="n">
        <v>150</v>
      </c>
      <c r="D7" t="n">
        <v>170</v>
      </c>
      <c r="E7" t="n">
        <v>180</v>
      </c>
      <c r="F7" t="n">
        <v>185</v>
      </c>
    </row>
    <row r="8">
      <c r="B8" t="n">
        <v>110</v>
      </c>
      <c r="C8" t="n">
        <v>165</v>
      </c>
      <c r="D8" t="n">
        <v>190</v>
      </c>
      <c r="E8" t="n">
        <v>200</v>
      </c>
    </row>
    <row r="9">
      <c r="B9" t="n">
        <v>120</v>
      </c>
      <c r="C9" t="n">
        <v>180</v>
      </c>
      <c r="D9" t="n">
        <v>210</v>
      </c>
    </row>
    <row r="10">
      <c r="B10" t="n">
        <v>130</v>
      </c>
      <c r="C10" t="n">
        <v>195</v>
      </c>
    </row>
    <row r="11">
      <c r="B11" t="n">
        <v>140</v>
      </c>
    </row>
    <row r="13">
      <c r="A13" s="11" t="inlineStr">
        <is>
          <t>ACT_CL_FACTORS (spills right →)</t>
        </is>
      </c>
    </row>
    <row r="14">
      <c r="A14" t="inlineStr">
        <is>
          <t>Formula:</t>
        </is>
      </c>
      <c r="B14">
        <f>ACT_CL_FACTORS(B7:F11)</f>
        <v/>
      </c>
    </row>
    <row r="15">
      <c r="A15" t="inlineStr">
        <is>
          <t>Result:</t>
        </is>
      </c>
    </row>
    <row r="17">
      <c r="A17" s="11" t="inlineStr">
        <is>
          <t>ACT_CL_LATEST (spills down ↓)</t>
        </is>
      </c>
    </row>
    <row r="18">
      <c r="A18" t="inlineStr">
        <is>
          <t>Formula:</t>
        </is>
      </c>
      <c r="B18">
        <f>ACT_CL_LATEST(B7:F11)</f>
        <v/>
      </c>
    </row>
    <row r="19">
      <c r="A19" t="inlineStr">
        <is>
          <t>Result:</t>
        </is>
      </c>
    </row>
    <row r="25">
      <c r="A25" s="11" t="inlineStr">
        <is>
          <t>ACT_CL_ULTIMATE (spills down ↓)</t>
        </is>
      </c>
    </row>
    <row r="26">
      <c r="A26" t="inlineStr">
        <is>
          <t>Formula:</t>
        </is>
      </c>
      <c r="B26">
        <f>ACT_CL_ULTIMATE(B7:F11)</f>
        <v/>
      </c>
    </row>
    <row r="27">
      <c r="A27" t="inlineStr">
        <is>
          <t>Result:</t>
        </is>
      </c>
    </row>
    <row r="33">
      <c r="A33" s="11" t="inlineStr">
        <is>
          <t>ACT_BOOTSTRAP_CL (spills as table ↓→)</t>
        </is>
      </c>
    </row>
    <row r="34">
      <c r="A34" t="inlineStr">
        <is>
          <t>Formula:</t>
        </is>
      </c>
      <c r="B34">
        <f>ACT_BOOTSTRAP_CL(B7:F11, 100, 42)</f>
        <v/>
      </c>
    </row>
    <row r="35">
      <c r="A35" t="inlineStr">
        <is>
          <t>Result:</t>
        </is>
      </c>
    </row>
    <row r="45">
      <c r="A45" s="11" t="inlineStr">
        <is>
          <t>ACT_COPULA_GAUSSIAN (spills as table)</t>
        </is>
      </c>
    </row>
    <row r="46">
      <c r="A46" t="inlineStr">
        <is>
          <t>Formula:</t>
        </is>
      </c>
      <c r="B46">
        <f>ACT_COPULA_GAUSSIAN({1,0.5;0.5,1}, 5, 42)</f>
        <v/>
      </c>
    </row>
    <row r="47">
      <c r="A47" t="inlineStr">
        <is>
          <t>Result:</t>
        </is>
      </c>
    </row>
    <row r="54">
      <c r="A54" s="11" t="inlineStr">
        <is>
          <t>ACT_COMMIT_HISTORY (spills as table)</t>
        </is>
      </c>
    </row>
    <row r="55">
      <c r="A55" t="inlineStr">
        <is>
          <t>Formula:</t>
        </is>
      </c>
      <c r="B55">
        <f>ACT_COMMIT_HISTORY()</f>
        <v/>
      </c>
    </row>
    <row r="56">
      <c r="A56" t="inlineStr">
        <is>
          <t>Result: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2026-01-18T20:20:49Z</dcterms:modified>
  <cp:lastModifiedBy>Matthew Evans</cp:lastModifiedBy>
</cp:coreProperties>
</file>