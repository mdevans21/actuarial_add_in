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3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>
      <c r="A66" t="inlineStr">
        <is>
          <t>Normal Distribution (μ=0, σ=1)</t>
        </is>
      </c>
    </row>
    <row r="67">
      <c r="A67" t="inlineStr">
        <is>
          <t>ACT_DIST_NORMAL_PDF</t>
        </is>
      </c>
      <c r="B67">
        <f>ACT_DIST_NORMAL_PDF(0, 0, 1)</f>
        <v/>
      </c>
      <c r="C67" t="inlineStr">
        <is>
          <t>φ(0) = 0.3989</t>
        </is>
      </c>
    </row>
    <row r="68">
      <c r="A68" t="inlineStr">
        <is>
          <t>ACT_DIST_NORMAL_CDF</t>
        </is>
      </c>
      <c r="B68">
        <f>ACT_DIST_NORMAL_CDF(0, 0, 1)</f>
        <v/>
      </c>
      <c r="C68" t="inlineStr">
        <is>
          <t>Φ(0) = 0.5</t>
        </is>
      </c>
    </row>
    <row r="69">
      <c r="A69" t="inlineStr">
        <is>
          <t>ACT_DIST_NORMAL_INV</t>
        </is>
      </c>
      <c r="B69">
        <f>ACT_DIST_NORMAL_INV(0.975, 0, 1)</f>
        <v/>
      </c>
      <c r="C69" t="inlineStr">
        <is>
          <t>97.5th percentile = 1.96</t>
        </is>
      </c>
    </row>
    <row r="70"/>
    <row r="71">
      <c r="A71" t="inlineStr">
        <is>
          <t>Lomax / Pareto II (α=2, λ=1)</t>
        </is>
      </c>
    </row>
    <row r="72">
      <c r="A72" t="inlineStr">
        <is>
          <t>ACT_DIST_LOMAX_PDF</t>
        </is>
      </c>
      <c r="B72">
        <f>ACT_DIST_LOMAX_PDF(1, 2, 1)</f>
        <v/>
      </c>
      <c r="C72" t="inlineStr">
        <is>
          <t>f(1)</t>
        </is>
      </c>
    </row>
    <row r="73">
      <c r="A73" t="inlineStr">
        <is>
          <t>ACT_DIST_LOMAX_CDF</t>
        </is>
      </c>
      <c r="B73">
        <f>ACT_DIST_LOMAX_CDF(1, 2, 1)</f>
        <v/>
      </c>
      <c r="C73" t="inlineStr">
        <is>
          <t>F(1) = 0.75</t>
        </is>
      </c>
    </row>
    <row r="74">
      <c r="A74" t="inlineStr">
        <is>
          <t>ACT_DIST_LOMAX_INV</t>
        </is>
      </c>
      <c r="B74">
        <f>ACT_DIST_LOMAX_INV(0.5, 2, 1)</f>
        <v/>
      </c>
      <c r="C74" t="inlineStr">
        <is>
          <t>Median</t>
        </is>
      </c>
    </row>
    <row r="75"/>
    <row r="76">
      <c r="A76" t="inlineStr">
        <is>
          <t>Fackler Composite Distributions</t>
        </is>
      </c>
    </row>
    <row r="77">
      <c r="A77" t="inlineStr">
        <is>
          <t>ACT_DIST_LNPARETO_PDF</t>
        </is>
      </c>
      <c r="B77">
        <f>ACT_DIST_LNPARETO_PDF(5, 0, 1, 10)</f>
        <v/>
      </c>
      <c r="C77" t="inlineStr">
        <is>
          <t>LN-Pareto PDF at x=5, μ=0, σ=1, θ=10</t>
        </is>
      </c>
    </row>
    <row r="78">
      <c r="A78" t="inlineStr">
        <is>
          <t>ACT_DIST_LNPARETO_CDF</t>
        </is>
      </c>
      <c r="B78">
        <f>ACT_DIST_LNPARETO_CDF(5, 0, 1, 10)</f>
        <v/>
      </c>
      <c r="C78" t="inlineStr">
        <is>
          <t>LN-Pareto CDF</t>
        </is>
      </c>
    </row>
    <row r="79">
      <c r="A79" t="inlineStr">
        <is>
          <t>ACT_DIST_LNPARETO_ALPHA</t>
        </is>
      </c>
      <c r="B79">
        <f>ACT_DIST_LNPARETO_ALPHA(0, 1, 10)</f>
        <v/>
      </c>
      <c r="C79" t="inlineStr">
        <is>
          <t>Derived tail index α</t>
        </is>
      </c>
    </row>
    <row r="80">
      <c r="A80" t="inlineStr">
        <is>
          <t>ACT_DIST_EXPPARETO_PDF</t>
        </is>
      </c>
      <c r="B80">
        <f>ACT_DIST_EXPPARETO_PDF(5, 0.5, 10)</f>
        <v/>
      </c>
      <c r="C80" t="inlineStr">
        <is>
          <t>Exp-Pareto PDF at x=5, rate=0.5, θ=10</t>
        </is>
      </c>
    </row>
    <row r="81">
      <c r="A81" t="inlineStr">
        <is>
          <t>ACT_DIST_EXPPARETO_CDF</t>
        </is>
      </c>
      <c r="B81">
        <f>ACT_DIST_EXPPARETO_CDF(5, 0.5, 10)</f>
        <v/>
      </c>
      <c r="C81" t="inlineStr">
        <is>
          <t>Exp-Pareto CDF</t>
        </is>
      </c>
    </row>
    <row r="82">
      <c r="A82" t="inlineStr">
        <is>
          <t>ACT_DIST_EXPPARETO_ALPHA</t>
        </is>
      </c>
      <c r="B82">
        <f>ACT_DIST_EXPPARETO_ALPHA(0.5, 10)</f>
        <v/>
      </c>
      <c r="C82" t="inlineStr">
        <is>
          <t>α = θ × rate = 5</t>
        </is>
      </c>
    </row>
    <row r="83">
      <c r="A83" t="inlineStr">
        <is>
          <t>ACT_DIST_POWPARETO_PDF</t>
        </is>
      </c>
      <c r="B83">
        <f>ACT_DIST_POWPARETO_PDF(5, 2, 0.5, 10)</f>
        <v/>
      </c>
      <c r="C83" t="inlineStr">
        <is>
          <t>Power-Pareto PDF at x=5, α=2, β=0.5, θ=10</t>
        </is>
      </c>
    </row>
    <row r="84">
      <c r="A84" t="inlineStr">
        <is>
          <t>ACT_DIST_POWPARETO_CDF</t>
        </is>
      </c>
      <c r="B84">
        <f>ACT_DIST_POWPARETO_CDF(5, 2, 0.5, 10)</f>
        <v/>
      </c>
      <c r="C84" t="inlineStr">
        <is>
          <t>Power-Pareto CDF</t>
        </is>
      </c>
    </row>
    <row r="85"/>
    <row r="86"/>
    <row r="87"/>
    <row r="88"/>
    <row r="89">
      <c r="A89" s="13" t="inlineStr">
        <is>
          <t>EXPOSURE CURVES</t>
        </is>
      </c>
    </row>
    <row r="90"/>
    <row r="91">
      <c r="A91" s="11" t="inlineStr">
        <is>
          <t>ACT_EXPOSURE_MBBEFD</t>
        </is>
      </c>
      <c r="B91">
        <f>ACT_EXPOSURE_MBBEFD(0.5, 2, 3)</f>
        <v/>
      </c>
      <c r="C91" t="inlineStr">
        <is>
          <t>MBBEFD at d=0.5, b=2, g=3</t>
        </is>
      </c>
    </row>
    <row r="92">
      <c r="A92" s="11" t="inlineStr">
        <is>
          <t>ACT_EXPOSURE_SWISSRE</t>
        </is>
      </c>
      <c r="B92">
        <f>ACT_EXPOSURE_SWISSRE(0.5, 1)</f>
        <v/>
      </c>
      <c r="C92" t="inlineStr">
        <is>
          <t>Swiss Re curve 1 (light)</t>
        </is>
      </c>
    </row>
    <row r="93">
      <c r="A93" s="11" t="inlineStr">
        <is>
          <t>ACT_EXPOSURE_SWISSRE</t>
        </is>
      </c>
      <c r="B93">
        <f>ACT_EXPOSURE_SWISSRE(0.5, 3)</f>
        <v/>
      </c>
      <c r="C93" t="inlineStr">
        <is>
          <t>Swiss Re curve 3 (medium)</t>
        </is>
      </c>
    </row>
    <row r="94">
      <c r="A94" s="11" t="inlineStr">
        <is>
          <t>ACT_EXPOSURE_SWISSRE</t>
        </is>
      </c>
      <c r="B94">
        <f>ACT_EXPOSURE_SWISSRE(0.5, 5)</f>
        <v/>
      </c>
      <c r="C94" t="inlineStr">
        <is>
          <t>Swiss Re curve 5 (heavy)</t>
        </is>
      </c>
    </row>
    <row r="95">
      <c r="A95" s="11" t="inlineStr">
        <is>
          <t>ACT_EXPOSURE_LLOYDS</t>
        </is>
      </c>
      <c r="B95">
        <f>ACT_EXPOSURE_LLOYDS(0.5, 1)</f>
        <v/>
      </c>
      <c r="C95" t="inlineStr">
        <is>
          <t>Lloyd's Y1 curve</t>
        </is>
      </c>
    </row>
    <row r="96">
      <c r="A96" s="11" t="inlineStr">
        <is>
          <t>ACT_EXPOSURE_LLOYDS</t>
        </is>
      </c>
      <c r="B96">
        <f>ACT_EXPOSURE_LLOYDS(0.5, 2)</f>
        <v/>
      </c>
      <c r="C96" t="inlineStr">
        <is>
          <t>Lloyd's Y2 curve</t>
        </is>
      </c>
    </row>
    <row r="97">
      <c r="A97" s="11" t="inlineStr">
        <is>
          <t>ACT_EXPOSURE_LLOYDS</t>
        </is>
      </c>
      <c r="B97">
        <f>ACT_EXPOSURE_LLOYDS(0.5, 3)</f>
        <v/>
      </c>
      <c r="C97" t="inlineStr">
        <is>
          <t>Lloyd's Y3 curve</t>
        </is>
      </c>
    </row>
    <row r="98">
      <c r="A98" s="11" t="inlineStr">
        <is>
          <t>ACT_EXPOSURE_LLOYDS</t>
        </is>
      </c>
      <c r="B98">
        <f>ACT_EXPOSURE_LLOYDS(0.5, 4)</f>
        <v/>
      </c>
      <c r="C98" t="inlineStr">
        <is>
          <t>Lloyd's Y4 curve</t>
        </is>
      </c>
    </row>
    <row r="99">
      <c r="A99" s="11" t="inlineStr">
        <is>
          <t>ACT_EXPOSURE_POWER</t>
        </is>
      </c>
      <c r="B99">
        <f>ACT_EXPOSURE_POWER(0.5, 2)</f>
        <v/>
      </c>
      <c r="C99" t="inlineStr">
        <is>
          <t>Power curve n=2</t>
        </is>
      </c>
    </row>
    <row r="100">
      <c r="A100" s="11" t="inlineStr">
        <is>
          <t>ACT_EXPOSURE_INVERSE_POWER</t>
        </is>
      </c>
      <c r="B100">
        <f>ACT_EXPOSURE_INVERSE_POWER(0.5, 2)</f>
        <v/>
      </c>
      <c r="C100" t="inlineStr">
        <is>
          <t>Inverse power n=2</t>
        </is>
      </c>
    </row>
    <row r="101">
      <c r="A101" s="11" t="inlineStr">
        <is>
          <t>ACT_EXPOSURE_PARETO</t>
        </is>
      </c>
      <c r="B101">
        <f>ACT_EXPOSURE_PARETO(0.5, 2)</f>
        <v/>
      </c>
      <c r="C101" t="inlineStr">
        <is>
          <t>Pareto exposure α=2</t>
        </is>
      </c>
    </row>
    <row r="102">
      <c r="A102" s="11" t="inlineStr">
        <is>
          <t>ACT_EXPOSURE_RIEBESELL</t>
        </is>
      </c>
      <c r="B102">
        <f>ACT_EXPOSURE_RIEBESELL(0.5, 0.8)</f>
        <v/>
      </c>
      <c r="C102" t="inlineStr">
        <is>
          <t>Riebesell c=0.8</t>
        </is>
      </c>
    </row>
    <row r="103">
      <c r="A103" s="11" t="inlineStr">
        <is>
          <t>ACT_EXPOSURE_RIEBESELL_INV</t>
        </is>
      </c>
      <c r="B103">
        <f>ACT_EXPOSURE_RIEBESELL_INV(0.7, 0.8)</f>
        <v/>
      </c>
      <c r="C103" t="inlineStr">
        <is>
          <t>Inverse Riebesell</t>
        </is>
      </c>
    </row>
    <row r="104"/>
    <row r="105">
      <c r="A105" s="13" t="inlineStr">
        <is>
          <t>REINSURANCE</t>
        </is>
      </c>
    </row>
    <row r="106"/>
    <row r="107">
      <c r="A107" s="11" t="inlineStr">
        <is>
          <t>ACT_XOL_LAYER_LOSS</t>
        </is>
      </c>
      <c r="B107">
        <f>ACT_XOL_LAYER_LOSS(5000000, 1000000, 4000000)</f>
        <v/>
      </c>
      <c r="C107" t="inlineStr">
        <is>
          <t>Layer loss: 5M ground-up, 4M xs 1M</t>
        </is>
      </c>
    </row>
    <row r="108">
      <c r="A108" s="11" t="inlineStr">
        <is>
          <t>ACT_XOL_EXPECTED_LOSS</t>
        </is>
      </c>
      <c r="B108">
        <f>ACT_XOL_EXPECTED_LOSS(1000000, 4000000, 2, 100000, 0.1)</f>
        <v/>
      </c>
      <c r="C108" t="inlineStr">
        <is>
          <t>Expected layer loss</t>
        </is>
      </c>
    </row>
    <row r="109">
      <c r="A109" s="11" t="inlineStr">
        <is>
          <t>ACT_ILF_PARETO</t>
        </is>
      </c>
      <c r="B109">
        <f>ACT_ILF_PARETO(2000000, 1000000, 2)</f>
        <v/>
      </c>
      <c r="C109" t="inlineStr">
        <is>
          <t>ILF at 2M, base 1M, α=2</t>
        </is>
      </c>
    </row>
    <row r="110">
      <c r="A110" s="11" t="inlineStr">
        <is>
          <t>ACT_EXPOSURE_LAYER_RATE</t>
        </is>
      </c>
      <c r="B110">
        <f>ACT_EXPOSURE_LAYER_RATE(100000, 1000000, 4000000)</f>
        <v/>
      </c>
      <c r="C110" t="inlineStr">
        <is>
          <t>Rate on line</t>
        </is>
      </c>
    </row>
    <row r="111"/>
    <row r="112">
      <c r="A112" s="13" t="inlineStr">
        <is>
          <t>Return Period Functions</t>
        </is>
      </c>
    </row>
    <row r="113">
      <c r="A113" s="11" t="inlineStr">
        <is>
          <t>ACT_RETURN_PERIOD_LOSS</t>
        </is>
      </c>
      <c r="B113">
        <f>ACT_RETURN_PERIOD_LOSS({100,50,25,10,5}, {1000000,2000000,3000000,5000000,10000000}, 20, "LOG")</f>
        <v/>
      </c>
      <c r="C113" t="inlineStr">
        <is>
          <t>20-year loss</t>
        </is>
      </c>
    </row>
    <row r="114">
      <c r="A114" s="11" t="inlineStr">
        <is>
          <t>ACT_RETURN_PERIOD_TABLE</t>
        </is>
      </c>
      <c r="B114">
        <f>ACT_RETURN_PERIOD_TABLE({100,50,25,10,5}, {1000000,2000000,3000000,5000000,10000000}, {10,25,50,100})</f>
        <v/>
      </c>
      <c r="C114" t="inlineStr">
        <is>
          <t>RP table (array)</t>
        </is>
      </c>
    </row>
    <row r="115">
      <c r="A115" s="11" t="inlineStr">
        <is>
          <t>ACT_AAL_FROM_OEP</t>
        </is>
      </c>
      <c r="B115">
        <f>ACT_AAL_FROM_OEP({100,50,25,10,5}, {1000000,2000000,3000000,5000000,10000000})</f>
        <v/>
      </c>
      <c r="C115" t="inlineStr">
        <is>
          <t>AAL from OEP curve</t>
        </is>
      </c>
    </row>
    <row r="116"/>
    <row r="117">
      <c r="A117" s="13" t="inlineStr">
        <is>
          <t>INTERPOLATION</t>
        </is>
      </c>
    </row>
    <row r="118"/>
    <row r="119">
      <c r="A119" s="11" t="inlineStr">
        <is>
          <t>ACT_INTERP</t>
        </is>
      </c>
      <c r="B119">
        <f>ACT_INTERP({1,2,3,4,5}, {10,20,35,55,80}, 2.5, "LINEAR")</f>
        <v/>
      </c>
      <c r="C119" t="inlineStr">
        <is>
          <t>Linear interpolation</t>
        </is>
      </c>
    </row>
    <row r="120">
      <c r="A120" s="11" t="inlineStr">
        <is>
          <t>ACT_INTERP</t>
        </is>
      </c>
      <c r="B120">
        <f>ACT_INTERP({1,2,3,4,5}, {10,20,35,55,80}, 0.5, "FLAT")</f>
        <v/>
      </c>
      <c r="C120" t="inlineStr">
        <is>
          <t>Flat extrapolation</t>
        </is>
      </c>
    </row>
    <row r="121">
      <c r="A121" s="11" t="inlineStr">
        <is>
          <t>ACT_INTERP</t>
        </is>
      </c>
      <c r="B121">
        <f>ACT_INTERP({1,2,3,4,5}, {10,20,35,55,80}, 6, "GRADIENT")</f>
        <v/>
      </c>
      <c r="C121" t="inlineStr">
        <is>
          <t>Gradient extrapolation</t>
        </is>
      </c>
    </row>
    <row r="122">
      <c r="A122" s="11" t="inlineStr">
        <is>
          <t>ACT_INTERP_LOG</t>
        </is>
      </c>
      <c r="B122">
        <f>ACT_INTERP_LOG({1,2,3,4,5}, {10,20,35,55,80}, 2.5)</f>
        <v/>
      </c>
      <c r="C122" t="inlineStr">
        <is>
          <t>Log-linear interpolation</t>
        </is>
      </c>
    </row>
    <row r="123">
      <c r="A123" s="11" t="inlineStr">
        <is>
          <t>ACT_INTERP2D</t>
        </is>
      </c>
      <c r="B123">
        <f>ACT_INTERP2D({1,2,3}, {10,20,30}, {100,200,300;110,220,330;120,240,360}, 1.5, 15)</f>
        <v/>
      </c>
      <c r="C123" t="inlineStr">
        <is>
          <t>2D bilinear interpolation</t>
        </is>
      </c>
    </row>
    <row r="124"/>
    <row r="125">
      <c r="A125" s="13" t="inlineStr">
        <is>
          <t>CREDIBILITY - Bühlmann</t>
        </is>
      </c>
    </row>
    <row r="126"/>
    <row r="127">
      <c r="A127" s="11" t="inlineStr">
        <is>
          <t>ACT_CREDIBILITY_BUHLMANN</t>
        </is>
      </c>
      <c r="B127">
        <f>ACT_CREDIBILITY_BUHLMANN(10, 5)</f>
        <v/>
      </c>
      <c r="C127" t="inlineStr">
        <is>
          <t>Z = n/(n+k) = 10/15</t>
        </is>
      </c>
    </row>
    <row r="128">
      <c r="A128" s="11" t="inlineStr">
        <is>
          <t>ACT_CREDIBILITY_ESTIMATE</t>
        </is>
      </c>
      <c r="B128">
        <f>ACT_CREDIBILITY_ESTIMATE(10, 5, 0.05, 0.03)</f>
        <v/>
      </c>
      <c r="C128" t="inlineStr">
        <is>
          <t>Blended estimate</t>
        </is>
      </c>
    </row>
    <row r="129">
      <c r="A129" s="11" t="inlineStr">
        <is>
          <t>ACT_CREDIBILITY_K</t>
        </is>
      </c>
      <c r="B129">
        <f>ACT_CREDIBILITY_K({0.05,0.06,0.04}, {100,150,120})</f>
        <v/>
      </c>
      <c r="C129" t="inlineStr">
        <is>
          <t>Estimate k from data</t>
        </is>
      </c>
    </row>
    <row r="130">
      <c r="A130" s="11" t="inlineStr">
        <is>
          <t>ACT_CREDIBILITY_BUHLMANN_STRAUB</t>
        </is>
      </c>
      <c r="B130">
        <f>ACT_CREDIBILITY_BUHLMANN_STRAUB(1000, 500)</f>
        <v/>
      </c>
      <c r="C130" t="inlineStr">
        <is>
          <t>B-S credibility</t>
        </is>
      </c>
    </row>
    <row r="131">
      <c r="A131" s="11" t="inlineStr">
        <is>
          <t>ACT_BUHLMANN_STRAUB_PARAMS</t>
        </is>
      </c>
      <c r="B131">
        <f>ACT_BUHLMANN_STRAUB_PARAMS({0.05,0.06,0.04;0.055,0.058,0.045}, {100,150,120;110,140,130})</f>
        <v/>
      </c>
      <c r="C131" t="inlineStr">
        <is>
          <t>B-S parameters (array)</t>
        </is>
      </c>
    </row>
    <row r="132"/>
    <row r="133">
      <c r="A133" s="13" t="inlineStr">
        <is>
          <t>CREDIBILITY - Experience Rating</t>
        </is>
      </c>
    </row>
    <row r="134">
      <c r="A134" s="11" t="inlineStr">
        <is>
          <t>ACT_EXPERIENCE_MOD</t>
        </is>
      </c>
      <c r="B134">
        <f>ACT_EXPERIENCE_MOD(0.7, 50000, 70000)</f>
        <v/>
      </c>
      <c r="C134" t="inlineStr">
        <is>
          <t>Experience mod factor</t>
        </is>
      </c>
    </row>
    <row r="135">
      <c r="A135" s="11" t="inlineStr">
        <is>
          <t>ACT_EXPERIENCE_MOD_SPLIT</t>
        </is>
      </c>
      <c r="B135">
        <f>ACT_EXPERIENCE_MOD_SPLIT(0.7, 50000, 70000, 25000, 0.3)</f>
        <v/>
      </c>
      <c r="C135" t="inlineStr">
        <is>
          <t>Split plan exp mod</t>
        </is>
      </c>
    </row>
    <row r="136"/>
    <row r="137">
      <c r="A137" s="13" t="inlineStr">
        <is>
          <t>CREDIBILITY - Full/Partial</t>
        </is>
      </c>
    </row>
    <row r="138">
      <c r="A138" s="11" t="inlineStr">
        <is>
          <t>ACT_FULL_CREDIBILITY_STANDARD</t>
        </is>
      </c>
      <c r="B138">
        <f>ACT_FULL_CREDIBILITY_STANDARD(0.05, 0.90, 1.5)</f>
        <v/>
      </c>
      <c r="C138" t="inlineStr">
        <is>
          <t>Full cred standard n₀</t>
        </is>
      </c>
    </row>
    <row r="139">
      <c r="A139" s="11" t="inlineStr">
        <is>
          <t>ACT_PARTIAL_CREDIBILITY</t>
        </is>
      </c>
      <c r="B139">
        <f>ACT_PARTIAL_CREDIBILITY(500, 1082)</f>
        <v/>
      </c>
      <c r="C139" t="inlineStr">
        <is>
          <t>Partial cred (sqrt rule)</t>
        </is>
      </c>
    </row>
    <row r="140">
      <c r="A140" s="11" t="inlineStr">
        <is>
          <t>ACT_LINEAR_CREDIBILITY</t>
        </is>
      </c>
      <c r="B140">
        <f>ACT_LINEAR_CREDIBILITY(500, 1082)</f>
        <v/>
      </c>
      <c r="C140" t="inlineStr">
        <is>
          <t>Linear credibility</t>
        </is>
      </c>
    </row>
    <row r="141">
      <c r="A141" s="11" t="inlineStr">
        <is>
          <t>ACT_ASYMPTOTIC_CREDIBILITY</t>
        </is>
      </c>
      <c r="B141">
        <f>ACT_ASYMPTOTIC_CREDIBILITY(10, 5, 0.5)</f>
        <v/>
      </c>
      <c r="C141" t="inlineStr">
        <is>
          <t>Asymptotic cred</t>
        </is>
      </c>
    </row>
    <row r="142"/>
    <row r="143">
      <c r="A143" s="13" t="inlineStr">
        <is>
          <t>CREDIBILITY - ILF</t>
        </is>
      </c>
    </row>
    <row r="144">
      <c r="A144" s="11" t="inlineStr">
        <is>
          <t>ACT_ILF_LAYER</t>
        </is>
      </c>
      <c r="B144">
        <f>ACT_ILF_LAYER(1000000, 4000000, 100000, 2)</f>
        <v/>
      </c>
      <c r="C144" t="inlineStr">
        <is>
          <t>Layer ILF</t>
        </is>
      </c>
    </row>
    <row r="145">
      <c r="A145" s="11" t="inlineStr">
        <is>
          <t>ACT_ILF_TABLE</t>
        </is>
      </c>
      <c r="B145">
        <f>ACT_ILF_TABLE(100000, {250000,500000,1000000,2000000}, 2)</f>
        <v/>
      </c>
      <c r="C145" t="inlineStr">
        <is>
          <t>ILF table (array)</t>
        </is>
      </c>
    </row>
    <row r="146">
      <c r="A146" s="11" t="inlineStr">
        <is>
          <t>ACT_ILF_TABLE_STANDARD</t>
        </is>
      </c>
      <c r="B146">
        <f>ACT_ILF_TABLE_STANDARD(100000, 5000000, 2)</f>
        <v/>
      </c>
      <c r="C146" t="inlineStr">
        <is>
          <t>Standard ILF table (array)</t>
        </is>
      </c>
    </row>
    <row r="147"/>
    <row r="148">
      <c r="A148" s="13" t="inlineStr">
        <is>
          <t>CREDIBILITY - Deductibles</t>
        </is>
      </c>
    </row>
    <row r="149">
      <c r="A149" s="11" t="inlineStr">
        <is>
          <t>ACT_LOSS_ELIMINATION_RATIO</t>
        </is>
      </c>
      <c r="B149">
        <f>ACT_LOSS_ELIMINATION_RATIO(10000, 2, 1000)</f>
        <v/>
      </c>
      <c r="C149" t="inlineStr">
        <is>
          <t>LER Pareto</t>
        </is>
      </c>
    </row>
    <row r="150">
      <c r="A150" s="11" t="inlineStr">
        <is>
          <t>ACT_LOSS_ELIMINATION_RATIO_LOGNORMAL</t>
        </is>
      </c>
      <c r="B150">
        <f>ACT_LOSS_ELIMINATION_RATIO_LOGNORMAL(10000, 10, 1)</f>
        <v/>
      </c>
      <c r="C150" t="inlineStr">
        <is>
          <t>LER Lognormal</t>
        </is>
      </c>
    </row>
    <row r="151">
      <c r="A151" s="11" t="inlineStr">
        <is>
          <t>ACT_DEDUCTIBLE_CREDIT</t>
        </is>
      </c>
      <c r="B151">
        <f>ACT_DEDUCTIBLE_CREDIT(10000, 2, 1000)</f>
        <v/>
      </c>
      <c r="C151" t="inlineStr">
        <is>
          <t>Deductible credit</t>
        </is>
      </c>
    </row>
    <row r="152">
      <c r="A152" s="11" t="inlineStr">
        <is>
          <t>ACT_PREMIUM_WITH_DEDUCTIBLE</t>
        </is>
      </c>
      <c r="B152">
        <f>ACT_PREMIUM_WITH_DEDUCTIBLE(100000, 10000, 2, 1000)</f>
        <v/>
      </c>
      <c r="C152" t="inlineStr">
        <is>
          <t>Premium with deductible</t>
        </is>
      </c>
    </row>
    <row r="153"/>
    <row r="154">
      <c r="A154" s="13" t="inlineStr">
        <is>
          <t>CREDIBILITY - Loading</t>
        </is>
      </c>
    </row>
    <row r="155">
      <c r="A155" s="11" t="inlineStr">
        <is>
          <t>ACT_LARGE_LOSS_LOAD</t>
        </is>
      </c>
      <c r="B155">
        <f>ACT_LARGE_LOSS_LOAD(0.1, 500000, 100000)</f>
        <v/>
      </c>
      <c r="C155" t="inlineStr">
        <is>
          <t>Large loss loading</t>
        </is>
      </c>
    </row>
    <row r="156">
      <c r="A156" s="11" t="inlineStr">
        <is>
          <t>ACT_SHOCK_LOSS_LOAD</t>
        </is>
      </c>
      <c r="B156">
        <f>ACT_SHOCK_LOSS_LOAD(0.01, 10000000, 100000)</f>
        <v/>
      </c>
      <c r="C156" t="inlineStr">
        <is>
          <t>Shock loss loading</t>
        </is>
      </c>
    </row>
    <row r="157"/>
    <row r="158">
      <c r="A158" s="13" t="inlineStr">
        <is>
          <t>CREDIBILITY - Burning Cost</t>
        </is>
      </c>
    </row>
    <row r="159">
      <c r="A159" s="11" t="inlineStr">
        <is>
          <t>ACT_BURNING_COST</t>
        </is>
      </c>
      <c r="B159">
        <f>ACT_BURNING_COST({50000,60000,40000}, {1000000,1100000,1050000})</f>
        <v/>
      </c>
      <c r="C159" t="inlineStr">
        <is>
          <t>Burning cost</t>
        </is>
      </c>
    </row>
    <row r="160">
      <c r="A160" s="11" t="inlineStr">
        <is>
          <t>ACT_CREDIBILITY_RATE</t>
        </is>
      </c>
      <c r="B160">
        <f>ACT_CREDIBILITY_RATE(0.05, 0.03, 0.6)</f>
        <v/>
      </c>
      <c r="C160" t="inlineStr">
        <is>
          <t>Credibility-weighted rate</t>
        </is>
      </c>
    </row>
    <row r="161">
      <c r="A161" s="11" t="inlineStr">
        <is>
          <t>ACT_COMPOSITE_RATE</t>
        </is>
      </c>
      <c r="B161">
        <f>ACT_COMPOSITE_RATE({0.05,0.06,0.04}, {0.5,0.3,0.2})</f>
        <v/>
      </c>
      <c r="C161" t="inlineStr">
        <is>
          <t>Composite rate</t>
        </is>
      </c>
    </row>
    <row r="162">
      <c r="A162" s="11" t="inlineStr">
        <is>
          <t>ACT_MULTIYEAR_CREDIBILITY</t>
        </is>
      </c>
      <c r="B162">
        <f>ACT_MULTIYEAR_CREDIBILITY(3, 100, 0.5)</f>
        <v/>
      </c>
      <c r="C162" t="inlineStr">
        <is>
          <t>Multi-year credibility</t>
        </is>
      </c>
    </row>
    <row r="163"/>
    <row r="164">
      <c r="A164" s="13" t="inlineStr">
        <is>
          <t>CREDIBILITY - Schedule Rating</t>
        </is>
      </c>
    </row>
    <row r="165">
      <c r="A165" s="11" t="inlineStr">
        <is>
          <t>ACT_SCHEDULE_RATING</t>
        </is>
      </c>
      <c r="B165">
        <f>ACT_SCHEDULE_RATING(100000, {0.1,-0.05,0.15})</f>
        <v/>
      </c>
      <c r="C165" t="inlineStr">
        <is>
          <t>Schedule rating</t>
        </is>
      </c>
    </row>
    <row r="166">
      <c r="A166" s="11" t="inlineStr">
        <is>
          <t>ACT_SCHEDULE_RATING_CAPPED</t>
        </is>
      </c>
      <c r="B166">
        <f>ACT_SCHEDULE_RATING_CAPPED(100000, {0.1,-0.05,0.15}, {0.15,0.1,0.2})</f>
        <v/>
      </c>
      <c r="C166" t="inlineStr">
        <is>
          <t>Capped schedule rating</t>
        </is>
      </c>
    </row>
    <row r="167"/>
    <row r="168">
      <c r="A168" s="13" t="inlineStr">
        <is>
          <t>CREDIBILITY - Retrospective</t>
        </is>
      </c>
    </row>
    <row r="169">
      <c r="A169" s="11" t="inlineStr">
        <is>
          <t>ACT_RETRO_PREMIUM</t>
        </is>
      </c>
      <c r="B169">
        <f>ACT_RETRO_PREMIUM(100000, 50000, 0.3, 1.1, 0.6, 1.2, 1.03)</f>
        <v/>
      </c>
      <c r="C169" t="inlineStr">
        <is>
          <t>Retro premium</t>
        </is>
      </c>
    </row>
    <row r="170">
      <c r="A170" s="11" t="inlineStr">
        <is>
          <t>ACT_RETRO_PARAMETERS</t>
        </is>
      </c>
      <c r="B170">
        <f>ACT_RETRO_PARAMETERS(0.6, 1.2, 0.05, 1.1)</f>
        <v/>
      </c>
      <c r="C170" t="inlineStr">
        <is>
          <t>Retro parameters (array)</t>
        </is>
      </c>
    </row>
    <row r="171">
      <c r="A171" s="11" t="inlineStr">
        <is>
          <t>ACT_RETRO_LOSS_LIMIT_CREDIT</t>
        </is>
      </c>
      <c r="B171">
        <f>ACT_RETRO_LOSS_LIMIT_CREDIT(250000, 100000, 2, 1000)</f>
        <v/>
      </c>
      <c r="C171" t="inlineStr">
        <is>
          <t>Loss limit credit</t>
        </is>
      </c>
    </row>
    <row r="172"/>
    <row r="173">
      <c r="A173" s="13" t="inlineStr">
        <is>
          <t>CREDIBILITY - Bayesian</t>
        </is>
      </c>
    </row>
    <row r="174">
      <c r="A174" s="11" t="inlineStr">
        <is>
          <t>ACT_BAYESIAN_UPDATE</t>
        </is>
      </c>
      <c r="B174">
        <f>ACT_BAYESIAN_UPDATE(0.05, 0.01, 0.06, 0.005)</f>
        <v/>
      </c>
      <c r="C174" t="inlineStr">
        <is>
          <t>Bayesian posterior mean</t>
        </is>
      </c>
    </row>
    <row r="175">
      <c r="A175" s="11" t="inlineStr">
        <is>
          <t>ACT_BAYESIAN_UPDATE_FULL</t>
        </is>
      </c>
      <c r="B175">
        <f>ACT_BAYESIAN_UPDATE_FULL(0.05, 0.01, 0.06, 0.005)</f>
        <v/>
      </c>
      <c r="C175" t="inlineStr">
        <is>
          <t>Posterior mean &amp; var (array)</t>
        </is>
      </c>
    </row>
    <row r="176"/>
    <row r="177">
      <c r="A177" s="13" t="inlineStr">
        <is>
          <t>CREDIBILITY - Poisson</t>
        </is>
      </c>
    </row>
    <row r="178">
      <c r="A178" s="11" t="inlineStr">
        <is>
          <t>ACT_CREDIBILITY_POISSON</t>
        </is>
      </c>
      <c r="B178">
        <f>ACT_CREDIBILITY_POISSON(10, 5, 2)</f>
        <v/>
      </c>
      <c r="C178" t="inlineStr">
        <is>
          <t>Poisson credibility</t>
        </is>
      </c>
    </row>
    <row r="179">
      <c r="A179" s="11" t="inlineStr">
        <is>
          <t>ACT_FREQUENCY_ESTIMATE</t>
        </is>
      </c>
      <c r="B179">
        <f>ACT_FREQUENCY_ESTIMATE(10, 1000, 5, 2, 0.005)</f>
        <v/>
      </c>
      <c r="C179" t="inlineStr">
        <is>
          <t>Credibility frequency est</t>
        </is>
      </c>
    </row>
    <row r="180"/>
    <row r="181">
      <c r="A181" s="13" t="inlineStr">
        <is>
          <t>COPULAS - Gaussian</t>
        </is>
      </c>
    </row>
    <row r="182"/>
    <row r="183">
      <c r="A183" s="11" t="inlineStr">
        <is>
          <t>ACT_COPULA_GAUSSIAN</t>
        </is>
      </c>
      <c r="B183">
        <f>ACT_COPULA_GAUSSIAN({1,0.5;0.5,1}, 5, 42)</f>
        <v/>
      </c>
      <c r="C183" t="inlineStr">
        <is>
          <t>Gaussian copula samples (array)</t>
        </is>
      </c>
    </row>
    <row r="184">
      <c r="A184" s="11" t="inlineStr">
        <is>
          <t>ACT_COPULA_GAUSSIAN_SINGLE</t>
        </is>
      </c>
      <c r="B184">
        <f>ACT_COPULA_GAUSSIAN_SINGLE({1,0.5;0.5,1}, 42)</f>
        <v/>
      </c>
      <c r="C184" t="inlineStr">
        <is>
          <t>Single Gaussian sample</t>
        </is>
      </c>
    </row>
    <row r="185"/>
    <row r="186">
      <c r="A186" s="13" t="inlineStr">
        <is>
          <t>COPULAS - Student-t</t>
        </is>
      </c>
    </row>
    <row r="187">
      <c r="A187" s="11" t="inlineStr">
        <is>
          <t>ACT_COPULA_STUDENT_T</t>
        </is>
      </c>
      <c r="B187">
        <f>ACT_COPULA_STUDENT_T({1,0.5;0.5,1}, 5, 5, 42)</f>
        <v/>
      </c>
      <c r="C187" t="inlineStr">
        <is>
          <t>Student-t copula (array)</t>
        </is>
      </c>
    </row>
    <row r="188">
      <c r="A188" s="11" t="inlineStr">
        <is>
          <t>ACT_COPULA_STUDENT_T_SINGLE</t>
        </is>
      </c>
      <c r="B188">
        <f>ACT_COPULA_STUDENT_T_SINGLE({1,0.5;0.5,1}, 5, 42)</f>
        <v/>
      </c>
      <c r="C188" t="inlineStr">
        <is>
          <t>Single Student-t sample</t>
        </is>
      </c>
    </row>
    <row r="189"/>
    <row r="190">
      <c r="A190" s="13" t="inlineStr">
        <is>
          <t>COPULAS - Clayton (lower tail)</t>
        </is>
      </c>
    </row>
    <row r="191">
      <c r="A191" s="11" t="inlineStr">
        <is>
          <t>ACT_COPULA_CLAYTON</t>
        </is>
      </c>
      <c r="B191">
        <f>ACT_COPULA_CLAYTON(2, 5, 42)</f>
        <v/>
      </c>
      <c r="C191" t="inlineStr">
        <is>
          <t>Clayton copula (array)</t>
        </is>
      </c>
    </row>
    <row r="192">
      <c r="A192" s="11" t="inlineStr">
        <is>
          <t>ACT_COPULA_CLAYTON_SINGLE</t>
        </is>
      </c>
      <c r="B192">
        <f>ACT_COPULA_CLAYTON_SINGLE(2, 42)</f>
        <v/>
      </c>
      <c r="C192" t="inlineStr">
        <is>
          <t>Single Clayton sample</t>
        </is>
      </c>
    </row>
    <row r="193">
      <c r="A193" s="11" t="inlineStr">
        <is>
          <t>ACT_COPULA_CLAYTON_CDF</t>
        </is>
      </c>
      <c r="B193">
        <f>ACT_COPULA_CLAYTON_CDF(0.5, 0.5, 2)</f>
        <v/>
      </c>
      <c r="C193" t="inlineStr">
        <is>
          <t>Clayton CDF</t>
        </is>
      </c>
    </row>
    <row r="194"/>
    <row r="195">
      <c r="A195" s="13" t="inlineStr">
        <is>
          <t>COPULAS - Frank (symmetric)</t>
        </is>
      </c>
    </row>
    <row r="196">
      <c r="A196" s="11" t="inlineStr">
        <is>
          <t>ACT_COPULA_FRANK</t>
        </is>
      </c>
      <c r="B196">
        <f>ACT_COPULA_FRANK(5, 5, 42)</f>
        <v/>
      </c>
      <c r="C196" t="inlineStr">
        <is>
          <t>Frank copula (array)</t>
        </is>
      </c>
    </row>
    <row r="197">
      <c r="A197" s="11" t="inlineStr">
        <is>
          <t>ACT_COPULA_FRANK_SINGLE</t>
        </is>
      </c>
      <c r="B197">
        <f>ACT_COPULA_FRANK_SINGLE(5, 42)</f>
        <v/>
      </c>
      <c r="C197" t="inlineStr">
        <is>
          <t>Single Frank sample</t>
        </is>
      </c>
    </row>
    <row r="198">
      <c r="A198" s="11" t="inlineStr">
        <is>
          <t>ACT_COPULA_FRANK_CDF</t>
        </is>
      </c>
      <c r="B198">
        <f>ACT_COPULA_FRANK_CDF(0.5, 0.5, 5)</f>
        <v/>
      </c>
      <c r="C198" t="inlineStr">
        <is>
          <t>Frank CDF</t>
        </is>
      </c>
    </row>
    <row r="199"/>
    <row r="200">
      <c r="A200" s="13" t="inlineStr">
        <is>
          <t>COPULAS - Gumbel (upper tail)</t>
        </is>
      </c>
    </row>
    <row r="201">
      <c r="A201" s="11" t="inlineStr">
        <is>
          <t>ACT_COPULA_GUMBEL</t>
        </is>
      </c>
      <c r="B201">
        <f>ACT_COPULA_GUMBEL(2, 5, 42)</f>
        <v/>
      </c>
      <c r="C201" t="inlineStr">
        <is>
          <t>Gumbel copula (array)</t>
        </is>
      </c>
    </row>
    <row r="202">
      <c r="A202" s="11" t="inlineStr">
        <is>
          <t>ACT_COPULA_GUMBEL_SINGLE</t>
        </is>
      </c>
      <c r="B202">
        <f>ACT_COPULA_GUMBEL_SINGLE(2, 42)</f>
        <v/>
      </c>
      <c r="C202" t="inlineStr">
        <is>
          <t>Single Gumbel sample</t>
        </is>
      </c>
    </row>
    <row r="203">
      <c r="A203" s="11" t="inlineStr">
        <is>
          <t>ACT_COPULA_GUMBEL_CDF</t>
        </is>
      </c>
      <c r="B203">
        <f>ACT_COPULA_GUMBEL_CDF(0.5, 0.5, 2)</f>
        <v/>
      </c>
      <c r="C203" t="inlineStr">
        <is>
          <t>Gumbel CDF</t>
        </is>
      </c>
    </row>
    <row r="204"/>
    <row r="205">
      <c r="A205" s="13" t="inlineStr">
        <is>
          <t>COPULAS - Utilities</t>
        </is>
      </c>
    </row>
    <row r="206">
      <c r="A206" s="11" t="inlineStr">
        <is>
          <t>ACT_COPULA_TAU_TO_THETA</t>
        </is>
      </c>
      <c r="B206">
        <f>ACT_COPULA_TAU_TO_THETA(0.5, "CLAYTON")</f>
        <v/>
      </c>
      <c r="C206" t="inlineStr">
        <is>
          <t>Kendall τ → θ</t>
        </is>
      </c>
    </row>
    <row r="207">
      <c r="A207" s="11" t="inlineStr">
        <is>
          <t>ACT_COPULA_TAIL_LOWER</t>
        </is>
      </c>
      <c r="B207">
        <f>ACT_COPULA_TAIL_LOWER("CLAYTON", 2)</f>
        <v/>
      </c>
      <c r="C207" t="inlineStr">
        <is>
          <t>Lower tail dependence</t>
        </is>
      </c>
    </row>
    <row r="208">
      <c r="A208" s="11" t="inlineStr">
        <is>
          <t>ACT_COPULA_TAIL_UPPER</t>
        </is>
      </c>
      <c r="B208">
        <f>ACT_COPULA_TAIL_UPPER("GUMBEL", 2)</f>
        <v/>
      </c>
      <c r="C208" t="inlineStr">
        <is>
          <t>Upper tail dependence</t>
        </is>
      </c>
    </row>
    <row r="209">
      <c r="A209" s="11" t="inlineStr">
        <is>
          <t>ACT_COPULA_TAIL_LOWER</t>
        </is>
      </c>
      <c r="B209">
        <f>ACT_COPULA_TAIL_LOWER("STUDENT_T", 5, 0.5)</f>
        <v/>
      </c>
      <c r="C209" t="inlineStr">
        <is>
          <t>Student-t lower tail</t>
        </is>
      </c>
    </row>
    <row r="210">
      <c r="A210" s="11" t="inlineStr">
        <is>
          <t>ACT_COPULA_TAIL_UPPER</t>
        </is>
      </c>
      <c r="B210">
        <f>ACT_COPULA_TAIL_UPPER("STUDENT_T", 5, 0.5)</f>
        <v/>
      </c>
      <c r="C210" t="inlineStr">
        <is>
          <t>Student-t upper tail</t>
        </is>
      </c>
    </row>
    <row r="211"/>
    <row r="212">
      <c r="A212" s="13" t="inlineStr">
        <is>
          <t>CHAIN LADDER - See dedicated sheet</t>
        </is>
      </c>
    </row>
    <row r="213"/>
    <row r="214">
      <c r="A214" s="13" t="inlineStr">
        <is>
          <t>(Chain ladder functions tested in 'Chain Ladder' sheet with triangle data)</t>
        </is>
      </c>
    </row>
    <row r="215">
      <c r="A215" s="13" t="inlineStr">
        <is>
          <t>ACT_CL_FACTORS - Development factors (array)</t>
        </is>
      </c>
    </row>
    <row r="216">
      <c r="A216" s="13" t="inlineStr">
        <is>
          <t>ACT_CL_LATEST - Latest diagonal (array)</t>
        </is>
      </c>
    </row>
    <row r="217">
      <c r="A217" s="13" t="inlineStr">
        <is>
          <t>ACT_CL_ULTIMATE - Projected ultimates (array)</t>
        </is>
      </c>
    </row>
    <row r="218">
      <c r="A218" s="13" t="inlineStr">
        <is>
          <t>ACT_CL_IBNR - IBNR reserves (array)</t>
        </is>
      </c>
    </row>
    <row r="219">
      <c r="A219" s="13" t="inlineStr">
        <is>
          <t>ACT_CL_BF_ULTIMATE - Bornhuetter-Ferguson (array)</t>
        </is>
      </c>
    </row>
    <row r="220">
      <c r="A220" s="13" t="inlineStr">
        <is>
          <t>ACT_MACK_FACTOR_SE - Factor std errors (array)</t>
        </is>
      </c>
    </row>
    <row r="221">
      <c r="A221" s="13" t="inlineStr">
        <is>
          <t>ACT_MACK_RESERVE_SE - Reserve std errors (array)</t>
        </is>
      </c>
    </row>
    <row r="222">
      <c r="A222" s="13" t="inlineStr">
        <is>
          <t>ACT_CL_BOOTSTRAP - Bootstrap total (array)</t>
        </is>
      </c>
    </row>
    <row r="223">
      <c r="A223" s="13" t="inlineStr">
        <is>
          <t>ACT_BOOTSTRAP_ORIGIN_CL - Bootstrap by AY (array)</t>
        </is>
      </c>
    </row>
    <row r="224">
      <c r="A224" s="13" t="inlineStr">
        <is>
          <t>ACT_CAPECOD_ULTIMATE - Cape Cod (array)</t>
        </is>
      </c>
    </row>
    <row r="225">
      <c r="A225" s="13" t="inlineStr">
        <is>
          <t>ACT_CAPECOD_ELR - Cape Cod ELR</t>
        </is>
      </c>
    </row>
    <row r="226">
      <c r="A226" s="13" t="inlineStr">
        <is>
          <t>ACT_TRIANGLE_TO_INCREMENTAL - Cum→Inc (array)</t>
        </is>
      </c>
    </row>
    <row r="227">
      <c r="A227" s="13" t="inlineStr">
        <is>
          <t>ACT_INCREMENTAL_TO_CUMULATIVE - Inc→Cum (array)</t>
        </is>
      </c>
    </row>
    <row r="228">
      <c r="A228" s="13" t="inlineStr">
        <is>
          <t>ACT_TRIANGLE_DIAGONAL - Extract diagonal (array)</t>
        </is>
      </c>
    </row>
    <row r="229">
      <c r="A229" s="13" t="inlineStr">
        <is>
          <t>ACT_TRIANGLE_LINK_RATIOS - Link ratios (array)</t>
        </is>
      </c>
    </row>
    <row r="230">
      <c r="A230" s="13" t="inlineStr">
        <is>
          <t>ACT_CL_CALENDAR_ADJUST - Calendar adjust (array)</t>
        </is>
      </c>
    </row>
    <row r="231">
      <c r="A231" s="13" t="inlineStr">
        <is>
          <t>ACT_CL_CALENDAR_TOTALS - Calendar totals (array)</t>
        </is>
      </c>
    </row>
    <row r="232">
      <c r="A232" s="13" t="inlineStr">
        <is>
          <t>ACT_CL_WEIGHTED_AVERAGE - Weighted avg (array)</t>
        </is>
      </c>
    </row>
    <row r="233"/>
    <row r="234">
      <c r="A234" s="13" t="inlineStr">
        <is>
          <t>VERSION INFO</t>
        </is>
      </c>
    </row>
    <row r="235"/>
    <row r="236">
      <c r="A236" s="11" t="inlineStr">
        <is>
          <t>ACT_VERSION</t>
        </is>
      </c>
      <c r="B236">
        <f>ACT_VERSION()</f>
        <v/>
      </c>
      <c r="C236" t="inlineStr">
        <is>
          <t>Current version</t>
        </is>
      </c>
    </row>
    <row r="237">
      <c r="A237" s="11" t="inlineStr">
        <is>
          <t>ACT_BUILD_DATE</t>
        </is>
      </c>
      <c r="B237">
        <f>ACT_BUILD_DATE()</f>
        <v/>
      </c>
      <c r="C237" t="inlineStr">
        <is>
          <t>Build date</t>
        </is>
      </c>
    </row>
    <row r="238">
      <c r="A238" s="11" t="inlineStr">
        <is>
          <t>ACT_GITHUB_URL</t>
        </is>
      </c>
      <c r="B238">
        <f>ACT_GITHUB_URL()</f>
        <v/>
      </c>
      <c r="C238" t="inlineStr">
        <is>
          <t>GitHub URL</t>
        </is>
      </c>
    </row>
    <row r="239">
      <c r="A239" s="11" t="inlineStr">
        <is>
          <t>ACT_COMMIT_COUNT</t>
        </is>
      </c>
      <c r="B239">
        <f>ACT_COMMIT_COUNT()</f>
        <v/>
      </c>
      <c r="C239" t="inlineStr">
        <is>
          <t>Number of commits</t>
        </is>
      </c>
    </row>
    <row r="240">
      <c r="A240" s="11" t="inlineStr">
        <is>
          <t>ACT_COMMIT_INFO</t>
        </is>
      </c>
      <c r="B240">
        <f>ACT_COMMIT_INFO(1, "hash")</f>
        <v/>
      </c>
      <c r="C240" t="inlineStr">
        <is>
          <t>Latest commit hash</t>
        </is>
      </c>
    </row>
    <row r="241">
      <c r="A241" s="11" t="inlineStr">
        <is>
          <t>ACT_COMMIT_INFO</t>
        </is>
      </c>
      <c r="B241">
        <f>ACT_COMMIT_INFO(1, "date")</f>
        <v/>
      </c>
      <c r="C241" t="inlineStr">
        <is>
          <t>Latest commit date</t>
        </is>
      </c>
    </row>
    <row r="242">
      <c r="A242" s="11" t="inlineStr">
        <is>
          <t>ACT_COMMIT_INFO</t>
        </is>
      </c>
      <c r="B242">
        <f>ACT_COMMIT_INFO(1, "message")</f>
        <v/>
      </c>
      <c r="C242" t="inlineStr">
        <is>
          <t>Latest commit message</t>
        </is>
      </c>
    </row>
    <row r="243">
      <c r="A243" s="11" t="inlineStr">
        <is>
          <t>ACT_COMMIT_HISTORY</t>
        </is>
      </c>
      <c r="B243">
        <f>ACT_COMMIT_HISTORY()</f>
        <v/>
      </c>
      <c r="C243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2026-01-31T20:15:20Z</dcterms:modified>
  <cp:lastModifiedBy>Matthew Evans</cp:lastModifiedBy>
</cp:coreProperties>
</file>