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'Distributions'!$A$22:$A$37</f>
            </numRef>
          </xVal>
          <yVal>
            <numRef>
              <f>'Distributions'!$B$22:$B$37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'Distributions'!$A$41:$A$50</f>
            </numRef>
          </xVal>
          <yVal>
            <numRef>
              <f>'Distributions'!$B$41:$B$50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'Distributions'!$A$54:$A$62</f>
            </numRef>
          </xVal>
          <yVal>
            <numRef>
              <f>'Distributions'!$B$54:$B$62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'Distributions'!$A$66:$A$74</f>
            </numRef>
          </xVal>
          <yVal>
            <numRef>
              <f>'Distributions'!$B$66:$B$74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'Distributions'!$A$78:$A$86</f>
            </numRef>
          </xVal>
          <yVal>
            <numRef>
              <f>'Distributions'!$B$78:$B$86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'Distributions'!$A$90:$A$98</f>
            </numRef>
          </xVal>
          <yVal>
            <numRef>
              <f>'Distributions'!$B$90:$B$98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'Distributions'!$A$102:$A$112</f>
            </numRef>
          </xVal>
          <yVal>
            <numRef>
              <f>'Distributions'!$B$102:$B$112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'Distributions'!$A$116:$A$124</f>
            </numRef>
          </xVal>
          <yVal>
            <numRef>
              <f>'Distributions'!$B$116:$B$124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'Distributions'!$A$128:$A$136</f>
            </numRef>
          </xVal>
          <yVal>
            <numRef>
              <f>'Distributions'!$B$128:$B$136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'Copulas'!$B$19:$B$38</f>
            </numRef>
          </xVal>
          <yVal>
            <numRef>
              <f>'Copulas'!$C$19:$C$38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 /><Relationship Type="http://schemas.openxmlformats.org/officeDocument/2006/relationships/chart" Target="/xl/charts/chart14.xml" Id="rId2" /><Relationship Type="http://schemas.openxmlformats.org/officeDocument/2006/relationships/chart" Target="/xl/charts/chart15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51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68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85</row>
      <rowOff>0</rowOff>
    </from>
    <ext cx="3600000" cy="252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102</row>
      <rowOff>0</rowOff>
    </from>
    <ext cx="3600000" cy="252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119</row>
      <rowOff>0</rowOff>
    </from>
    <ext cx="3600000" cy="252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139</row>
      <rowOff>0</rowOff>
    </from>
    <ext cx="3600000" cy="252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156</row>
      <rowOff>0</rowOff>
    </from>
    <ext cx="3600000" cy="252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2"/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6"/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3"/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1"/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6"/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2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127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ACT_PARETO_FIT</t>
        </is>
      </c>
      <c r="B35">
        <f>ACT_PARETO_FIT({1.5,2,2.5,3,4,5},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3" t="inlineStr">
        <is>
          <t>EXPOSURE CURVES</t>
        </is>
      </c>
    </row>
    <row r="68"/>
    <row r="69">
      <c r="A69" s="11" t="inlineStr">
        <is>
          <t>ACT_EXPOSURE_MBBEFD</t>
        </is>
      </c>
      <c r="B69">
        <f>ACT_EXPOSURE_MBBEFD(0.5, 2, 3)</f>
        <v/>
      </c>
      <c r="C69" t="inlineStr">
        <is>
          <t>MBBEFD at d=0.5, b=2, g=3</t>
        </is>
      </c>
    </row>
    <row r="70">
      <c r="A70" s="11" t="inlineStr">
        <is>
          <t>ACT_EXPOSURE_SWISSRE</t>
        </is>
      </c>
      <c r="B70">
        <f>ACT_EXPOSURE_SWISSRE(0.5, 1)</f>
        <v/>
      </c>
      <c r="C70" t="inlineStr">
        <is>
          <t>Swiss Re curve 1 (light)</t>
        </is>
      </c>
    </row>
    <row r="71">
      <c r="A71" s="11" t="inlineStr">
        <is>
          <t>ACT_EXPOSURE_SWISSRE</t>
        </is>
      </c>
      <c r="B71">
        <f>ACT_EXPOSURE_SWISSRE(0.5, 3)</f>
        <v/>
      </c>
      <c r="C71" t="inlineStr">
        <is>
          <t>Swiss Re curve 3 (medium)</t>
        </is>
      </c>
    </row>
    <row r="72">
      <c r="A72" s="11" t="inlineStr">
        <is>
          <t>ACT_EXPOSURE_SWISSRE</t>
        </is>
      </c>
      <c r="B72">
        <f>ACT_EXPOSURE_SWISSRE(0.5, 5)</f>
        <v/>
      </c>
      <c r="C72" t="inlineStr">
        <is>
          <t>Swiss Re curve 5 (heavy)</t>
        </is>
      </c>
    </row>
    <row r="73">
      <c r="A73" s="11" t="inlineStr">
        <is>
          <t>ACT_EXPOSURE_LLOYDS</t>
        </is>
      </c>
      <c r="B73">
        <f>ACT_EXPOSURE_LLOYDS(0.5, 1)</f>
        <v/>
      </c>
      <c r="C73" t="inlineStr">
        <is>
          <t>Lloyd's Y1 curve</t>
        </is>
      </c>
    </row>
    <row r="74">
      <c r="A74" s="11" t="inlineStr">
        <is>
          <t>ACT_EXPOSURE_LLOYDS</t>
        </is>
      </c>
      <c r="B74">
        <f>ACT_EXPOSURE_LLOYDS(0.5, 2)</f>
        <v/>
      </c>
      <c r="C74" t="inlineStr">
        <is>
          <t>Lloyd's Y2 curve</t>
        </is>
      </c>
    </row>
    <row r="75">
      <c r="A75" s="11" t="inlineStr">
        <is>
          <t>ACT_EXPOSURE_LLOYDS</t>
        </is>
      </c>
      <c r="B75">
        <f>ACT_EXPOSURE_LLOYDS(0.5, 3)</f>
        <v/>
      </c>
      <c r="C75" t="inlineStr">
        <is>
          <t>Lloyd's Y3 curve</t>
        </is>
      </c>
    </row>
    <row r="76">
      <c r="A76" s="11" t="inlineStr">
        <is>
          <t>ACT_EXPOSURE_LLOYDS</t>
        </is>
      </c>
      <c r="B76">
        <f>ACT_EXPOSURE_LLOYDS(0.5, 4)</f>
        <v/>
      </c>
      <c r="C76" t="inlineStr">
        <is>
          <t>Lloyd's Y4 curve</t>
        </is>
      </c>
    </row>
    <row r="77">
      <c r="A77" s="11" t="inlineStr">
        <is>
          <t>ACT_EXPOSURE_POWER</t>
        </is>
      </c>
      <c r="B77">
        <f>ACT_EXPOSURE_POWER(0.5, 2)</f>
        <v/>
      </c>
      <c r="C77" t="inlineStr">
        <is>
          <t>Power curve n=2</t>
        </is>
      </c>
    </row>
    <row r="78">
      <c r="A78" s="11" t="inlineStr">
        <is>
          <t>ACT_EXPOSURE_INVERSE_POWER</t>
        </is>
      </c>
      <c r="B78">
        <f>ACT_EXPOSURE_INVERSE_POWER(0.5, 2)</f>
        <v/>
      </c>
      <c r="C78" t="inlineStr">
        <is>
          <t>Inverse power n=2</t>
        </is>
      </c>
    </row>
    <row r="79">
      <c r="A79" s="11" t="inlineStr">
        <is>
          <t>ACT_EXPOSURE_PARETO</t>
        </is>
      </c>
      <c r="B79">
        <f>ACT_EXPOSURE_PARETO(0.5, 2)</f>
        <v/>
      </c>
      <c r="C79" t="inlineStr">
        <is>
          <t>Pareto exposure α=2</t>
        </is>
      </c>
    </row>
    <row r="80">
      <c r="A80" s="11" t="inlineStr">
        <is>
          <t>ACT_EXPOSURE_RIEBESELL</t>
        </is>
      </c>
      <c r="B80">
        <f>ACT_EXPOSURE_RIEBESELL(0.5, 0.8)</f>
        <v/>
      </c>
      <c r="C80" t="inlineStr">
        <is>
          <t>Riebesell c=0.8</t>
        </is>
      </c>
    </row>
    <row r="81">
      <c r="A81" s="11" t="inlineStr">
        <is>
          <t>ACT_EXPOSURE_RIEBESELL_INV</t>
        </is>
      </c>
      <c r="B81">
        <f>ACT_EXPOSURE_RIEBESELL_INV(0.7, 0.8)</f>
        <v/>
      </c>
      <c r="C81" t="inlineStr">
        <is>
          <t>Inverse Riebesell</t>
        </is>
      </c>
    </row>
    <row r="82"/>
    <row r="83">
      <c r="A83" s="13" t="inlineStr">
        <is>
          <t>REINSURANCE</t>
        </is>
      </c>
    </row>
    <row r="84"/>
    <row r="85">
      <c r="A85" s="11" t="inlineStr">
        <is>
          <t>ACT_XOL_LAYER_LOSS</t>
        </is>
      </c>
      <c r="B85">
        <f>ACT_XOL_LAYER_LOSS(5000000, 1000000, 4000000)</f>
        <v/>
      </c>
      <c r="C85" t="inlineStr">
        <is>
          <t>Layer loss: 5M ground-up, 4M xs 1M</t>
        </is>
      </c>
    </row>
    <row r="86">
      <c r="A86" s="11" t="inlineStr">
        <is>
          <t>ACT_XOL_EXPECTED_LOSS</t>
        </is>
      </c>
      <c r="B86">
        <f>ACT_XOL_EXPECTED_LOSS(1000000, 4000000, 2, 100000, 0.1)</f>
        <v/>
      </c>
      <c r="C86" t="inlineStr">
        <is>
          <t>Expected layer loss</t>
        </is>
      </c>
    </row>
    <row r="87">
      <c r="A87" s="11" t="inlineStr">
        <is>
          <t>ACT_QS_CEDED</t>
        </is>
      </c>
      <c r="B87">
        <f>ACT_QS_CEDED(1000000, 0.5)</f>
        <v/>
      </c>
      <c r="C87" t="inlineStr">
        <is>
          <t>50% quota share</t>
        </is>
      </c>
    </row>
    <row r="88">
      <c r="A88" s="11" t="inlineStr">
        <is>
          <t>ACT_AGGREGATE_LAYER</t>
        </is>
      </c>
      <c r="B88">
        <f>ACT_AGGREGATE_LAYER(15000000, 2000000, 10000000)</f>
        <v/>
      </c>
      <c r="C88" t="inlineStr">
        <is>
          <t>Aggregate: 10M xs 2M AAD</t>
        </is>
      </c>
    </row>
    <row r="89">
      <c r="A89" s="11" t="inlineStr">
        <is>
          <t>ACT_ILF_PARETO</t>
        </is>
      </c>
      <c r="B89">
        <f>ACT_ILF_PARETO(2000000, 1000000, 2)</f>
        <v/>
      </c>
      <c r="C89" t="inlineStr">
        <is>
          <t>ILF at 2M, base 1M, α=2</t>
        </is>
      </c>
    </row>
    <row r="90">
      <c r="A90" s="11" t="inlineStr">
        <is>
          <t>ACT_EXPOSURE_LAYER_RATE</t>
        </is>
      </c>
      <c r="B90">
        <f>ACT_EXPOSURE_LAYER_RATE(100000, 1000000, 4000000)</f>
        <v/>
      </c>
      <c r="C90" t="inlineStr">
        <is>
          <t>Rate on line</t>
        </is>
      </c>
    </row>
    <row r="91"/>
    <row r="92">
      <c r="A92" s="13" t="inlineStr">
        <is>
          <t>Return Period Functions</t>
        </is>
      </c>
    </row>
    <row r="93">
      <c r="A93" s="11" t="inlineStr">
        <is>
          <t>ACT_RETURN_PERIOD_LOSS</t>
        </is>
      </c>
      <c r="B93">
        <f>ACT_RETURN_PERIOD_LOSS({100,50,25,10,5}, {1000000,2000000,3000000,5000000,10000000}, 20, "LOG")</f>
        <v/>
      </c>
      <c r="C93" t="inlineStr">
        <is>
          <t>20-year loss</t>
        </is>
      </c>
    </row>
    <row r="94">
      <c r="A94" s="11" t="inlineStr">
        <is>
          <t>ACT_RETURN_PERIOD_TABLE</t>
        </is>
      </c>
      <c r="B94">
        <f>ACT_RETURN_PERIOD_TABLE({100,50,25,10,5}, {1000000,2000000,3000000,5000000,10000000}, {10,25,50,100})</f>
        <v/>
      </c>
      <c r="C94" t="inlineStr">
        <is>
          <t>RP table (array)</t>
        </is>
      </c>
    </row>
    <row r="95">
      <c r="A95" s="11" t="inlineStr">
        <is>
          <t>ACT_AAL_FROM_OEP</t>
        </is>
      </c>
      <c r="B95">
        <f>ACT_AAL_FROM_OEP({100,50,25,10,5}, {1000000,2000000,3000000,5000000,10000000})</f>
        <v/>
      </c>
      <c r="C95" t="inlineStr">
        <is>
          <t>AAL from OEP curve</t>
        </is>
      </c>
    </row>
    <row r="96"/>
    <row r="97">
      <c r="A97" s="13" t="inlineStr">
        <is>
          <t>INTERPOLATION</t>
        </is>
      </c>
    </row>
    <row r="98"/>
    <row r="99">
      <c r="A99" s="11" t="inlineStr">
        <is>
          <t>ACT_INTERP</t>
        </is>
      </c>
      <c r="B99">
        <f>ACT_INTERP({1,2,3,4,5}, {10,20,35,55,80}, 2.5, "LINEAR")</f>
        <v/>
      </c>
      <c r="C99" t="inlineStr">
        <is>
          <t>Linear interpolation</t>
        </is>
      </c>
    </row>
    <row r="100">
      <c r="A100" s="11" t="inlineStr">
        <is>
          <t>ACT_INTERP</t>
        </is>
      </c>
      <c r="B100">
        <f>ACT_INTERP({1,2,3,4,5}, {10,20,35,55,80}, 0.5, "FLAT")</f>
        <v/>
      </c>
      <c r="C100" t="inlineStr">
        <is>
          <t>Flat extrapolation</t>
        </is>
      </c>
    </row>
    <row r="101">
      <c r="A101" s="11" t="inlineStr">
        <is>
          <t>ACT_INTERP</t>
        </is>
      </c>
      <c r="B101">
        <f>ACT_INTERP({1,2,3,4,5}, {10,20,35,55,80}, 6, "GRADIENT")</f>
        <v/>
      </c>
      <c r="C101" t="inlineStr">
        <is>
          <t>Gradient extrapolation</t>
        </is>
      </c>
    </row>
    <row r="102">
      <c r="A102" s="11" t="inlineStr">
        <is>
          <t>ACT_INTERP_LOG</t>
        </is>
      </c>
      <c r="B102">
        <f>ACT_INTERP_LOG({1,2,3,4,5}, {10,20,35,55,80}, 2.5)</f>
        <v/>
      </c>
      <c r="C102" t="inlineStr">
        <is>
          <t>Log-linear interpolation</t>
        </is>
      </c>
    </row>
    <row r="103">
      <c r="A103" s="11" t="inlineStr">
        <is>
          <t>ACT_INTERP2D</t>
        </is>
      </c>
      <c r="B103">
        <f>ACT_INTERP2D({1,2,3}, {10,20,30}, {100,200,300;110,220,330;120,240,360}, 1.5, 15)</f>
        <v/>
      </c>
      <c r="C103" t="inlineStr">
        <is>
          <t>2D bilinear interpolation</t>
        </is>
      </c>
    </row>
    <row r="104"/>
    <row r="105">
      <c r="A105" s="13" t="inlineStr">
        <is>
          <t>CREDIBILITY - Bühlmann</t>
        </is>
      </c>
    </row>
    <row r="106"/>
    <row r="107">
      <c r="A107" s="11" t="inlineStr">
        <is>
          <t>ACT_CREDIBILITY_BUHLMANN</t>
        </is>
      </c>
      <c r="B107">
        <f>ACT_CREDIBILITY_BUHLMANN(10, 5)</f>
        <v/>
      </c>
      <c r="C107" t="inlineStr">
        <is>
          <t>Z = n/(n+k) = 10/15</t>
        </is>
      </c>
    </row>
    <row r="108">
      <c r="A108" s="11" t="inlineStr">
        <is>
          <t>ACT_CREDIBILITY_ESTIMATE</t>
        </is>
      </c>
      <c r="B108">
        <f>ACT_CREDIBILITY_ESTIMATE(10, 5, 0.05, 0.03)</f>
        <v/>
      </c>
      <c r="C108" t="inlineStr">
        <is>
          <t>Blended estimate</t>
        </is>
      </c>
    </row>
    <row r="109">
      <c r="A109" s="11" t="inlineStr">
        <is>
          <t>ACT_CREDIBILITY_K</t>
        </is>
      </c>
      <c r="B109">
        <f>ACT_CREDIBILITY_K({0.05,0.06,0.04}, {100,150,120})</f>
        <v/>
      </c>
      <c r="C109" t="inlineStr">
        <is>
          <t>Estimate k from data</t>
        </is>
      </c>
    </row>
    <row r="110">
      <c r="A110" s="11" t="inlineStr">
        <is>
          <t>ACT_CREDIBILITY_BUHLMANN_STRAUB</t>
        </is>
      </c>
      <c r="B110">
        <f>ACT_CREDIBILITY_BUHLMANN_STRAUB(1000, 500)</f>
        <v/>
      </c>
      <c r="C110" t="inlineStr">
        <is>
          <t>B-S credibility</t>
        </is>
      </c>
    </row>
    <row r="111">
      <c r="A111" s="11" t="inlineStr">
        <is>
          <t>ACT_BUHLMANN_STRAUB_PARAMS</t>
        </is>
      </c>
      <c r="B111">
        <f>ACT_BUHLMANN_STRAUB_PARAMS({0.05,0.06,0.04;0.055,0.058,0.045}, {100,150,120;110,140,130})</f>
        <v/>
      </c>
      <c r="C111" t="inlineStr">
        <is>
          <t>B-S parameters (array)</t>
        </is>
      </c>
    </row>
    <row r="112"/>
    <row r="113">
      <c r="A113" s="13" t="inlineStr">
        <is>
          <t>CREDIBILITY - Experience Rating</t>
        </is>
      </c>
    </row>
    <row r="114">
      <c r="A114" s="11" t="inlineStr">
        <is>
          <t>ACT_EXPERIENCE_MOD</t>
        </is>
      </c>
      <c r="B114">
        <f>ACT_EXPERIENCE_MOD(0.7, 50000, 70000)</f>
        <v/>
      </c>
      <c r="C114" t="inlineStr">
        <is>
          <t>Experience mod factor</t>
        </is>
      </c>
    </row>
    <row r="115">
      <c r="A115" s="11" t="inlineStr">
        <is>
          <t>ACT_EXPERIENCE_MOD_SPLIT</t>
        </is>
      </c>
      <c r="B115">
        <f>ACT_EXPERIENCE_MOD_SPLIT(0.7, 50000, 70000, 25000, 0.3)</f>
        <v/>
      </c>
      <c r="C115" t="inlineStr">
        <is>
          <t>Split plan exp mod</t>
        </is>
      </c>
    </row>
    <row r="116"/>
    <row r="117">
      <c r="A117" s="13" t="inlineStr">
        <is>
          <t>CREDIBILITY - Full/Partial</t>
        </is>
      </c>
    </row>
    <row r="118">
      <c r="A118" s="11" t="inlineStr">
        <is>
          <t>ACT_FULL_CREDIBILITY_STANDARD</t>
        </is>
      </c>
      <c r="B118">
        <f>ACT_FULL_CREDIBILITY_STANDARD(0.05, 0.90, 1.5)</f>
        <v/>
      </c>
      <c r="C118" t="inlineStr">
        <is>
          <t>Full cred standard n₀</t>
        </is>
      </c>
    </row>
    <row r="119">
      <c r="A119" s="11" t="inlineStr">
        <is>
          <t>ACT_PARTIAL_CREDIBILITY</t>
        </is>
      </c>
      <c r="B119">
        <f>ACT_PARTIAL_CREDIBILITY(500, 1082)</f>
        <v/>
      </c>
      <c r="C119" t="inlineStr">
        <is>
          <t>Partial cred (sqrt rule)</t>
        </is>
      </c>
    </row>
    <row r="120">
      <c r="A120" s="11" t="inlineStr">
        <is>
          <t>ACT_LINEAR_CREDIBILITY</t>
        </is>
      </c>
      <c r="B120">
        <f>ACT_LINEAR_CREDIBILITY(500, 1082)</f>
        <v/>
      </c>
      <c r="C120" t="inlineStr">
        <is>
          <t>Linear credibility</t>
        </is>
      </c>
    </row>
    <row r="121">
      <c r="A121" s="11" t="inlineStr">
        <is>
          <t>ACT_ASYMPTOTIC_CREDIBILITY</t>
        </is>
      </c>
      <c r="B121">
        <f>ACT_ASYMPTOTIC_CREDIBILITY(10, 5, 0.5)</f>
        <v/>
      </c>
      <c r="C121" t="inlineStr">
        <is>
          <t>Asymptotic cred</t>
        </is>
      </c>
    </row>
    <row r="122"/>
    <row r="123">
      <c r="A123" s="13" t="inlineStr">
        <is>
          <t>CREDIBILITY - ILF</t>
        </is>
      </c>
    </row>
    <row r="124">
      <c r="A124" s="11" t="inlineStr">
        <is>
          <t>ACT_ILF_LAYER</t>
        </is>
      </c>
      <c r="B124">
        <f>ACT_ILF_LAYER(1000000, 4000000, 100000, 2)</f>
        <v/>
      </c>
      <c r="C124" t="inlineStr">
        <is>
          <t>Layer ILF</t>
        </is>
      </c>
    </row>
    <row r="125">
      <c r="A125" s="11" t="inlineStr">
        <is>
          <t>ACT_ILF_TABLE</t>
        </is>
      </c>
      <c r="B125">
        <f>ACT_ILF_TABLE(100000, {250000,500000,1000000,2000000}, 2)</f>
        <v/>
      </c>
      <c r="C125" t="inlineStr">
        <is>
          <t>ILF table (array)</t>
        </is>
      </c>
    </row>
    <row r="126">
      <c r="A126" s="11" t="inlineStr">
        <is>
          <t>ACT_ILF_TABLE_STANDARD</t>
        </is>
      </c>
      <c r="B126">
        <f>ACT_ILF_TABLE_STANDARD(100000, 5000000, 2)</f>
        <v/>
      </c>
      <c r="C126" t="inlineStr">
        <is>
          <t>Standard ILF table (array)</t>
        </is>
      </c>
    </row>
    <row r="127"/>
    <row r="128">
      <c r="A128" s="13" t="inlineStr">
        <is>
          <t>CREDIBILITY - Deductibles</t>
        </is>
      </c>
    </row>
    <row r="129">
      <c r="A129" s="11" t="inlineStr">
        <is>
          <t>ACT_LOSS_ELIMINATION_RATIO</t>
        </is>
      </c>
      <c r="B129">
        <f>ACT_LOSS_ELIMINATION_RATIO(10000, 2, 1000)</f>
        <v/>
      </c>
      <c r="C129" t="inlineStr">
        <is>
          <t>LER Pareto</t>
        </is>
      </c>
    </row>
    <row r="130">
      <c r="A130" s="11" t="inlineStr">
        <is>
          <t>ACT_LOSS_ELIMINATION_RATIO_LOGNORMAL</t>
        </is>
      </c>
      <c r="B130">
        <f>ACT_LOSS_ELIMINATION_RATIO_LOGNORMAL(10000, 10, 1)</f>
        <v/>
      </c>
      <c r="C130" t="inlineStr">
        <is>
          <t>LER Lognormal</t>
        </is>
      </c>
    </row>
    <row r="131">
      <c r="A131" s="11" t="inlineStr">
        <is>
          <t>ACT_DEDUCTIBLE_CREDIT</t>
        </is>
      </c>
      <c r="B131">
        <f>ACT_DEDUCTIBLE_CREDIT(10000, 2, 1000)</f>
        <v/>
      </c>
      <c r="C131" t="inlineStr">
        <is>
          <t>Deductible credit</t>
        </is>
      </c>
    </row>
    <row r="132">
      <c r="A132" s="11" t="inlineStr">
        <is>
          <t>ACT_PREMIUM_WITH_DEDUCTIBLE</t>
        </is>
      </c>
      <c r="B132">
        <f>ACT_PREMIUM_WITH_DEDUCTIBLE(100000, 10000, 2, 1000)</f>
        <v/>
      </c>
      <c r="C132" t="inlineStr">
        <is>
          <t>Premium with deductible</t>
        </is>
      </c>
    </row>
    <row r="133"/>
    <row r="134">
      <c r="A134" s="13" t="inlineStr">
        <is>
          <t>CREDIBILITY - Loading</t>
        </is>
      </c>
    </row>
    <row r="135">
      <c r="A135" s="11" t="inlineStr">
        <is>
          <t>ACT_LARGE_LOSS_LOAD</t>
        </is>
      </c>
      <c r="B135">
        <f>ACT_LARGE_LOSS_LOAD(0.1, 500000, 100000)</f>
        <v/>
      </c>
      <c r="C135" t="inlineStr">
        <is>
          <t>Large loss loading</t>
        </is>
      </c>
    </row>
    <row r="136">
      <c r="A136" s="11" t="inlineStr">
        <is>
          <t>ACT_SHOCK_LOSS_LOAD</t>
        </is>
      </c>
      <c r="B136">
        <f>ACT_SHOCK_LOSS_LOAD(0.01, 10000000, 100000)</f>
        <v/>
      </c>
      <c r="C136" t="inlineStr">
        <is>
          <t>Shock loss loading</t>
        </is>
      </c>
    </row>
    <row r="137"/>
    <row r="138">
      <c r="A138" s="13" t="inlineStr">
        <is>
          <t>CREDIBILITY - Burning Cost</t>
        </is>
      </c>
    </row>
    <row r="139">
      <c r="A139" s="11" t="inlineStr">
        <is>
          <t>ACT_BURNING_COST</t>
        </is>
      </c>
      <c r="B139">
        <f>ACT_BURNING_COST({50000,60000,40000}, {1000000,1100000,1050000})</f>
        <v/>
      </c>
      <c r="C139" t="inlineStr">
        <is>
          <t>Burning cost</t>
        </is>
      </c>
    </row>
    <row r="140">
      <c r="A140" s="11" t="inlineStr">
        <is>
          <t>ACT_CREDIBILITY_RATE</t>
        </is>
      </c>
      <c r="B140">
        <f>ACT_CREDIBILITY_RATE(0.05, 0.03, 0.6)</f>
        <v/>
      </c>
      <c r="C140" t="inlineStr">
        <is>
          <t>Credibility-weighted rate</t>
        </is>
      </c>
    </row>
    <row r="141">
      <c r="A141" s="11" t="inlineStr">
        <is>
          <t>ACT_COMPOSITE_RATE</t>
        </is>
      </c>
      <c r="B141">
        <f>ACT_COMPOSITE_RATE({0.05,0.06,0.04}, {0.5,0.3,0.2})</f>
        <v/>
      </c>
      <c r="C141" t="inlineStr">
        <is>
          <t>Composite rate</t>
        </is>
      </c>
    </row>
    <row r="142">
      <c r="A142" s="11" t="inlineStr">
        <is>
          <t>ACT_MULTIYEAR_CREDIBILITY</t>
        </is>
      </c>
      <c r="B142">
        <f>ACT_MULTIYEAR_CREDIBILITY(3, 100, 0.5)</f>
        <v/>
      </c>
      <c r="C142" t="inlineStr">
        <is>
          <t>Multi-year credibility</t>
        </is>
      </c>
    </row>
    <row r="143"/>
    <row r="144">
      <c r="A144" s="13" t="inlineStr">
        <is>
          <t>CREDIBILITY - Schedule Rating</t>
        </is>
      </c>
    </row>
    <row r="145">
      <c r="A145" s="11" t="inlineStr">
        <is>
          <t>ACT_SCHEDULE_RATING</t>
        </is>
      </c>
      <c r="B145">
        <f>ACT_SCHEDULE_RATING(100000, {0.1,-0.05,0.15})</f>
        <v/>
      </c>
      <c r="C145" t="inlineStr">
        <is>
          <t>Schedule rating</t>
        </is>
      </c>
    </row>
    <row r="146">
      <c r="A146" s="11" t="inlineStr">
        <is>
          <t>ACT_SCHEDULE_RATING_CAPPED</t>
        </is>
      </c>
      <c r="B146">
        <f>ACT_SCHEDULE_RATING_CAPPED(100000, {0.1,-0.05,0.15}, {0.15,0.1,0.2})</f>
        <v/>
      </c>
      <c r="C146" t="inlineStr">
        <is>
          <t>Capped schedule rating</t>
        </is>
      </c>
    </row>
    <row r="147"/>
    <row r="148">
      <c r="A148" s="13" t="inlineStr">
        <is>
          <t>CREDIBILITY - Retrospective</t>
        </is>
      </c>
    </row>
    <row r="149">
      <c r="A149" s="11" t="inlineStr">
        <is>
          <t>ACT_RETRO_PREMIUM</t>
        </is>
      </c>
      <c r="B149">
        <f>ACT_RETRO_PREMIUM(100000, 50000, 0.3, 1.1, 0.6, 1.2, 1.03)</f>
        <v/>
      </c>
      <c r="C149" t="inlineStr">
        <is>
          <t>Retro premium</t>
        </is>
      </c>
    </row>
    <row r="150">
      <c r="A150" s="11" t="inlineStr">
        <is>
          <t>ACT_RETRO_PARAMETERS</t>
        </is>
      </c>
      <c r="B150">
        <f>ACT_RETRO_PARAMETERS(0.6, 1.2, 0.05, 1.1)</f>
        <v/>
      </c>
      <c r="C150" t="inlineStr">
        <is>
          <t>Retro parameters (array)</t>
        </is>
      </c>
    </row>
    <row r="151">
      <c r="A151" s="11" t="inlineStr">
        <is>
          <t>ACT_RETRO_LOSS_LIMIT_CREDIT</t>
        </is>
      </c>
      <c r="B151">
        <f>ACT_RETRO_LOSS_LIMIT_CREDIT(250000, 100000, 2, 1000)</f>
        <v/>
      </c>
      <c r="C151" t="inlineStr">
        <is>
          <t>Loss limit credit</t>
        </is>
      </c>
    </row>
    <row r="152"/>
    <row r="153">
      <c r="A153" s="13" t="inlineStr">
        <is>
          <t>CREDIBILITY - Bayesian</t>
        </is>
      </c>
    </row>
    <row r="154">
      <c r="A154" s="11" t="inlineStr">
        <is>
          <t>ACT_BAYESIAN_UPDATE</t>
        </is>
      </c>
      <c r="B154">
        <f>ACT_BAYESIAN_UPDATE(0.05, 0.01, 0.06, 0.005)</f>
        <v/>
      </c>
      <c r="C154" t="inlineStr">
        <is>
          <t>Bayesian posterior mean</t>
        </is>
      </c>
    </row>
    <row r="155">
      <c r="A155" s="11" t="inlineStr">
        <is>
          <t>ACT_BAYESIAN_UPDATE_FULL</t>
        </is>
      </c>
      <c r="B155">
        <f>ACT_BAYESIAN_UPDATE_FULL(0.05, 0.01, 0.06, 0.005)</f>
        <v/>
      </c>
      <c r="C155" t="inlineStr">
        <is>
          <t>Posterior mean &amp; var (array)</t>
        </is>
      </c>
    </row>
    <row r="156"/>
    <row r="157">
      <c r="A157" s="13" t="inlineStr">
        <is>
          <t>CREDIBILITY - Poisson</t>
        </is>
      </c>
    </row>
    <row r="158">
      <c r="A158" s="11" t="inlineStr">
        <is>
          <t>ACT_CREDIBILITY_POISSON</t>
        </is>
      </c>
      <c r="B158">
        <f>ACT_CREDIBILITY_POISSON(10, 5, 2)</f>
        <v/>
      </c>
      <c r="C158" t="inlineStr">
        <is>
          <t>Poisson credibility</t>
        </is>
      </c>
    </row>
    <row r="159">
      <c r="A159" s="11" t="inlineStr">
        <is>
          <t>ACT_FREQUENCY_ESTIMATE</t>
        </is>
      </c>
      <c r="B159">
        <f>ACT_FREQUENCY_ESTIMATE(10, 1000, 5, 2, 0.005)</f>
        <v/>
      </c>
      <c r="C159" t="inlineStr">
        <is>
          <t>Credibility frequency est</t>
        </is>
      </c>
    </row>
    <row r="160"/>
    <row r="161">
      <c r="A161" s="13" t="inlineStr">
        <is>
          <t>COPULAS - Gaussian</t>
        </is>
      </c>
    </row>
    <row r="162"/>
    <row r="163">
      <c r="A163" s="11" t="inlineStr">
        <is>
          <t>ACT_COPULA_GAUSSIAN</t>
        </is>
      </c>
      <c r="B163">
        <f>ACT_COPULA_GAUSSIAN({1,0.5;0.5,1}, 5, 42)</f>
        <v/>
      </c>
      <c r="C163" t="inlineStr">
        <is>
          <t>Gaussian copula samples (array)</t>
        </is>
      </c>
    </row>
    <row r="164">
      <c r="A164" s="11" t="inlineStr">
        <is>
          <t>ACT_COPULA_GAUSSIAN_SINGLE</t>
        </is>
      </c>
      <c r="B164">
        <f>ACT_COPULA_GAUSSIAN_SINGLE({1,0.5;0.5,1}, 42)</f>
        <v/>
      </c>
      <c r="C164" t="inlineStr">
        <is>
          <t>Single Gaussian sample</t>
        </is>
      </c>
    </row>
    <row r="165"/>
    <row r="166">
      <c r="A166" s="13" t="inlineStr">
        <is>
          <t>COPULAS - Student-t</t>
        </is>
      </c>
    </row>
    <row r="167">
      <c r="A167" s="11" t="inlineStr">
        <is>
          <t>ACT_COPULA_STUDENT_T</t>
        </is>
      </c>
      <c r="B167">
        <f>ACT_COPULA_STUDENT_T({1,0.5;0.5,1}, 5, 5, 42)</f>
        <v/>
      </c>
      <c r="C167" t="inlineStr">
        <is>
          <t>Student-t copula (array)</t>
        </is>
      </c>
    </row>
    <row r="168">
      <c r="A168" s="11" t="inlineStr">
        <is>
          <t>ACT_COPULA_STUDENT_T_SINGLE</t>
        </is>
      </c>
      <c r="B168">
        <f>ACT_COPULA_STUDENT_T_SINGLE({1,0.5;0.5,1}, 5, 42)</f>
        <v/>
      </c>
      <c r="C168" t="inlineStr">
        <is>
          <t>Single Student-t sample</t>
        </is>
      </c>
    </row>
    <row r="169"/>
    <row r="170">
      <c r="A170" s="13" t="inlineStr">
        <is>
          <t>COPULAS - Clayton (lower tail)</t>
        </is>
      </c>
    </row>
    <row r="171">
      <c r="A171" s="11" t="inlineStr">
        <is>
          <t>ACT_COPULA_CLAYTON</t>
        </is>
      </c>
      <c r="B171">
        <f>ACT_COPULA_CLAYTON(2, 5, 42)</f>
        <v/>
      </c>
      <c r="C171" t="inlineStr">
        <is>
          <t>Clayton copula (array)</t>
        </is>
      </c>
    </row>
    <row r="172">
      <c r="A172" s="11" t="inlineStr">
        <is>
          <t>ACT_COPULA_CLAYTON_SINGLE</t>
        </is>
      </c>
      <c r="B172">
        <f>ACT_COPULA_CLAYTON_SINGLE(2, 42)</f>
        <v/>
      </c>
      <c r="C172" t="inlineStr">
        <is>
          <t>Single Clayton sample</t>
        </is>
      </c>
    </row>
    <row r="173">
      <c r="A173" s="11" t="inlineStr">
        <is>
          <t>ACT_COPULA_CLAYTON_CDF</t>
        </is>
      </c>
      <c r="B173">
        <f>ACT_COPULA_CLAYTON_CDF(0.5, 0.5, 2)</f>
        <v/>
      </c>
      <c r="C173" t="inlineStr">
        <is>
          <t>Clayton CDF</t>
        </is>
      </c>
    </row>
    <row r="174"/>
    <row r="175">
      <c r="A175" s="13" t="inlineStr">
        <is>
          <t>COPULAS - Frank (symmetric)</t>
        </is>
      </c>
    </row>
    <row r="176">
      <c r="A176" s="11" t="inlineStr">
        <is>
          <t>ACT_COPULA_FRANK</t>
        </is>
      </c>
      <c r="B176">
        <f>ACT_COPULA_FRANK(5, 5, 42)</f>
        <v/>
      </c>
      <c r="C176" t="inlineStr">
        <is>
          <t>Frank copula (array)</t>
        </is>
      </c>
    </row>
    <row r="177">
      <c r="A177" s="11" t="inlineStr">
        <is>
          <t>ACT_COPULA_FRANK_SINGLE</t>
        </is>
      </c>
      <c r="B177">
        <f>ACT_COPULA_FRANK_SINGLE(5, 42)</f>
        <v/>
      </c>
      <c r="C177" t="inlineStr">
        <is>
          <t>Single Frank sample</t>
        </is>
      </c>
    </row>
    <row r="178">
      <c r="A178" s="11" t="inlineStr">
        <is>
          <t>ACT_COPULA_FRANK_CDF</t>
        </is>
      </c>
      <c r="B178">
        <f>ACT_COPULA_FRANK_CDF(0.5, 0.5, 5)</f>
        <v/>
      </c>
      <c r="C178" t="inlineStr">
        <is>
          <t>Frank CDF</t>
        </is>
      </c>
    </row>
    <row r="179"/>
    <row r="180">
      <c r="A180" s="13" t="inlineStr">
        <is>
          <t>COPULAS - Gumbel (upper tail)</t>
        </is>
      </c>
    </row>
    <row r="181">
      <c r="A181" s="11" t="inlineStr">
        <is>
          <t>ACT_COPULA_GUMBEL</t>
        </is>
      </c>
      <c r="B181">
        <f>ACT_COPULA_GUMBEL(2, 5, 42)</f>
        <v/>
      </c>
      <c r="C181" t="inlineStr">
        <is>
          <t>Gumbel copula (array)</t>
        </is>
      </c>
    </row>
    <row r="182">
      <c r="A182" s="11" t="inlineStr">
        <is>
          <t>ACT_COPULA_GUMBEL_SINGLE</t>
        </is>
      </c>
      <c r="B182">
        <f>ACT_COPULA_GUMBEL_SINGLE(2, 42)</f>
        <v/>
      </c>
      <c r="C182" t="inlineStr">
        <is>
          <t>Single Gumbel sample</t>
        </is>
      </c>
    </row>
    <row r="183">
      <c r="A183" s="11" t="inlineStr">
        <is>
          <t>ACT_COPULA_GUMBEL_CDF</t>
        </is>
      </c>
      <c r="B183">
        <f>ACT_COPULA_GUMBEL_CDF(0.5, 0.5, 2)</f>
        <v/>
      </c>
      <c r="C183" t="inlineStr">
        <is>
          <t>Gumbel CDF</t>
        </is>
      </c>
    </row>
    <row r="184"/>
    <row r="185">
      <c r="A185" s="13" t="inlineStr">
        <is>
          <t>COPULAS - Utilities</t>
        </is>
      </c>
    </row>
    <row r="186">
      <c r="A186" s="11" t="inlineStr">
        <is>
          <t>ACT_COPULA_TAU_TO_THETA</t>
        </is>
      </c>
      <c r="B186">
        <f>ACT_COPULA_TAU_TO_THETA(0.5, "CLAYTON")</f>
        <v/>
      </c>
      <c r="C186" t="inlineStr">
        <is>
          <t>Kendall τ → θ</t>
        </is>
      </c>
    </row>
    <row r="187">
      <c r="A187" s="11" t="inlineStr">
        <is>
          <t>ACT_COPULA_TAIL_LOWER</t>
        </is>
      </c>
      <c r="B187">
        <f>ACT_COPULA_TAIL_LOWER("CLAYTON", 2)</f>
        <v/>
      </c>
      <c r="C187" t="inlineStr">
        <is>
          <t>Lower tail dependence</t>
        </is>
      </c>
    </row>
    <row r="188">
      <c r="A188" s="11" t="inlineStr">
        <is>
          <t>ACT_COPULA_TAIL_UPPER</t>
        </is>
      </c>
      <c r="B188">
        <f>ACT_COPULA_TAIL_UPPER("GUMBEL", 2)</f>
        <v/>
      </c>
      <c r="C188" t="inlineStr">
        <is>
          <t>Upper tail dependence</t>
        </is>
      </c>
    </row>
    <row r="189">
      <c r="A189" s="11" t="inlineStr">
        <is>
          <t>ACT_COPULA_TAIL_LOWER</t>
        </is>
      </c>
      <c r="B189">
        <f>ACT_COPULA_TAIL_LOWER("STUDENT_T", 5, 0.5)</f>
        <v/>
      </c>
      <c r="C189" t="inlineStr">
        <is>
          <t>Student-t lower tail</t>
        </is>
      </c>
    </row>
    <row r="190">
      <c r="A190" s="11" t="inlineStr">
        <is>
          <t>ACT_COPULA_TAIL_UPPER</t>
        </is>
      </c>
      <c r="B190">
        <f>ACT_COPULA_TAIL_UPPER("STUDENT_T", 5, 0.5)</f>
        <v/>
      </c>
      <c r="C190" t="inlineStr">
        <is>
          <t>Student-t upper tail</t>
        </is>
      </c>
    </row>
    <row r="191"/>
    <row r="192">
      <c r="A192" s="13" t="inlineStr">
        <is>
          <t>CHAIN LADDER - See dedicated sheet</t>
        </is>
      </c>
    </row>
    <row r="193"/>
    <row r="194">
      <c r="A194" s="13" t="inlineStr">
        <is>
          <t>(Chain ladder functions tested in 'Chain Ladder' sheet with triangle data)</t>
        </is>
      </c>
    </row>
    <row r="195">
      <c r="A195" s="13" t="inlineStr">
        <is>
          <t>ACT_CL_FACTORS - Development factors (array)</t>
        </is>
      </c>
    </row>
    <row r="196">
      <c r="A196" s="13" t="inlineStr">
        <is>
          <t>ACT_CL_LATEST - Latest diagonal (array)</t>
        </is>
      </c>
    </row>
    <row r="197">
      <c r="A197" s="13" t="inlineStr">
        <is>
          <t>ACT_CL_ULTIMATE - Projected ultimates (array)</t>
        </is>
      </c>
    </row>
    <row r="198">
      <c r="A198" s="13" t="inlineStr">
        <is>
          <t>ACT_CL_IBNR - IBNR reserves (array)</t>
        </is>
      </c>
    </row>
    <row r="199">
      <c r="A199" s="13" t="inlineStr">
        <is>
          <t>ACT_CL_BF_ULTIMATE - Bornhuetter-Ferguson (array)</t>
        </is>
      </c>
    </row>
    <row r="200">
      <c r="A200" s="13" t="inlineStr">
        <is>
          <t>ACT_MACK_FACTOR_SE - Factor std errors (array)</t>
        </is>
      </c>
    </row>
    <row r="201">
      <c r="A201" s="13" t="inlineStr">
        <is>
          <t>ACT_MACK_RESERVE_SE - Reserve std errors (array)</t>
        </is>
      </c>
    </row>
    <row r="202">
      <c r="A202" s="13" t="inlineStr">
        <is>
          <t>ACT_CL_BOOTSTRAP - Bootstrap total (array)</t>
        </is>
      </c>
    </row>
    <row r="203">
      <c r="A203" s="13" t="inlineStr">
        <is>
          <t>ACT_BOOTSTRAP_ORIGIN_CL - Bootstrap by AY (array)</t>
        </is>
      </c>
    </row>
    <row r="204">
      <c r="A204" s="13" t="inlineStr">
        <is>
          <t>ACT_CAPECOD_ULTIMATE - Cape Cod (array)</t>
        </is>
      </c>
    </row>
    <row r="205">
      <c r="A205" s="13" t="inlineStr">
        <is>
          <t>ACT_CAPECOD_ELR - Cape Cod ELR</t>
        </is>
      </c>
    </row>
    <row r="206">
      <c r="A206" s="13" t="inlineStr">
        <is>
          <t>ACT_BERQUIST_SHERMAN - Berquist-Sherman (array)</t>
        </is>
      </c>
    </row>
    <row r="207">
      <c r="A207" s="13" t="inlineStr">
        <is>
          <t>ACT_TRIANGLE_TO_INCREMENTAL - Cum→Inc (array)</t>
        </is>
      </c>
    </row>
    <row r="208">
      <c r="A208" s="13" t="inlineStr">
        <is>
          <t>ACT_INCREMENTAL_TO_CUMULATIVE - Inc→Cum (array)</t>
        </is>
      </c>
    </row>
    <row r="209">
      <c r="A209" s="13" t="inlineStr">
        <is>
          <t>ACT_TRIANGLE_DIAGONAL - Extract diagonal (array)</t>
        </is>
      </c>
    </row>
    <row r="210">
      <c r="A210" s="13" t="inlineStr">
        <is>
          <t>ACT_TRIANGLE_LINK_RATIOS - Link ratios (array)</t>
        </is>
      </c>
    </row>
    <row r="211">
      <c r="A211" s="13" t="inlineStr">
        <is>
          <t>ACT_CL_CALENDAR_ADJUST - Calendar adjust (array)</t>
        </is>
      </c>
    </row>
    <row r="212">
      <c r="A212" s="13" t="inlineStr">
        <is>
          <t>ACT_CL_CALENDAR_TOTALS - Calendar totals (array)</t>
        </is>
      </c>
    </row>
    <row r="213">
      <c r="A213" s="13" t="inlineStr">
        <is>
          <t>ACT_CL_WEIGHTED_AVERAGE - Weighted avg (array)</t>
        </is>
      </c>
    </row>
    <row r="214"/>
    <row r="215">
      <c r="A215" s="13" t="inlineStr">
        <is>
          <t>VERSION INFO</t>
        </is>
      </c>
    </row>
    <row r="216"/>
    <row r="217">
      <c r="A217" s="11" t="inlineStr">
        <is>
          <t>ACT_VERSION</t>
        </is>
      </c>
      <c r="B217">
        <f>ACT_VERSION()</f>
        <v/>
      </c>
      <c r="C217" t="inlineStr">
        <is>
          <t>Current version</t>
        </is>
      </c>
    </row>
    <row r="218">
      <c r="A218" s="11" t="inlineStr">
        <is>
          <t>ACT_BUILD_DATE</t>
        </is>
      </c>
      <c r="B218">
        <f>ACT_BUILD_DATE()</f>
        <v/>
      </c>
      <c r="C218" t="inlineStr">
        <is>
          <t>Build date</t>
        </is>
      </c>
    </row>
    <row r="219">
      <c r="A219" s="11" t="inlineStr">
        <is>
          <t>ACT_GITHUB_URL</t>
        </is>
      </c>
      <c r="B219">
        <f>ACT_GITHUB_URL()</f>
        <v/>
      </c>
      <c r="C219" t="inlineStr">
        <is>
          <t>GitHub URL</t>
        </is>
      </c>
    </row>
    <row r="220">
      <c r="A220" s="11" t="inlineStr">
        <is>
          <t>ACT_COMMIT_COUNT</t>
        </is>
      </c>
      <c r="B220">
        <f>ACT_COMMIT_COUNT()</f>
        <v/>
      </c>
      <c r="C220" t="inlineStr">
        <is>
          <t>Number of commits</t>
        </is>
      </c>
    </row>
    <row r="221">
      <c r="A221" s="11" t="inlineStr">
        <is>
          <t>ACT_COMMIT_INFO</t>
        </is>
      </c>
      <c r="B221">
        <f>ACT_COMMIT_INFO(1, "hash")</f>
        <v/>
      </c>
      <c r="C221" t="inlineStr">
        <is>
          <t>Latest commit hash</t>
        </is>
      </c>
    </row>
    <row r="222">
      <c r="A222" s="11" t="inlineStr">
        <is>
          <t>ACT_COMMIT_INFO</t>
        </is>
      </c>
      <c r="B222">
        <f>ACT_COMMIT_INFO(1, "date")</f>
        <v/>
      </c>
      <c r="C222" t="inlineStr">
        <is>
          <t>Latest commit date</t>
        </is>
      </c>
    </row>
    <row r="223">
      <c r="A223" s="11" t="inlineStr">
        <is>
          <t>ACT_COMMIT_INFO</t>
        </is>
      </c>
      <c r="B223">
        <f>ACT_COMMIT_INFO(1, "message")</f>
        <v/>
      </c>
      <c r="C223" t="inlineStr">
        <is>
          <t>Latest commit message</t>
        </is>
      </c>
    </row>
    <row r="224">
      <c r="A224" s="11" t="inlineStr">
        <is>
          <t>ACT_COMMIT_HISTORY</t>
        </is>
      </c>
      <c r="B224">
        <f>ACT_COMMIT_HISTORY()</f>
        <v/>
      </c>
      <c r="C22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Density/Mass Function, CDF = Cumulative Distribution Function, INV = Inverse CDF (Quantile)</t>
        </is>
      </c>
    </row>
    <row r="4"/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ACT_DIST_POISSON_PDF(A7, 5)</f>
        <v/>
      </c>
      <c r="C7" s="4">
        <f>ACT_DIST_POISSON_CDF(A7, 5)</f>
        <v/>
      </c>
      <c r="D7" s="4" t="inlineStr"/>
    </row>
    <row r="8">
      <c r="A8" s="4" t="n">
        <v>1</v>
      </c>
      <c r="B8" s="4">
        <f>ACT_DIST_POISSON_PDF(A8, 5)</f>
        <v/>
      </c>
      <c r="C8" s="4">
        <f>ACT_DIST_POISSON_CDF(A8, 5)</f>
        <v/>
      </c>
      <c r="D8" s="4" t="inlineStr"/>
    </row>
    <row r="9">
      <c r="A9" s="4" t="n">
        <v>2</v>
      </c>
      <c r="B9" s="4">
        <f>ACT_DIST_POISSON_PDF(A9, 5)</f>
        <v/>
      </c>
      <c r="C9" s="4">
        <f>ACT_DIST_POISSON_CDF(A9, 5)</f>
        <v/>
      </c>
      <c r="D9" s="4" t="inlineStr"/>
    </row>
    <row r="10">
      <c r="A10" s="4" t="n">
        <v>3</v>
      </c>
      <c r="B10" s="4">
        <f>ACT_DIST_POISSON_PDF(A10, 5)</f>
        <v/>
      </c>
      <c r="C10" s="4">
        <f>ACT_DIST_POISSON_CDF(A10, 5)</f>
        <v/>
      </c>
      <c r="D10" s="4" t="inlineStr"/>
    </row>
    <row r="11">
      <c r="A11" s="4" t="n">
        <v>4</v>
      </c>
      <c r="B11" s="4">
        <f>ACT_DIST_POISSON_PDF(A11, 5)</f>
        <v/>
      </c>
      <c r="C11" s="4">
        <f>ACT_DIST_POISSON_CDF(A11, 5)</f>
        <v/>
      </c>
      <c r="D11" s="4" t="inlineStr"/>
    </row>
    <row r="12">
      <c r="A12" s="4" t="n">
        <v>5</v>
      </c>
      <c r="B12" s="4">
        <f>ACT_DIST_POISSON_PDF(A12, 5)</f>
        <v/>
      </c>
      <c r="C12" s="4">
        <f>ACT_DIST_POISSON_CDF(A12,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ACT_DIST_POISSON_PDF(A13, 5)</f>
        <v/>
      </c>
      <c r="C13" s="4">
        <f>ACT_DIST_POISSON_CDF(A13, 5)</f>
        <v/>
      </c>
      <c r="D13" s="4" t="inlineStr"/>
    </row>
    <row r="14">
      <c r="A14" s="4" t="n">
        <v>7</v>
      </c>
      <c r="B14" s="4">
        <f>ACT_DIST_POISSON_PDF(A14, 5)</f>
        <v/>
      </c>
      <c r="C14" s="4">
        <f>ACT_DIST_POISSON_CDF(A14, 5)</f>
        <v/>
      </c>
      <c r="D14" s="4" t="inlineStr"/>
    </row>
    <row r="15">
      <c r="A15" s="4" t="n">
        <v>8</v>
      </c>
      <c r="B15" s="4">
        <f>ACT_DIST_POISSON_PDF(A15, 5)</f>
        <v/>
      </c>
      <c r="C15" s="4">
        <f>ACT_DIST_POISSON_CDF(A15, 5)</f>
        <v/>
      </c>
      <c r="D15" s="4" t="inlineStr"/>
    </row>
    <row r="16">
      <c r="A16" s="4" t="n">
        <v>9</v>
      </c>
      <c r="B16" s="4">
        <f>ACT_DIST_POISSON_PDF(A16, 5)</f>
        <v/>
      </c>
      <c r="C16" s="4">
        <f>ACT_DIST_POISSON_CDF(A16, 5)</f>
        <v/>
      </c>
      <c r="D16" s="4" t="inlineStr"/>
    </row>
    <row r="17">
      <c r="A17" s="4" t="n">
        <v>10</v>
      </c>
      <c r="B17" s="4">
        <f>ACT_DIST_POISSON_PDF(A17, 5)</f>
        <v/>
      </c>
      <c r="C17" s="4">
        <f>ACT_DIST_POISSON_CDF(A17, 5)</f>
        <v/>
      </c>
      <c r="D17" s="4" t="inlineStr"/>
    </row>
    <row r="18">
      <c r="A18" s="2" t="inlineStr">
        <is>
          <t>Inverse CDF example: =ACT_DIST_POISSON_INV(0.5, 5) returns the median</t>
        </is>
      </c>
      <c r="E18">
        <f>ACT_DIST_POISSON_INV(0.5, 5)</f>
        <v/>
      </c>
    </row>
    <row r="19"/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ACT_DIST_NEGBIN_PDF(A22, 5, 0.3)</f>
        <v/>
      </c>
      <c r="C22" s="4">
        <f>ACT_DIST_NEGBIN_CDF(A22, 5, 0.3)</f>
        <v/>
      </c>
      <c r="D22" s="4" t="inlineStr"/>
    </row>
    <row r="23">
      <c r="A23" s="4" t="n">
        <v>1</v>
      </c>
      <c r="B23" s="4">
        <f>ACT_DIST_NEGBIN_PDF(A23, 5, 0.3)</f>
        <v/>
      </c>
      <c r="C23" s="4">
        <f>ACT_DIST_NEGBIN_CDF(A23, 5, 0.3)</f>
        <v/>
      </c>
      <c r="D23" s="4" t="inlineStr"/>
    </row>
    <row r="24">
      <c r="A24" s="4" t="n">
        <v>2</v>
      </c>
      <c r="B24" s="4">
        <f>ACT_DIST_NEGBIN_PDF(A24, 5, 0.3)</f>
        <v/>
      </c>
      <c r="C24" s="4">
        <f>ACT_DIST_NEGBIN_CDF(A24, 5, 0.3)</f>
        <v/>
      </c>
      <c r="D24" s="4" t="inlineStr"/>
    </row>
    <row r="25">
      <c r="A25" s="4" t="n">
        <v>3</v>
      </c>
      <c r="B25" s="4">
        <f>ACT_DIST_NEGBIN_PDF(A25, 5, 0.3)</f>
        <v/>
      </c>
      <c r="C25" s="4">
        <f>ACT_DIST_NEGBIN_CDF(A25, 5, 0.3)</f>
        <v/>
      </c>
      <c r="D25" s="4" t="inlineStr"/>
    </row>
    <row r="26">
      <c r="A26" s="4" t="n">
        <v>4</v>
      </c>
      <c r="B26" s="4">
        <f>ACT_DIST_NEGBIN_PDF(A26, 5, 0.3)</f>
        <v/>
      </c>
      <c r="C26" s="4">
        <f>ACT_DIST_NEGBIN_CDF(A26, 5, 0.3)</f>
        <v/>
      </c>
      <c r="D26" s="4" t="inlineStr"/>
    </row>
    <row r="27">
      <c r="A27" s="4" t="n">
        <v>5</v>
      </c>
      <c r="B27" s="4">
        <f>ACT_DIST_NEGBIN_PDF(A27, 5, 0.3)</f>
        <v/>
      </c>
      <c r="C27" s="4">
        <f>ACT_DIST_NEGBIN_CDF(A27, 5, 0.3)</f>
        <v/>
      </c>
      <c r="D27" s="4" t="inlineStr"/>
    </row>
    <row r="28">
      <c r="A28" s="4" t="n">
        <v>6</v>
      </c>
      <c r="B28" s="4">
        <f>ACT_DIST_NEGBIN_PDF(A28, 5, 0.3)</f>
        <v/>
      </c>
      <c r="C28" s="4">
        <f>ACT_DIST_NEGBIN_CDF(A28, 5, 0.3)</f>
        <v/>
      </c>
      <c r="D28" s="4" t="inlineStr"/>
    </row>
    <row r="29">
      <c r="A29" s="4" t="n">
        <v>7</v>
      </c>
      <c r="B29" s="4">
        <f>ACT_DIST_NEGBIN_PDF(A29, 5, 0.3)</f>
        <v/>
      </c>
      <c r="C29" s="4">
        <f>ACT_DIST_NEGBIN_CDF(A29, 5, 0.3)</f>
        <v/>
      </c>
      <c r="D29" s="4" t="inlineStr"/>
    </row>
    <row r="30">
      <c r="A30" s="4" t="n">
        <v>8</v>
      </c>
      <c r="B30" s="4">
        <f>ACT_DIST_NEGBIN_PDF(A30, 5, 0.3)</f>
        <v/>
      </c>
      <c r="C30" s="4">
        <f>ACT_DIST_NEGBIN_CDF(A30, 5, 0.3)</f>
        <v/>
      </c>
      <c r="D30" s="4" t="inlineStr"/>
    </row>
    <row r="31">
      <c r="A31" s="4" t="n">
        <v>9</v>
      </c>
      <c r="B31" s="4">
        <f>ACT_DIST_NEGBIN_PDF(A31, 5, 0.3)</f>
        <v/>
      </c>
      <c r="C31" s="4">
        <f>ACT_DIST_NEGBIN_CDF(A31, 5, 0.3)</f>
        <v/>
      </c>
      <c r="D31" s="4" t="inlineStr"/>
    </row>
    <row r="32">
      <c r="A32" s="4" t="n">
        <v>10</v>
      </c>
      <c r="B32" s="4">
        <f>ACT_DIST_NEGBIN_PDF(A32, 5, 0.3)</f>
        <v/>
      </c>
      <c r="C32" s="4">
        <f>ACT_DIST_NEGBIN_CDF(A32, 5, 0.3)</f>
        <v/>
      </c>
      <c r="D32" s="4" t="inlineStr"/>
    </row>
    <row r="33">
      <c r="A33" s="4" t="n">
        <v>11</v>
      </c>
      <c r="B33" s="4">
        <f>ACT_DIST_NEGBIN_PDF(A33, 5, 0.3)</f>
        <v/>
      </c>
      <c r="C33" s="4">
        <f>ACT_DIST_NEGBIN_CDF(A33, 5, 0.3)</f>
        <v/>
      </c>
      <c r="D33" s="4" t="inlineStr"/>
    </row>
    <row r="34">
      <c r="A34" s="4" t="n">
        <v>12</v>
      </c>
      <c r="B34" s="4">
        <f>ACT_DIST_NEGBIN_PDF(A34, 5, 0.3)</f>
        <v/>
      </c>
      <c r="C34" s="4">
        <f>ACT_DIST_NEGBIN_CDF(A34, 5, 0.3)</f>
        <v/>
      </c>
      <c r="D34" s="4" t="inlineStr"/>
    </row>
    <row r="35">
      <c r="A35" s="4" t="n">
        <v>13</v>
      </c>
      <c r="B35" s="4">
        <f>ACT_DIST_NEGBIN_PDF(A35, 5, 0.3)</f>
        <v/>
      </c>
      <c r="C35" s="4">
        <f>ACT_DIST_NEGBIN_CDF(A35, 5, 0.3)</f>
        <v/>
      </c>
      <c r="D35" s="4" t="inlineStr"/>
    </row>
    <row r="36">
      <c r="A36" s="4" t="n">
        <v>14</v>
      </c>
      <c r="B36" s="4">
        <f>ACT_DIST_NEGBIN_PDF(A36, 5, 0.3)</f>
        <v/>
      </c>
      <c r="C36" s="4">
        <f>ACT_DIST_NEGBIN_CDF(A36, 5, 0.3)</f>
        <v/>
      </c>
      <c r="D36" s="4" t="inlineStr"/>
    </row>
    <row r="37">
      <c r="A37" s="4" t="n">
        <v>15</v>
      </c>
      <c r="B37" s="4">
        <f>ACT_DIST_NEGBIN_PDF(A37, 5, 0.3)</f>
        <v/>
      </c>
      <c r="C37" s="4">
        <f>ACT_DIST_NEGBIN_CDF(A37, 5, 0.3)</f>
        <v/>
      </c>
      <c r="D37" s="4" t="inlineStr"/>
    </row>
    <row r="38"/>
    <row r="39">
      <c r="A39" s="2" t="inlineStr">
        <is>
          <t>LOGNORMAL DISTRIBUTION (mu=0, sigma=1)</t>
        </is>
      </c>
    </row>
    <row r="40">
      <c r="A40" s="3" t="inlineStr">
        <is>
          <t>x</t>
        </is>
      </c>
      <c r="B40" s="3" t="inlineStr">
        <is>
          <t>PDF</t>
        </is>
      </c>
      <c r="C40" s="3" t="inlineStr">
        <is>
          <t>CDF</t>
        </is>
      </c>
      <c r="D40" s="3" t="inlineStr">
        <is>
          <t>Notes</t>
        </is>
      </c>
    </row>
    <row r="41">
      <c r="A41" s="4" t="n">
        <v>0</v>
      </c>
      <c r="B41" s="4">
        <f>ACT_DIST_LOGNORM_PDF(A41, 0, 1)</f>
        <v/>
      </c>
      <c r="C41" s="4">
        <f>ACT_DIST_LOGNORM_CDF(A41, 0, 1)</f>
        <v/>
      </c>
      <c r="D41" s="4" t="inlineStr"/>
    </row>
    <row r="42">
      <c r="A42" s="4" t="n">
        <v>0.25</v>
      </c>
      <c r="B42" s="4">
        <f>ACT_DIST_LOGNORM_PDF(A42, 0, 1)</f>
        <v/>
      </c>
      <c r="C42" s="4">
        <f>ACT_DIST_LOGNORM_CDF(A42, 0, 1)</f>
        <v/>
      </c>
      <c r="D42" s="4" t="inlineStr"/>
    </row>
    <row r="43">
      <c r="A43" s="4" t="n">
        <v>0.5</v>
      </c>
      <c r="B43" s="4">
        <f>ACT_DIST_LOGNORM_PDF(A43, 0, 1)</f>
        <v/>
      </c>
      <c r="C43" s="4">
        <f>ACT_DIST_LOGNORM_CDF(A43, 0, 1)</f>
        <v/>
      </c>
      <c r="D43" s="4" t="inlineStr"/>
    </row>
    <row r="44">
      <c r="A44" s="4" t="n">
        <v>0.75</v>
      </c>
      <c r="B44" s="4">
        <f>ACT_DIST_LOGNORM_PDF(A44, 0, 1)</f>
        <v/>
      </c>
      <c r="C44" s="4">
        <f>ACT_DIST_LOGNORM_CDF(A44, 0, 1)</f>
        <v/>
      </c>
      <c r="D44" s="4" t="inlineStr"/>
    </row>
    <row r="45">
      <c r="A45" s="4" t="n">
        <v>1</v>
      </c>
      <c r="B45" s="4">
        <f>ACT_DIST_LOGNORM_PDF(A45, 0, 1)</f>
        <v/>
      </c>
      <c r="C45" s="4">
        <f>ACT_DIST_LOGNORM_CDF(A45, 0, 1)</f>
        <v/>
      </c>
      <c r="D45" s="4" t="inlineStr">
        <is>
          <t>Median (exp(mu))</t>
        </is>
      </c>
    </row>
    <row r="46">
      <c r="A46" s="4" t="n">
        <v>1.5</v>
      </c>
      <c r="B46" s="4">
        <f>ACT_DIST_LOGNORM_PDF(A46, 0, 1)</f>
        <v/>
      </c>
      <c r="C46" s="4">
        <f>ACT_DIST_LOGNORM_CDF(A46, 0, 1)</f>
        <v/>
      </c>
      <c r="D46" s="4" t="inlineStr"/>
    </row>
    <row r="47">
      <c r="A47" s="4" t="n">
        <v>2</v>
      </c>
      <c r="B47" s="4">
        <f>ACT_DIST_LOGNORM_PDF(A47, 0, 1)</f>
        <v/>
      </c>
      <c r="C47" s="4">
        <f>ACT_DIST_LOGNORM_CDF(A47, 0, 1)</f>
        <v/>
      </c>
      <c r="D47" s="4" t="inlineStr"/>
    </row>
    <row r="48">
      <c r="A48" s="4" t="n">
        <v>3</v>
      </c>
      <c r="B48" s="4">
        <f>ACT_DIST_LOGNORM_PDF(A48, 0, 1)</f>
        <v/>
      </c>
      <c r="C48" s="4">
        <f>ACT_DIST_LOGNORM_CDF(A48, 0, 1)</f>
        <v/>
      </c>
      <c r="D48" s="4" t="inlineStr"/>
    </row>
    <row r="49">
      <c r="A49" s="4" t="n">
        <v>4</v>
      </c>
      <c r="B49" s="4">
        <f>ACT_DIST_LOGNORM_PDF(A49, 0, 1)</f>
        <v/>
      </c>
      <c r="C49" s="4">
        <f>ACT_DIST_LOGNORM_CDF(A49, 0, 1)</f>
        <v/>
      </c>
      <c r="D49" s="4" t="inlineStr"/>
    </row>
    <row r="50">
      <c r="A50" s="4" t="n">
        <v>5</v>
      </c>
      <c r="B50" s="4">
        <f>ACT_DIST_LOGNORM_PDF(A50, 0, 1)</f>
        <v/>
      </c>
      <c r="C50" s="4">
        <f>ACT_DIST_LOGNORM_CDF(A50, 0, 1)</f>
        <v/>
      </c>
      <c r="D50" s="4" t="inlineStr"/>
    </row>
    <row r="51"/>
    <row r="52">
      <c r="A52" s="2" t="inlineStr">
        <is>
          <t>GAMMA DISTRIBUTION (alpha=2, beta=1)</t>
        </is>
      </c>
    </row>
    <row r="53">
      <c r="A53" s="3" t="inlineStr">
        <is>
          <t>x</t>
        </is>
      </c>
      <c r="B53" s="3" t="inlineStr">
        <is>
          <t>PDF</t>
        </is>
      </c>
      <c r="C53" s="3" t="inlineStr">
        <is>
          <t>CDF</t>
        </is>
      </c>
      <c r="D53" s="3" t="inlineStr">
        <is>
          <t>Notes</t>
        </is>
      </c>
    </row>
    <row r="54">
      <c r="A54" s="4" t="n">
        <v>0</v>
      </c>
      <c r="B54" s="4">
        <f>ACT_DIST_GAMMA_PDF(A54, 2, 1)</f>
        <v/>
      </c>
      <c r="C54" s="4">
        <f>ACT_DIST_GAMMA_CDF(A54, 2, 1)</f>
        <v/>
      </c>
      <c r="D54" s="4" t="inlineStr"/>
    </row>
    <row r="55">
      <c r="A55" s="4" t="n">
        <v>0.5</v>
      </c>
      <c r="B55" s="4">
        <f>ACT_DIST_GAMMA_PDF(A55, 2, 1)</f>
        <v/>
      </c>
      <c r="C55" s="4">
        <f>ACT_DIST_GAMMA_CDF(A55, 2, 1)</f>
        <v/>
      </c>
      <c r="D55" s="4" t="inlineStr"/>
    </row>
    <row r="56">
      <c r="A56" s="4" t="n">
        <v>1</v>
      </c>
      <c r="B56" s="4">
        <f>ACT_DIST_GAMMA_PDF(A56, 2, 1)</f>
        <v/>
      </c>
      <c r="C56" s="4">
        <f>ACT_DIST_GAMMA_CDF(A56, 2, 1)</f>
        <v/>
      </c>
      <c r="D56" s="4" t="inlineStr"/>
    </row>
    <row r="57">
      <c r="A57" s="4" t="n">
        <v>1.5</v>
      </c>
      <c r="B57" s="4">
        <f>ACT_DIST_GAMMA_PDF(A57, 2, 1)</f>
        <v/>
      </c>
      <c r="C57" s="4">
        <f>ACT_DIST_GAMMA_CDF(A57, 2, 1)</f>
        <v/>
      </c>
      <c r="D57" s="4" t="inlineStr"/>
    </row>
    <row r="58">
      <c r="A58" s="4" t="n">
        <v>2</v>
      </c>
      <c r="B58" s="4">
        <f>ACT_DIST_GAMMA_PDF(A58, 2, 1)</f>
        <v/>
      </c>
      <c r="C58" s="4">
        <f>ACT_DIST_GAMMA_CDF(A58, 2, 1)</f>
        <v/>
      </c>
      <c r="D58" s="4" t="inlineStr">
        <is>
          <t>Mean (alpha/beta)</t>
        </is>
      </c>
    </row>
    <row r="59">
      <c r="A59" s="4" t="n">
        <v>3</v>
      </c>
      <c r="B59" s="4">
        <f>ACT_DIST_GAMMA_PDF(A59, 2, 1)</f>
        <v/>
      </c>
      <c r="C59" s="4">
        <f>ACT_DIST_GAMMA_CDF(A59, 2, 1)</f>
        <v/>
      </c>
      <c r="D59" s="4" t="inlineStr"/>
    </row>
    <row r="60">
      <c r="A60" s="4" t="n">
        <v>4</v>
      </c>
      <c r="B60" s="4">
        <f>ACT_DIST_GAMMA_PDF(A60, 2, 1)</f>
        <v/>
      </c>
      <c r="C60" s="4">
        <f>ACT_DIST_GAMMA_CDF(A60, 2, 1)</f>
        <v/>
      </c>
      <c r="D60" s="4" t="inlineStr"/>
    </row>
    <row r="61">
      <c r="A61" s="4" t="n">
        <v>5</v>
      </c>
      <c r="B61" s="4">
        <f>ACT_DIST_GAMMA_PDF(A61, 2, 1)</f>
        <v/>
      </c>
      <c r="C61" s="4">
        <f>ACT_DIST_GAMMA_CDF(A61, 2, 1)</f>
        <v/>
      </c>
      <c r="D61" s="4" t="inlineStr"/>
    </row>
    <row r="62">
      <c r="A62" s="4" t="n">
        <v>6</v>
      </c>
      <c r="B62" s="4">
        <f>ACT_DIST_GAMMA_PDF(A62, 2, 1)</f>
        <v/>
      </c>
      <c r="C62" s="4">
        <f>ACT_DIST_GAMMA_CDF(A62, 2, 1)</f>
        <v/>
      </c>
      <c r="D62" s="4" t="inlineStr"/>
    </row>
    <row r="63"/>
    <row r="64">
      <c r="A64" s="2" t="inlineStr">
        <is>
          <t>PARETO DISTRIBUTION (alpha=2, xm=1)</t>
        </is>
      </c>
    </row>
    <row r="65">
      <c r="A65" s="3" t="inlineStr">
        <is>
          <t>x</t>
        </is>
      </c>
      <c r="B65" s="3" t="inlineStr">
        <is>
          <t>PDF</t>
        </is>
      </c>
      <c r="C65" s="3" t="inlineStr">
        <is>
          <t>CDF</t>
        </is>
      </c>
      <c r="D65" s="3" t="inlineStr">
        <is>
          <t>Notes</t>
        </is>
      </c>
    </row>
    <row r="66">
      <c r="A66" s="4" t="n">
        <v>0.5</v>
      </c>
      <c r="B66" s="4">
        <f>ACT_DIST_PARETO_PDF(A66, 2, 1)</f>
        <v/>
      </c>
      <c r="C66" s="4">
        <f>ACT_DIST_PARETO_CDF(A66, 2, 1)</f>
        <v/>
      </c>
      <c r="D66" s="4" t="inlineStr"/>
    </row>
    <row r="67">
      <c r="A67" s="4" t="n">
        <v>1</v>
      </c>
      <c r="B67" s="4">
        <f>ACT_DIST_PARETO_PDF(A67, 2, 1)</f>
        <v/>
      </c>
      <c r="C67" s="4">
        <f>ACT_DIST_PARETO_CDF(A67, 2, 1)</f>
        <v/>
      </c>
      <c r="D67" s="4" t="inlineStr">
        <is>
          <t>Minimum value (xm)</t>
        </is>
      </c>
    </row>
    <row r="68">
      <c r="A68" s="4" t="n">
        <v>1.5</v>
      </c>
      <c r="B68" s="4">
        <f>ACT_DIST_PARETO_PDF(A68, 2, 1)</f>
        <v/>
      </c>
      <c r="C68" s="4">
        <f>ACT_DIST_PARETO_CDF(A68, 2, 1)</f>
        <v/>
      </c>
      <c r="D68" s="4" t="inlineStr"/>
    </row>
    <row r="69">
      <c r="A69" s="4" t="n">
        <v>2</v>
      </c>
      <c r="B69" s="4">
        <f>ACT_DIST_PARETO_PDF(A69, 2, 1)</f>
        <v/>
      </c>
      <c r="C69" s="4">
        <f>ACT_DIST_PARETO_CDF(A69, 2, 1)</f>
        <v/>
      </c>
      <c r="D69" s="4" t="inlineStr"/>
    </row>
    <row r="70">
      <c r="A70" s="4" t="n">
        <v>3</v>
      </c>
      <c r="B70" s="4">
        <f>ACT_DIST_PARETO_PDF(A70, 2, 1)</f>
        <v/>
      </c>
      <c r="C70" s="4">
        <f>ACT_DIST_PARETO_CDF(A70, 2, 1)</f>
        <v/>
      </c>
      <c r="D70" s="4" t="inlineStr"/>
    </row>
    <row r="71">
      <c r="A71" s="4" t="n">
        <v>4</v>
      </c>
      <c r="B71" s="4">
        <f>ACT_DIST_PARETO_PDF(A71, 2, 1)</f>
        <v/>
      </c>
      <c r="C71" s="4">
        <f>ACT_DIST_PARETO_CDF(A71, 2, 1)</f>
        <v/>
      </c>
      <c r="D71" s="4" t="inlineStr"/>
    </row>
    <row r="72">
      <c r="A72" s="4" t="n">
        <v>5</v>
      </c>
      <c r="B72" s="4">
        <f>ACT_DIST_PARETO_PDF(A72, 2, 1)</f>
        <v/>
      </c>
      <c r="C72" s="4">
        <f>ACT_DIST_PARETO_CDF(A72, 2, 1)</f>
        <v/>
      </c>
      <c r="D72" s="4" t="inlineStr"/>
    </row>
    <row r="73">
      <c r="A73" s="4" t="n">
        <v>7</v>
      </c>
      <c r="B73" s="4">
        <f>ACT_DIST_PARETO_PDF(A73, 2, 1)</f>
        <v/>
      </c>
      <c r="C73" s="4">
        <f>ACT_DIST_PARETO_CDF(A73, 2, 1)</f>
        <v/>
      </c>
      <c r="D73" s="4" t="inlineStr"/>
    </row>
    <row r="74">
      <c r="A74" s="4" t="n">
        <v>10</v>
      </c>
      <c r="B74" s="4">
        <f>ACT_DIST_PARETO_PDF(A74, 2, 1)</f>
        <v/>
      </c>
      <c r="C74" s="4">
        <f>ACT_DIST_PARETO_CDF(A74, 2, 1)</f>
        <v/>
      </c>
      <c r="D74" s="4" t="inlineStr"/>
    </row>
    <row r="75"/>
    <row r="76">
      <c r="A76" s="2" t="inlineStr">
        <is>
          <t>GENERALIZED PARETO (GPD) DISTRIBUTION (xi=0.5, sigma=1)</t>
        </is>
      </c>
    </row>
    <row r="77">
      <c r="A77" s="3" t="inlineStr">
        <is>
          <t>x</t>
        </is>
      </c>
      <c r="B77" s="3" t="inlineStr">
        <is>
          <t>PDF</t>
        </is>
      </c>
      <c r="C77" s="3" t="inlineStr">
        <is>
          <t>CDF</t>
        </is>
      </c>
      <c r="D77" s="3" t="inlineStr">
        <is>
          <t>Notes</t>
        </is>
      </c>
    </row>
    <row r="78">
      <c r="A78" s="4" t="n">
        <v>0</v>
      </c>
      <c r="B78" s="4">
        <f>ACT_DIST_GPD_PDF(A78, 0.5, 1)</f>
        <v/>
      </c>
      <c r="C78" s="4">
        <f>ACT_DIST_GPD_CDF(A78, 0.5, 1)</f>
        <v/>
      </c>
      <c r="D78" s="4" t="inlineStr"/>
    </row>
    <row r="79">
      <c r="A79" s="4" t="n">
        <v>0.25</v>
      </c>
      <c r="B79" s="4">
        <f>ACT_DIST_GPD_PDF(A79, 0.5, 1)</f>
        <v/>
      </c>
      <c r="C79" s="4">
        <f>ACT_DIST_GPD_CDF(A79, 0.5, 1)</f>
        <v/>
      </c>
      <c r="D79" s="4" t="inlineStr"/>
    </row>
    <row r="80">
      <c r="A80" s="4" t="n">
        <v>0.5</v>
      </c>
      <c r="B80" s="4">
        <f>ACT_DIST_GPD_PDF(A80, 0.5, 1)</f>
        <v/>
      </c>
      <c r="C80" s="4">
        <f>ACT_DIST_GPD_CDF(A80, 0.5, 1)</f>
        <v/>
      </c>
      <c r="D80" s="4" t="inlineStr"/>
    </row>
    <row r="81">
      <c r="A81" s="4" t="n">
        <v>1</v>
      </c>
      <c r="B81" s="4">
        <f>ACT_DIST_GPD_PDF(A81, 0.5, 1)</f>
        <v/>
      </c>
      <c r="C81" s="4">
        <f>ACT_DIST_GPD_CDF(A81, 0.5, 1)</f>
        <v/>
      </c>
      <c r="D81" s="4" t="inlineStr"/>
    </row>
    <row r="82">
      <c r="A82" s="4" t="n">
        <v>1.5</v>
      </c>
      <c r="B82" s="4">
        <f>ACT_DIST_GPD_PDF(A82, 0.5, 1)</f>
        <v/>
      </c>
      <c r="C82" s="4">
        <f>ACT_DIST_GPD_CDF(A82, 0.5, 1)</f>
        <v/>
      </c>
      <c r="D82" s="4" t="inlineStr"/>
    </row>
    <row r="83">
      <c r="A83" s="4" t="n">
        <v>2</v>
      </c>
      <c r="B83" s="4">
        <f>ACT_DIST_GPD_PDF(A83, 0.5, 1)</f>
        <v/>
      </c>
      <c r="C83" s="4">
        <f>ACT_DIST_GPD_CDF(A83, 0.5, 1)</f>
        <v/>
      </c>
      <c r="D83" s="4" t="inlineStr"/>
    </row>
    <row r="84">
      <c r="A84" s="4" t="n">
        <v>3</v>
      </c>
      <c r="B84" s="4">
        <f>ACT_DIST_GPD_PDF(A84, 0.5, 1)</f>
        <v/>
      </c>
      <c r="C84" s="4">
        <f>ACT_DIST_GPD_CDF(A84, 0.5, 1)</f>
        <v/>
      </c>
      <c r="D84" s="4" t="inlineStr"/>
    </row>
    <row r="85">
      <c r="A85" s="4" t="n">
        <v>4</v>
      </c>
      <c r="B85" s="4">
        <f>ACT_DIST_GPD_PDF(A85, 0.5, 1)</f>
        <v/>
      </c>
      <c r="C85" s="4">
        <f>ACT_DIST_GPD_CDF(A85, 0.5, 1)</f>
        <v/>
      </c>
      <c r="D85" s="4" t="inlineStr"/>
    </row>
    <row r="86">
      <c r="A86" s="4" t="n">
        <v>5</v>
      </c>
      <c r="B86" s="4">
        <f>ACT_DIST_GPD_PDF(A86, 0.5, 1)</f>
        <v/>
      </c>
      <c r="C86" s="4">
        <f>ACT_DIST_GPD_CDF(A86, 0.5, 1)</f>
        <v/>
      </c>
      <c r="D86" s="4" t="inlineStr"/>
    </row>
    <row r="87"/>
    <row r="88">
      <c r="A88" s="2" t="inlineStr">
        <is>
          <t>WEIBULL DISTRIBUTION (k=2, lambda=1)</t>
        </is>
      </c>
    </row>
    <row r="89">
      <c r="A89" s="3" t="inlineStr">
        <is>
          <t>x</t>
        </is>
      </c>
      <c r="B89" s="3" t="inlineStr">
        <is>
          <t>PDF</t>
        </is>
      </c>
      <c r="C89" s="3" t="inlineStr">
        <is>
          <t>CDF</t>
        </is>
      </c>
      <c r="D89" s="3" t="inlineStr">
        <is>
          <t>Notes</t>
        </is>
      </c>
    </row>
    <row r="90">
      <c r="A90" s="4" t="n">
        <v>0</v>
      </c>
      <c r="B90" s="4">
        <f>ACT_DIST_WEIBULL_PDF(A90, 2, 1)</f>
        <v/>
      </c>
      <c r="C90" s="4">
        <f>ACT_DIST_WEIBULL_CDF(A90, 2, 1)</f>
        <v/>
      </c>
      <c r="D90" s="4" t="inlineStr"/>
    </row>
    <row r="91">
      <c r="A91" s="4" t="n">
        <v>0.25</v>
      </c>
      <c r="B91" s="4">
        <f>ACT_DIST_WEIBULL_PDF(A91, 2, 1)</f>
        <v/>
      </c>
      <c r="C91" s="4">
        <f>ACT_DIST_WEIBULL_CDF(A91, 2, 1)</f>
        <v/>
      </c>
      <c r="D91" s="4" t="inlineStr"/>
    </row>
    <row r="92">
      <c r="A92" s="4" t="n">
        <v>0.5</v>
      </c>
      <c r="B92" s="4">
        <f>ACT_DIST_WEIBULL_PDF(A92, 2, 1)</f>
        <v/>
      </c>
      <c r="C92" s="4">
        <f>ACT_DIST_WEIBULL_CDF(A92, 2, 1)</f>
        <v/>
      </c>
      <c r="D92" s="4" t="inlineStr"/>
    </row>
    <row r="93">
      <c r="A93" s="4" t="n">
        <v>0.75</v>
      </c>
      <c r="B93" s="4">
        <f>ACT_DIST_WEIBULL_PDF(A93, 2, 1)</f>
        <v/>
      </c>
      <c r="C93" s="4">
        <f>ACT_DIST_WEIBULL_CDF(A93, 2, 1)</f>
        <v/>
      </c>
      <c r="D93" s="4" t="inlineStr"/>
    </row>
    <row r="94">
      <c r="A94" s="4" t="n">
        <v>1</v>
      </c>
      <c r="B94" s="4">
        <f>ACT_DIST_WEIBULL_PDF(A94, 2, 1)</f>
        <v/>
      </c>
      <c r="C94" s="4">
        <f>ACT_DIST_WEIBULL_CDF(A94, 2, 1)</f>
        <v/>
      </c>
      <c r="D94" s="4" t="inlineStr"/>
    </row>
    <row r="95">
      <c r="A95" s="4" t="n">
        <v>1.5</v>
      </c>
      <c r="B95" s="4">
        <f>ACT_DIST_WEIBULL_PDF(A95, 2, 1)</f>
        <v/>
      </c>
      <c r="C95" s="4">
        <f>ACT_DIST_WEIBULL_CDF(A95, 2, 1)</f>
        <v/>
      </c>
      <c r="D95" s="4" t="inlineStr"/>
    </row>
    <row r="96">
      <c r="A96" s="4" t="n">
        <v>2</v>
      </c>
      <c r="B96" s="4">
        <f>ACT_DIST_WEIBULL_PDF(A96, 2, 1)</f>
        <v/>
      </c>
      <c r="C96" s="4">
        <f>ACT_DIST_WEIBULL_CDF(A96, 2, 1)</f>
        <v/>
      </c>
      <c r="D96" s="4" t="inlineStr"/>
    </row>
    <row r="97">
      <c r="A97" s="4" t="n">
        <v>2.5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3</v>
      </c>
      <c r="B98" s="4">
        <f>ACT_DIST_WEIBULL_PDF(A98, 2, 1)</f>
        <v/>
      </c>
      <c r="C98" s="4">
        <f>ACT_DIST_WEIBULL_CDF(A98, 2, 1)</f>
        <v/>
      </c>
      <c r="D98" s="4" t="inlineStr"/>
    </row>
    <row r="99"/>
    <row r="100">
      <c r="A100" s="2" t="inlineStr">
        <is>
          <t>BETA DISTRIBUTION (alpha=2, beta=5)</t>
        </is>
      </c>
    </row>
    <row r="101">
      <c r="A101" s="3" t="inlineStr">
        <is>
          <t>x</t>
        </is>
      </c>
      <c r="B101" s="3" t="inlineStr">
        <is>
          <t>PDF</t>
        </is>
      </c>
      <c r="C101" s="3" t="inlineStr">
        <is>
          <t>CDF</t>
        </is>
      </c>
      <c r="D101" s="3" t="inlineStr">
        <is>
          <t>Notes</t>
        </is>
      </c>
    </row>
    <row r="102">
      <c r="A102" s="4" t="n">
        <v>0</v>
      </c>
      <c r="B102" s="4">
        <f>ACT_DIST_BETA_PDF(A102, 2, 5)</f>
        <v/>
      </c>
      <c r="C102" s="4">
        <f>ACT_DIST_BETA_CDF(A102, 2, 5)</f>
        <v/>
      </c>
      <c r="D102" s="4" t="inlineStr"/>
    </row>
    <row r="103">
      <c r="A103" s="4" t="n">
        <v>0.1</v>
      </c>
      <c r="B103" s="4">
        <f>ACT_DIST_BETA_PDF(A103, 2, 5)</f>
        <v/>
      </c>
      <c r="C103" s="4">
        <f>ACT_DIST_BETA_CDF(A103, 2, 5)</f>
        <v/>
      </c>
      <c r="D103" s="4" t="inlineStr"/>
    </row>
    <row r="104">
      <c r="A104" s="4" t="n">
        <v>0.2</v>
      </c>
      <c r="B104" s="4">
        <f>ACT_DIST_BETA_PDF(A104, 2, 5)</f>
        <v/>
      </c>
      <c r="C104" s="4">
        <f>ACT_DIST_BETA_CDF(A104, 2, 5)</f>
        <v/>
      </c>
      <c r="D104" s="4" t="inlineStr"/>
    </row>
    <row r="105">
      <c r="A105" s="4" t="n">
        <v>0.3</v>
      </c>
      <c r="B105" s="4">
        <f>ACT_DIST_BETA_PDF(A105, 2, 5)</f>
        <v/>
      </c>
      <c r="C105" s="4">
        <f>ACT_DIST_BETA_CDF(A105, 2, 5)</f>
        <v/>
      </c>
      <c r="D105" s="4" t="inlineStr"/>
    </row>
    <row r="106">
      <c r="A106" s="4" t="n">
        <v>0.4</v>
      </c>
      <c r="B106" s="4">
        <f>ACT_DIST_BETA_PDF(A106, 2, 5)</f>
        <v/>
      </c>
      <c r="C106" s="4">
        <f>ACT_DIST_BETA_CDF(A106, 2, 5)</f>
        <v/>
      </c>
      <c r="D106" s="4" t="inlineStr"/>
    </row>
    <row r="107">
      <c r="A107" s="4" t="n">
        <v>0.5</v>
      </c>
      <c r="B107" s="4">
        <f>ACT_DIST_BETA_PDF(A107, 2, 5)</f>
        <v/>
      </c>
      <c r="C107" s="4">
        <f>ACT_DIST_BETA_CDF(A107, 2, 5)</f>
        <v/>
      </c>
      <c r="D107" s="4" t="inlineStr"/>
    </row>
    <row r="108">
      <c r="A108" s="4" t="n">
        <v>0.6</v>
      </c>
      <c r="B108" s="4">
        <f>ACT_DIST_BETA_PDF(A108, 2, 5)</f>
        <v/>
      </c>
      <c r="C108" s="4">
        <f>ACT_DIST_BETA_CDF(A108, 2, 5)</f>
        <v/>
      </c>
      <c r="D108" s="4" t="inlineStr"/>
    </row>
    <row r="109">
      <c r="A109" s="4" t="n">
        <v>0.7</v>
      </c>
      <c r="B109" s="4">
        <f>ACT_DIST_BETA_PDF(A109, 2, 5)</f>
        <v/>
      </c>
      <c r="C109" s="4">
        <f>ACT_DIST_BETA_CDF(A109, 2, 5)</f>
        <v/>
      </c>
      <c r="D109" s="4" t="inlineStr"/>
    </row>
    <row r="110">
      <c r="A110" s="4" t="n">
        <v>0.8</v>
      </c>
      <c r="B110" s="4">
        <f>ACT_DIST_BETA_PDF(A110, 2, 5)</f>
        <v/>
      </c>
      <c r="C110" s="4">
        <f>ACT_DIST_BETA_CDF(A110, 2, 5)</f>
        <v/>
      </c>
      <c r="D110" s="4" t="inlineStr"/>
    </row>
    <row r="111">
      <c r="A111" s="4" t="n">
        <v>0.9</v>
      </c>
      <c r="B111" s="4">
        <f>ACT_DIST_BETA_PDF(A111, 2, 5)</f>
        <v/>
      </c>
      <c r="C111" s="4">
        <f>ACT_DIST_BETA_CDF(A111, 2, 5)</f>
        <v/>
      </c>
      <c r="D111" s="4" t="inlineStr"/>
    </row>
    <row r="112">
      <c r="A112" s="4" t="n">
        <v>1</v>
      </c>
      <c r="B112" s="4">
        <f>ACT_DIST_BETA_PDF(A112, 2, 5)</f>
        <v/>
      </c>
      <c r="C112" s="4">
        <f>ACT_DIST_BETA_CDF(A112, 2, 5)</f>
        <v/>
      </c>
      <c r="D112" s="4" t="inlineStr"/>
    </row>
    <row r="113"/>
    <row r="114">
      <c r="A114" s="2" t="inlineStr">
        <is>
          <t>EXPONENTIAL DISTRIBUTION (lambda=1)</t>
        </is>
      </c>
    </row>
    <row r="115">
      <c r="A115" s="3" t="inlineStr">
        <is>
          <t>x</t>
        </is>
      </c>
      <c r="B115" s="3" t="inlineStr">
        <is>
          <t>PDF</t>
        </is>
      </c>
      <c r="C115" s="3" t="inlineStr">
        <is>
          <t>CDF</t>
        </is>
      </c>
      <c r="D115" s="3" t="inlineStr">
        <is>
          <t>Notes</t>
        </is>
      </c>
    </row>
    <row r="116">
      <c r="A116" s="4" t="n">
        <v>0</v>
      </c>
      <c r="B116" s="4">
        <f>ACT_DIST_EXP_PDF(A116, 1)</f>
        <v/>
      </c>
      <c r="C116" s="4">
        <f>ACT_DIST_EXP_CDF(A116, 1)</f>
        <v/>
      </c>
      <c r="D116" s="4" t="inlineStr"/>
    </row>
    <row r="117">
      <c r="A117" s="4" t="n">
        <v>0.5</v>
      </c>
      <c r="B117" s="4">
        <f>ACT_DIST_EXP_PDF(A117, 1)</f>
        <v/>
      </c>
      <c r="C117" s="4">
        <f>ACT_DIST_EXP_CDF(A117, 1)</f>
        <v/>
      </c>
      <c r="D117" s="4" t="inlineStr"/>
    </row>
    <row r="118">
      <c r="A118" s="4" t="n">
        <v>1</v>
      </c>
      <c r="B118" s="4">
        <f>ACT_DIST_EXP_PDF(A118, 1)</f>
        <v/>
      </c>
      <c r="C118" s="4">
        <f>ACT_DIST_EXP_CDF(A118, 1)</f>
        <v/>
      </c>
      <c r="D118" s="4" t="inlineStr">
        <is>
          <t>Mean (1/lambda)</t>
        </is>
      </c>
    </row>
    <row r="119">
      <c r="A119" s="4" t="n">
        <v>1.5</v>
      </c>
      <c r="B119" s="4">
        <f>ACT_DIST_EXP_PDF(A119, 1)</f>
        <v/>
      </c>
      <c r="C119" s="4">
        <f>ACT_DIST_EXP_CDF(A119, 1)</f>
        <v/>
      </c>
      <c r="D119" s="4" t="inlineStr"/>
    </row>
    <row r="120">
      <c r="A120" s="4" t="n">
        <v>2</v>
      </c>
      <c r="B120" s="4">
        <f>ACT_DIST_EXP_PDF(A120, 1)</f>
        <v/>
      </c>
      <c r="C120" s="4">
        <f>ACT_DIST_EXP_CDF(A120, 1)</f>
        <v/>
      </c>
      <c r="D120" s="4" t="inlineStr"/>
    </row>
    <row r="121">
      <c r="A121" s="4" t="n">
        <v>2.5</v>
      </c>
      <c r="B121" s="4">
        <f>ACT_DIST_EXP_PDF(A121, 1)</f>
        <v/>
      </c>
      <c r="C121" s="4">
        <f>ACT_DIST_EXP_CDF(A121, 1)</f>
        <v/>
      </c>
      <c r="D121" s="4" t="inlineStr"/>
    </row>
    <row r="122">
      <c r="A122" s="4" t="n">
        <v>3</v>
      </c>
      <c r="B122" s="4">
        <f>ACT_DIST_EXP_PDF(A122, 1)</f>
        <v/>
      </c>
      <c r="C122" s="4">
        <f>ACT_DIST_EXP_CDF(A122, 1)</f>
        <v/>
      </c>
      <c r="D122" s="4" t="inlineStr"/>
    </row>
    <row r="123">
      <c r="A123" s="4" t="n">
        <v>4</v>
      </c>
      <c r="B123" s="4">
        <f>ACT_DIST_EXP_PDF(A123, 1)</f>
        <v/>
      </c>
      <c r="C123" s="4">
        <f>ACT_DIST_EXP_CDF(A123, 1)</f>
        <v/>
      </c>
      <c r="D123" s="4" t="inlineStr"/>
    </row>
    <row r="124">
      <c r="A124" s="4" t="n">
        <v>5</v>
      </c>
      <c r="B124" s="4">
        <f>ACT_DIST_EXP_PDF(A124, 1)</f>
        <v/>
      </c>
      <c r="C124" s="4">
        <f>ACT_DIST_EXP_CDF(A124, 1)</f>
        <v/>
      </c>
      <c r="D124" s="4" t="inlineStr"/>
    </row>
    <row r="125"/>
    <row r="126">
      <c r="A126" s="2" t="inlineStr">
        <is>
          <t>BURR TYPE XII DISTRIBUTION (c=2, k=1, lambda=1)</t>
        </is>
      </c>
    </row>
    <row r="127">
      <c r="A127" s="3" t="inlineStr">
        <is>
          <t>x</t>
        </is>
      </c>
      <c r="B127" s="3" t="inlineStr">
        <is>
          <t>PDF</t>
        </is>
      </c>
      <c r="C127" s="3" t="inlineStr">
        <is>
          <t>CDF</t>
        </is>
      </c>
      <c r="D127" s="3" t="inlineStr">
        <is>
          <t>Notes</t>
        </is>
      </c>
    </row>
    <row r="128">
      <c r="A128" s="4" t="n">
        <v>0</v>
      </c>
      <c r="B128" s="4">
        <f>ACT_DIST_BURR_PDF(A128, 2, 1, 1)</f>
        <v/>
      </c>
      <c r="C128" s="4">
        <f>ACT_DIST_BURR_CDF(A128, 2, 1, 1)</f>
        <v/>
      </c>
      <c r="D128" s="4" t="inlineStr"/>
    </row>
    <row r="129">
      <c r="A129" s="4" t="n">
        <v>0.25</v>
      </c>
      <c r="B129" s="4">
        <f>ACT_DIST_BURR_PDF(A129, 2, 1, 1)</f>
        <v/>
      </c>
      <c r="C129" s="4">
        <f>ACT_DIST_BURR_CDF(A129, 2, 1, 1)</f>
        <v/>
      </c>
      <c r="D129" s="4" t="inlineStr"/>
    </row>
    <row r="130">
      <c r="A130" s="4" t="n">
        <v>0.5</v>
      </c>
      <c r="B130" s="4">
        <f>ACT_DIST_BURR_PDF(A130, 2, 1, 1)</f>
        <v/>
      </c>
      <c r="C130" s="4">
        <f>ACT_DIST_BURR_CDF(A130, 2, 1, 1)</f>
        <v/>
      </c>
      <c r="D130" s="4" t="inlineStr"/>
    </row>
    <row r="131">
      <c r="A131" s="4" t="n">
        <v>1</v>
      </c>
      <c r="B131" s="4">
        <f>ACT_DIST_BURR_PDF(A131, 2, 1, 1)</f>
        <v/>
      </c>
      <c r="C131" s="4">
        <f>ACT_DIST_BURR_CDF(A131, 2, 1, 1)</f>
        <v/>
      </c>
      <c r="D131" s="4" t="inlineStr"/>
    </row>
    <row r="132">
      <c r="A132" s="4" t="n">
        <v>1.5</v>
      </c>
      <c r="B132" s="4">
        <f>ACT_DIST_BURR_PDF(A132, 2, 1, 1)</f>
        <v/>
      </c>
      <c r="C132" s="4">
        <f>ACT_DIST_BURR_CDF(A132, 2, 1, 1)</f>
        <v/>
      </c>
      <c r="D132" s="4" t="inlineStr"/>
    </row>
    <row r="133">
      <c r="A133" s="4" t="n">
        <v>2</v>
      </c>
      <c r="B133" s="4">
        <f>ACT_DIST_BURR_PDF(A133, 2, 1, 1)</f>
        <v/>
      </c>
      <c r="C133" s="4">
        <f>ACT_DIST_BURR_CDF(A133, 2, 1, 1)</f>
        <v/>
      </c>
      <c r="D133" s="4" t="inlineStr"/>
    </row>
    <row r="134">
      <c r="A134" s="4" t="n">
        <v>3</v>
      </c>
      <c r="B134" s="4">
        <f>ACT_DIST_BURR_PDF(A134, 2, 1, 1)</f>
        <v/>
      </c>
      <c r="C134" s="4">
        <f>ACT_DIST_BURR_CDF(A134, 2, 1, 1)</f>
        <v/>
      </c>
      <c r="D134" s="4" t="inlineStr"/>
    </row>
    <row r="135">
      <c r="A135" s="4" t="n">
        <v>4</v>
      </c>
      <c r="B135" s="4">
        <f>ACT_DIST_BURR_PDF(A135, 2, 1, 1)</f>
        <v/>
      </c>
      <c r="C135" s="4">
        <f>ACT_DIST_BURR_CDF(A135, 2, 1, 1)</f>
        <v/>
      </c>
      <c r="D135" s="4" t="inlineStr"/>
    </row>
    <row r="136">
      <c r="A136" s="4" t="n">
        <v>5</v>
      </c>
      <c r="B136" s="4">
        <f>ACT_DIST_BURR_PDF(A136, 2, 1, 1)</f>
        <v/>
      </c>
      <c r="C136" s="4">
        <f>ACT_DIST_BURR_CDF(A136, 2, 1, 1)</f>
        <v/>
      </c>
      <c r="D13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2"/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7"/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1"/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8"/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/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/>
    <row r="40">
      <c r="A40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2026-01-19T11:05:40Z</dcterms:modified>
  <cp:lastModifiedBy>Matthew Evans</cp:lastModifiedBy>
</cp:coreProperties>
</file>