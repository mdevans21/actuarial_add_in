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worksheets/sheet7.xml" ContentType="application/vnd.openxmlformats-officedocument.spreadsheetml.worksheet+xml"/>
  <Override PartName="/xl/drawings/drawing5.xml" ContentType="application/vnd.openxmlformats-officedocument.drawing+xml"/>
  <Override PartName="/xl/worksheets/sheet8.xml" ContentType="application/vnd.openxmlformats-officedocument.spreadsheetml.worksheet+xml"/>
  <Override PartName="/xl/drawings/drawing6.xml" ContentType="application/vnd.openxmlformats-officedocument.drawing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Versions" sheetId="1" state="visible" r:id="rId1"/>
    <sheet name="Distributions" sheetId="2" state="visible" r:id="rId2"/>
    <sheet name="Exposure Curves" sheetId="3" state="visible" r:id="rId3"/>
    <sheet name="Reinsurance" sheetId="4" state="visible" r:id="rId4"/>
    <sheet name="Interpolation" sheetId="5" state="visible" r:id="rId5"/>
    <sheet name="Chain Ladder" sheetId="6" state="visible" r:id="rId6"/>
    <sheet name="Copulas" sheetId="7" state="visible" r:id="rId7"/>
    <sheet name="Return Periods" sheetId="8" state="visible" r:id="rId8"/>
    <sheet name="All Functions Test" sheetId="9" state="visible" r:id="rId9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b val="1"/>
      <sz val="14"/>
    </font>
    <font>
      <i val="1"/>
      <color rgb="00666666"/>
      <sz val="10"/>
    </font>
    <font>
      <b val="1"/>
      <color rgb="00FFFFFF"/>
      <sz val="11"/>
    </font>
    <font>
      <b val="1"/>
      <sz val="11"/>
    </font>
    <font>
      <b val="1"/>
    </font>
    <font>
      <name val="Calibri"/>
      <family val="2"/>
      <color theme="10"/>
      <sz val="12"/>
      <scheme val="minor"/>
    </font>
    <font>
      <b val="1"/>
      <sz val="12"/>
    </font>
  </fonts>
  <fills count="4">
    <fill>
      <patternFill/>
    </fill>
    <fill>
      <patternFill patternType="gray125"/>
    </fill>
    <fill>
      <patternFill patternType="solid">
        <fgColor rgb="004472C4"/>
        <bgColor rgb="004472C4"/>
      </patternFill>
    </fill>
    <fill>
      <patternFill patternType="solid">
        <fgColor rgb="00D9D9D9"/>
        <bgColor rgb="00D9D9D9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2">
    <xf numFmtId="0" fontId="0" fillId="0" borderId="0"/>
    <xf numFmtId="0" fontId="6" fillId="0" borderId="0"/>
  </cellStyleXfs>
  <cellXfs count="15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0" pivotButton="0" quotePrefix="0" xfId="0"/>
    <xf numFmtId="0" fontId="4" fillId="0" borderId="1" pivotButton="0" quotePrefix="0" xfId="0"/>
    <xf numFmtId="3" fontId="0" fillId="0" borderId="1" pivotButton="0" quotePrefix="0" xfId="0"/>
    <xf numFmtId="3" fontId="4" fillId="0" borderId="1" pivotButton="0" quotePrefix="0" xfId="0"/>
    <xf numFmtId="3" fontId="0" fillId="0" borderId="0" pivotButton="0" quotePrefix="0" xfId="0"/>
    <xf numFmtId="0" fontId="5" fillId="0" borderId="0" pivotButton="0" quotePrefix="0" xfId="0"/>
    <xf numFmtId="0" fontId="6" fillId="0" borderId="0" pivotButton="0" quotePrefix="0" xfId="1"/>
    <xf numFmtId="0" fontId="7" fillId="0" borderId="0" pivotButton="0" quotePrefix="0" xfId="0"/>
    <xf numFmtId="0" fontId="5" fillId="3" borderId="1" pivotButton="0" quotePrefix="0" xfId="0"/>
  </cellXfs>
  <cellStyles count="2">
    <cellStyle name="Normal" xfId="0" builtinId="0"/>
    <cellStyle name="Hyperlink" xfId="1" builtinId="8" hidden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Poisson PMF (λ=5)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'Distributions'!$A$7:$A$17</f>
            </numRef>
          </xVal>
          <yVal>
            <numRef>
              <f>'Distributions'!$B$7:$B$17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Negative Binomial PMF (r=5, p=0.3)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'Distributions'!$A$22:$A$32</f>
            </numRef>
          </xVal>
          <yVal>
            <numRef>
              <f>'Distributions'!$B$22:$B$32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'Distributions'!$A$36:$A$42</f>
            </numRef>
          </xVal>
          <yVal>
            <numRef>
              <f>'Distributions'!$B$36:$B$42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Gamma PDF (α=2, β=1)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'Distributions'!$A$46:$A$51</f>
            </numRef>
          </xVal>
          <yVal>
            <numRef>
              <f>'Distributions'!$B$46:$B$51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Pareto PDF (α=2, xm=1)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'Distributions'!$A$55:$A$61</f>
            </numRef>
          </xVal>
          <yVal>
            <numRef>
              <f>'Distributions'!$B$55:$B$61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MBBEFD Exposure Curve (b=2, g=3)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'Exposure Curves'!$A$7:$A$17</f>
            </numRef>
          </xVal>
          <yVal>
            <numRef>
              <f>'Exposure Curves'!$B$7:$B$17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Swiss Re Curves Comparison</a:t>
            </a:r>
          </a:p>
        </rich>
      </tx>
    </title>
    <plotArea>
      <scatterChart>
        <ser>
          <idx val="0"/>
          <order val="0"/>
          <tx>
            <strRef>
              <f>'Exposure Curves'!B21</f>
            </strRef>
          </tx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Curves'!$B$22:$B$31</f>
            </numRef>
          </yVal>
        </ser>
        <ser>
          <idx val="1"/>
          <order val="1"/>
          <tx>
            <strRef>
              <f>'Exposure Curves'!C21</f>
            </strRef>
          </tx>
          <spPr>
            <a:ln>
              <a:solidFill>
                <a:srgbClr val="ED7D31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Curves'!$C$22:$C$31</f>
            </numRef>
          </yVal>
        </ser>
        <ser>
          <idx val="2"/>
          <order val="2"/>
          <tx>
            <strRef>
              <f>'Exposure Curves'!D21</f>
            </strRef>
          </tx>
          <spPr>
            <a:ln>
              <a:solidFill>
                <a:srgbClr val="A5A5A5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Curves'!$D$22:$D$31</f>
            </numRef>
          </yVal>
        </ser>
        <ser>
          <idx val="3"/>
          <order val="3"/>
          <tx>
            <strRef>
              <f>'Exposure Curves'!E21</f>
            </strRef>
          </tx>
          <spPr>
            <a:ln>
              <a:solidFill>
                <a:srgbClr val="FFC000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Curves'!$E$22:$E$31</f>
            </numRef>
          </yVal>
        </ser>
        <ser>
          <idx val="4"/>
          <order val="4"/>
          <tx>
            <strRef>
              <f>'Exposure Curves'!F21</f>
            </strRef>
          </tx>
          <spPr>
            <a:ln>
              <a:solidFill>
                <a:srgbClr val="5B9BD5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Curves'!$F$22:$F$31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Lloyd's Curves Comparison</a:t>
            </a:r>
          </a:p>
        </rich>
      </tx>
    </title>
    <plotArea>
      <scatterChart>
        <ser>
          <idx val="0"/>
          <order val="0"/>
          <tx>
            <strRef>
              <f>'Exposure Curves'!B35</f>
            </strRef>
          </tx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Curves'!$A$35:$A$45</f>
            </numRef>
          </xVal>
          <yVal>
            <numRef>
              <f>'Exposure Curves'!$B$36:$B$45</f>
            </numRef>
          </yVal>
        </ser>
        <ser>
          <idx val="1"/>
          <order val="1"/>
          <tx>
            <strRef>
              <f>'Exposure Curves'!C35</f>
            </strRef>
          </tx>
          <spPr>
            <a:ln>
              <a:solidFill>
                <a:srgbClr val="ED7D31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Curves'!$A$35:$A$45</f>
            </numRef>
          </xVal>
          <yVal>
            <numRef>
              <f>'Exposure Curves'!$C$36:$C$45</f>
            </numRef>
          </yVal>
        </ser>
        <ser>
          <idx val="2"/>
          <order val="2"/>
          <tx>
            <strRef>
              <f>'Exposure Curves'!D35</f>
            </strRef>
          </tx>
          <spPr>
            <a:ln>
              <a:solidFill>
                <a:srgbClr val="A5A5A5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Curves'!$A$35:$A$45</f>
            </numRef>
          </xVal>
          <yVal>
            <numRef>
              <f>'Exposure Curves'!$D$36:$D$45</f>
            </numRef>
          </yVal>
        </ser>
        <ser>
          <idx val="3"/>
          <order val="3"/>
          <tx>
            <strRef>
              <f>'Exposure Curves'!E35</f>
            </strRef>
          </tx>
          <spPr>
            <a:ln>
              <a:solidFill>
                <a:srgbClr val="FFC000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Curves'!$A$35:$A$45</f>
            </numRef>
          </xVal>
          <yVal>
            <numRef>
              <f>'Exposure Curves'!$E$36:$E$45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Interpolation with Extrapolation</a:t>
            </a:r>
          </a:p>
        </rich>
      </tx>
    </title>
    <plotArea>
      <scatterChart>
        <ser>
          <idx val="0"/>
          <order val="0"/>
          <tx>
            <v>Known Points</v>
          </tx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10"/>
            <spPr>
              <a:ln>
                <a:prstDash val="solid"/>
              </a:ln>
            </spPr>
          </marker>
          <xVal>
            <numRef>
              <f>'Interpolation'!$A$7:$A$11</f>
            </numRef>
          </xVal>
          <yVal>
            <numRef>
              <f>'Interpolation'!$B$7:$B$11</f>
            </numRef>
          </yVal>
        </ser>
        <ser>
          <idx val="1"/>
          <order val="1"/>
          <tx>
            <v>FLAT Extrapolation</v>
          </tx>
          <spPr>
            <a:ln>
              <a:solidFill>
                <a:srgbClr val="ED7D31"/>
              </a:solidFill>
              <a:prstDash val="solid"/>
            </a:ln>
          </spPr>
          <marker>
            <symbol val="triangle"/>
            <size val="7"/>
            <spPr>
              <a:ln>
                <a:prstDash val="solid"/>
              </a:ln>
            </spPr>
          </marker>
          <xVal>
            <numRef>
              <f>'Interpolation'!$A$15:$A$21</f>
            </numRef>
          </xVal>
          <yVal>
            <numRef>
              <f>'Interpolation'!$B$15:$B$21</f>
            </numRef>
          </yVal>
        </ser>
        <ser>
          <idx val="2"/>
          <order val="2"/>
          <tx>
            <v>GRADIENT Extrapolation</v>
          </tx>
          <spPr>
            <a:ln>
              <a:solidFill>
                <a:srgbClr val="A5A5A5"/>
              </a:solidFill>
              <a:prstDash val="solid"/>
            </a:ln>
          </spPr>
          <marker>
            <symbol val="square"/>
            <size val="7"/>
            <spPr>
              <a:ln>
                <a:prstDash val="solid"/>
              </a:ln>
            </spPr>
          </marker>
          <xVal>
            <numRef>
              <f>'Interpolation'!$A$15:$A$21</f>
            </numRef>
          </xVal>
          <yVal>
            <numRef>
              <f>'Interpolation'!$C$15:$C$21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crossAx val="20"/>
        <crosses val="autoZero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Y</a:t>
                </a:r>
              </a:p>
            </rich>
          </tx>
        </title>
        <majorTickMark val="none"/>
        <minorTickMark val="none"/>
        <crossAx val="10"/>
        <crosses val="autoZero"/>
      </valAx>
    </plotArea>
    <legend>
      <legendPos val="r"/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IBNR by Accident Year</a:t>
            </a:r>
          </a:p>
        </rich>
      </tx>
    </title>
    <plotArea>
      <lineChart>
        <grouping val="standard"/>
        <ser>
          <idx val="0"/>
          <order val="0"/>
          <tx>
            <strRef>
              <f>'Chain Ladder'!D45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'Chain Ladder'!$A$46:$A$55</f>
            </numRef>
          </cat>
          <val>
            <numRef>
              <f>'Chain Ladder'!$D$46:$D$55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IBNR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Development Pattern - Latest Diagonal to Ultimate</a:t>
            </a:r>
          </a:p>
        </rich>
      </tx>
    </title>
    <plotArea>
      <lineChart>
        <grouping val="standard"/>
        <ser>
          <idx val="0"/>
          <order val="0"/>
          <tx>
            <strRef>
              <f>'Chain Ladder'!B45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'Chain Ladder'!$A$46:$A$55</f>
            </numRef>
          </cat>
          <val>
            <numRef>
              <f>'Chain Ladder'!$B$46:$B$55</f>
            </numRef>
          </val>
        </ser>
        <ser>
          <idx val="1"/>
          <order val="1"/>
          <tx>
            <strRef>
              <f>'Chain Ladder'!C45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'Chain Ladder'!$A$46:$A$55</f>
            </numRef>
          </cat>
          <val>
            <numRef>
              <f>'Chain Ladder'!$C$46:$C$55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Amount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Mack Standard Error by Accident Year</a:t>
            </a:r>
          </a:p>
        </rich>
      </tx>
    </title>
    <plotArea>
      <lineChart>
        <grouping val="standard"/>
        <ser>
          <idx val="0"/>
          <order val="0"/>
          <tx>
            <strRef>
              <f>'Chain Ladder'!B72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'Chain Ladder'!$A$73:$A$82</f>
            </numRef>
          </cat>
          <val>
            <numRef>
              <f>'Chain Ladder'!$B$73:$B$82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Standard Error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Copula Samples: U1 vs U2 (correlation = 0.5)</a:t>
            </a:r>
          </a:p>
        </rich>
      </tx>
    </title>
    <plotArea>
      <scatterChart>
        <ser>
          <idx val="0"/>
          <order val="0"/>
          <spPr>
            <a:ln>
              <a:noFill/>
              <a:prstDash val="solid"/>
            </a:ln>
          </spPr>
          <marker>
            <symbol val="circle"/>
            <size val="5"/>
            <spPr>
              <a:ln>
                <a:prstDash val="solid"/>
              </a:ln>
            </spPr>
          </marker>
          <xVal>
            <numRef>
              <f>'Copulas'!$A$19:$A$1018</f>
            </numRef>
          </xVal>
          <yVal>
            <numRef>
              <f>'Copulas'!$B$19:$B$1018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U1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U2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Exceedance Probability Curve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'Return Periods'!$A$7:$A$11</f>
            </numRef>
          </xVal>
          <yVal>
            <numRef>
              <f>'Return Periods'!$B$7:$B$11</f>
            </numRef>
          </yVal>
        </ser>
        <axId val="10"/>
        <axId val="20"/>
      </scatterChart>
      <valAx>
        <axId val="10"/>
        <scaling>
          <logBase val="10"/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Return Period (years)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OEP Loss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6.xml" Id="rId1" /><Relationship Type="http://schemas.openxmlformats.org/officeDocument/2006/relationships/chart" Target="/xl/charts/chart7.xml" Id="rId2" /><Relationship Type="http://schemas.openxmlformats.org/officeDocument/2006/relationships/chart" Target="/xl/charts/chart8.xml" Id="rId3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9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 /><Relationship Type="http://schemas.openxmlformats.org/officeDocument/2006/relationships/chart" Target="/xl/charts/chart11.xml" Id="rId2" /><Relationship Type="http://schemas.openxmlformats.org/officeDocument/2006/relationships/chart" Target="/xl/charts/chart12.xml" Id="rId3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13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14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17</row>
      <rowOff>0</rowOff>
    </from>
    <ext cx="3600000" cy="252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31</row>
      <rowOff>0</rowOff>
    </from>
    <ext cx="3600000" cy="252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5</col>
      <colOff>0</colOff>
      <row>45</row>
      <rowOff>0</rowOff>
    </from>
    <ext cx="3600000" cy="252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5</col>
      <colOff>0</colOff>
      <row>59</row>
      <rowOff>0</rowOff>
    </from>
    <ext cx="3600000" cy="252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github.com/mdevans21/actuarial_add_in" TargetMode="Externa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47"/>
  <sheetViews>
    <sheetView workbookViewId="0">
      <selection activeCell="A1" sqref="A1"/>
    </sheetView>
  </sheetViews>
  <sheetFormatPr baseColWidth="8" defaultRowHeight="15"/>
  <cols>
    <col width="30" customWidth="1" min="1" max="1"/>
    <col width="25" customWidth="1" min="2" max="2"/>
    <col width="60" customWidth="1" min="3" max="3"/>
  </cols>
  <sheetData>
    <row r="1">
      <c r="A1" s="1" t="inlineStr">
        <is>
          <t>Actuarial Add-In Version History</t>
        </is>
      </c>
    </row>
    <row r="3">
      <c r="A3" s="11" t="inlineStr">
        <is>
          <t>Current Version:</t>
        </is>
      </c>
      <c r="B3" t="inlineStr">
        <is>
          <t>0.1.0</t>
        </is>
      </c>
    </row>
    <row r="4">
      <c r="A4" s="11" t="inlineStr">
        <is>
          <t>Build Date:</t>
        </is>
      </c>
      <c r="B4" t="inlineStr">
        <is>
          <t>2026-01-18</t>
        </is>
      </c>
    </row>
    <row r="5">
      <c r="A5" s="11" t="inlineStr">
        <is>
          <t>GitHub:</t>
        </is>
      </c>
      <c r="B5" s="12" t="inlineStr">
        <is>
          <t>https://github.com/mdevans21/actuarial_add_in</t>
        </is>
      </c>
    </row>
    <row r="7">
      <c r="A7" s="13" t="inlineStr">
        <is>
          <t>Version Functions:</t>
        </is>
      </c>
    </row>
    <row r="8">
      <c r="A8" s="11" t="inlineStr">
        <is>
          <t>ACT_VERSION()</t>
        </is>
      </c>
      <c r="B8">
        <f>ACT_VERSION()</f>
        <v/>
      </c>
    </row>
    <row r="9">
      <c r="A9" s="11" t="inlineStr">
        <is>
          <t>ACT_BUILD_DATE()</t>
        </is>
      </c>
      <c r="B9">
        <f>ACT_BUILD_DATE()</f>
        <v/>
      </c>
    </row>
    <row r="10">
      <c r="A10" s="11" t="inlineStr">
        <is>
          <t>ACT_GITHUB_URL()</t>
        </is>
      </c>
      <c r="B10">
        <f>ACT_GITHUB_URL()</f>
        <v/>
      </c>
    </row>
    <row r="11">
      <c r="A11" s="11" t="inlineStr">
        <is>
          <t>ACT_COMMIT_COUNT()</t>
        </is>
      </c>
      <c r="B11">
        <f>ACT_COMMIT_COUNT()</f>
        <v/>
      </c>
    </row>
    <row r="12">
      <c r="A12" s="11" t="inlineStr">
        <is>
          <t>ACT_COMMIT_INFO(n, field)</t>
        </is>
      </c>
      <c r="B12">
        <f>ACT_COMMIT_INFO(1, "message")</f>
        <v/>
      </c>
    </row>
    <row r="14">
      <c r="A14" s="13" t="inlineStr">
        <is>
          <t>Commit History</t>
        </is>
      </c>
    </row>
    <row r="15">
      <c r="A15" s="14" t="inlineStr">
        <is>
          <t>Commit</t>
        </is>
      </c>
      <c r="B15" s="14" t="inlineStr">
        <is>
          <t>Date</t>
        </is>
      </c>
      <c r="C15" s="14" t="inlineStr">
        <is>
          <t>Message</t>
        </is>
      </c>
    </row>
    <row r="16">
      <c r="A16" s="5" t="inlineStr">
        <is>
          <t>b2a74d4</t>
        </is>
      </c>
      <c r="B16" s="5" t="inlineStr">
        <is>
          <t>2026-01-18</t>
        </is>
      </c>
      <c r="C16" s="5" t="inlineStr">
        <is>
          <t>Add Phase 6: Credibility and experience rating functions</t>
        </is>
      </c>
    </row>
    <row r="17">
      <c r="A17" s="5" t="inlineStr">
        <is>
          <t>8e5109b</t>
        </is>
      </c>
      <c r="B17" s="5" t="inlineStr">
        <is>
          <t>2026-01-18</t>
        </is>
      </c>
      <c r="C17" s="5" t="inlineStr">
        <is>
          <t>Add Phase 5: Reserving enhancements - Cape Cod, triangle utilities, calendar year</t>
        </is>
      </c>
    </row>
    <row r="18">
      <c r="A18" s="5" t="inlineStr">
        <is>
          <t>6a2d830</t>
        </is>
      </c>
      <c r="B18" s="5" t="inlineStr">
        <is>
          <t>2026-01-18</t>
        </is>
      </c>
      <c r="C18" s="5" t="inlineStr">
        <is>
          <t>Add Phase 3: Archimedean copulas and utility functions</t>
        </is>
      </c>
    </row>
    <row r="19">
      <c r="A19" s="5" t="inlineStr">
        <is>
          <t>2f71e98</t>
        </is>
      </c>
      <c r="B19" s="5" t="inlineStr">
        <is>
          <t>2026-01-18</t>
        </is>
      </c>
      <c r="C19" s="5" t="inlineStr">
        <is>
          <t>Add Phase 2: Parameter estimation functions for distribution fitting</t>
        </is>
      </c>
    </row>
    <row r="20">
      <c r="A20" s="5" t="inlineStr">
        <is>
          <t>79ef7bc</t>
        </is>
      </c>
      <c r="B20" s="5" t="inlineStr">
        <is>
          <t>2026-01-18</t>
        </is>
      </c>
      <c r="C20" s="5" t="inlineStr">
        <is>
          <t>Implement Phase 1 from next_steps.md: distributions, copulas, and help text</t>
        </is>
      </c>
    </row>
    <row r="21">
      <c r="A21" s="5" t="inlineStr">
        <is>
          <t>bc30112</t>
        </is>
      </c>
      <c r="B21" s="5" t="inlineStr">
        <is>
          <t>2026-01-18</t>
        </is>
      </c>
      <c r="C21" s="5" t="inlineStr">
        <is>
          <t>Add comprehensive review and roadmap for actuarial add-in</t>
        </is>
      </c>
    </row>
    <row r="22">
      <c r="A22" s="5" t="inlineStr">
        <is>
          <t>fb0a7fe</t>
        </is>
      </c>
      <c r="B22" s="5" t="inlineStr">
        <is>
          <t>2026-01-17</t>
        </is>
      </c>
      <c r="C22" s="5" t="inlineStr">
        <is>
          <t>Merge branch 'main'</t>
        </is>
      </c>
    </row>
    <row r="23">
      <c r="A23" s="5" t="inlineStr">
        <is>
          <t>83a9008</t>
        </is>
      </c>
      <c r="B23" s="5" t="inlineStr">
        <is>
          <t>2026-01-17</t>
        </is>
      </c>
      <c r="C23" s="5" t="inlineStr">
        <is>
          <t>Add chain ladder enhancements and update examples</t>
        </is>
      </c>
    </row>
    <row r="24">
      <c r="A24" s="5" t="inlineStr">
        <is>
          <t>b16e651</t>
        </is>
      </c>
      <c r="B24" s="5" t="inlineStr">
        <is>
          <t>2026-01-17</t>
        </is>
      </c>
      <c r="C24" s="5" t="inlineStr">
        <is>
          <t>Update README.md</t>
        </is>
      </c>
    </row>
    <row r="25">
      <c r="A25" s="5" t="inlineStr">
        <is>
          <t>7bb88e5</t>
        </is>
      </c>
      <c r="B25" s="5" t="inlineStr">
        <is>
          <t>2026-01-17</t>
        </is>
      </c>
      <c r="C25" s="5" t="inlineStr">
        <is>
          <t>Update README.md</t>
        </is>
      </c>
    </row>
    <row r="26">
      <c r="A26" s="5" t="inlineStr">
        <is>
          <t>7458388</t>
        </is>
      </c>
      <c r="B26" s="5" t="inlineStr">
        <is>
          <t>2026-01-17</t>
        </is>
      </c>
      <c r="C26" s="5" t="inlineStr">
        <is>
          <t>Add charts to Excel sheets and update Chain Ladder with Taylor-Ashe data</t>
        </is>
      </c>
    </row>
    <row r="27">
      <c r="A27" s="5" t="inlineStr">
        <is>
          <t>dc52de8</t>
        </is>
      </c>
      <c r="B27" s="5" t="inlineStr">
        <is>
          <t>2026-01-17</t>
        </is>
      </c>
      <c r="C27" s="5" t="inlineStr">
        <is>
          <t>Add documentation, examples, and agent instructions</t>
        </is>
      </c>
    </row>
    <row r="28">
      <c r="A28" s="5" t="inlineStr">
        <is>
          <t>1fbd1ef</t>
        </is>
      </c>
      <c r="B28" s="5" t="inlineStr">
        <is>
          <t>2026-01-17</t>
        </is>
      </c>
      <c r="C28" s="5" t="inlineStr">
        <is>
          <t>Rename PRD file to fix double extension</t>
        </is>
      </c>
    </row>
    <row r="29">
      <c r="A29" s="5" t="inlineStr">
        <is>
          <t>d2323be</t>
        </is>
      </c>
      <c r="B29" s="5" t="inlineStr">
        <is>
          <t>2026-01-17</t>
        </is>
      </c>
      <c r="C29" s="5" t="inlineStr">
        <is>
          <t>Fix Poisson inverse CDF implementation</t>
        </is>
      </c>
    </row>
    <row r="30">
      <c r="A30" s="5" t="inlineStr">
        <is>
          <t>62c42d7</t>
        </is>
      </c>
      <c r="B30" s="5" t="inlineStr">
        <is>
          <t>2026-01-17</t>
        </is>
      </c>
      <c r="C30" s="5" t="inlineStr">
        <is>
          <t>Initial implementation of Actuarial Excel Add-in</t>
        </is>
      </c>
    </row>
    <row r="32">
      <c r="A32" s="13" t="inlineStr">
        <is>
          <t>Note on Array Formulas:</t>
        </is>
      </c>
    </row>
    <row r="33">
      <c r="A33" t="inlineStr">
        <is>
          <t>If you see @ before function names in Excel 365, delete it.</t>
        </is>
      </c>
    </row>
    <row r="34">
      <c r="A34" t="inlineStr">
        <is>
          <t>Array functions need empty cells to spill their results.</t>
        </is>
      </c>
    </row>
    <row r="35">
      <c r="A35" t="inlineStr">
        <is>
          <t>Or use INDEX() to extract individual values.</t>
        </is>
      </c>
    </row>
    <row r="37">
      <c r="A37" s="13" t="inlineStr">
        <is>
          <t>Array-returning functions:</t>
        </is>
      </c>
    </row>
    <row r="38">
      <c r="A38" t="inlineStr">
        <is>
          <t>ACT_BAYESIAN_UPDATE_FULL</t>
        </is>
      </c>
      <c r="B38" t="inlineStr">
        <is>
          <t>ACT_BERQUIST_SHERMAN</t>
        </is>
      </c>
      <c r="C38" t="inlineStr">
        <is>
          <t>ACT_BF_ULTIMATE</t>
        </is>
      </c>
    </row>
    <row r="39">
      <c r="A39" t="inlineStr">
        <is>
          <t>ACT_BOOTSTRAP_CL</t>
        </is>
      </c>
      <c r="B39" t="inlineStr">
        <is>
          <t>ACT_BOOTSTRAP_CL_ORIGIN</t>
        </is>
      </c>
      <c r="C39" t="inlineStr">
        <is>
          <t>ACT_BUHLMANN_STRAUB_PARAMS</t>
        </is>
      </c>
    </row>
    <row r="40">
      <c r="A40" t="inlineStr">
        <is>
          <t>ACT_CAPECOD_ULTIMATE</t>
        </is>
      </c>
      <c r="B40" t="inlineStr">
        <is>
          <t>ACT_CL_CALENDAR_ADJUST</t>
        </is>
      </c>
      <c r="C40" t="inlineStr">
        <is>
          <t>ACT_CL_CALENDAR_TOTALS</t>
        </is>
      </c>
    </row>
    <row r="41">
      <c r="A41" t="inlineStr">
        <is>
          <t>ACT_CL_FACTORS</t>
        </is>
      </c>
      <c r="B41" t="inlineStr">
        <is>
          <t>ACT_CL_IBNR</t>
        </is>
      </c>
      <c r="C41" t="inlineStr">
        <is>
          <t>ACT_CL_LATEST</t>
        </is>
      </c>
    </row>
    <row r="42">
      <c r="A42" t="inlineStr">
        <is>
          <t>ACT_CL_ULTIMATE</t>
        </is>
      </c>
      <c r="B42" t="inlineStr">
        <is>
          <t>ACT_CL_WEIGHTED_AVERAGE</t>
        </is>
      </c>
      <c r="C42" t="inlineStr">
        <is>
          <t>ACT_COMMIT_HISTORY</t>
        </is>
      </c>
    </row>
    <row r="43">
      <c r="A43" t="inlineStr">
        <is>
          <t>ACT_COPULA_CLAYTON</t>
        </is>
      </c>
      <c r="B43" t="inlineStr">
        <is>
          <t>ACT_COPULA_FRANK</t>
        </is>
      </c>
      <c r="C43" t="inlineStr">
        <is>
          <t>ACT_COPULA_GAUSSIAN</t>
        </is>
      </c>
    </row>
    <row r="44">
      <c r="A44" t="inlineStr">
        <is>
          <t>ACT_COPULA_GUMBEL</t>
        </is>
      </c>
      <c r="B44" t="inlineStr">
        <is>
          <t>ACT_COPULA_STUDENT_T</t>
        </is>
      </c>
      <c r="C44" t="inlineStr">
        <is>
          <t>ACT_ILF_TABLE</t>
        </is>
      </c>
    </row>
    <row r="45">
      <c r="A45" t="inlineStr">
        <is>
          <t>ACT_ILF_TABLE_STANDARD</t>
        </is>
      </c>
      <c r="B45" t="inlineStr">
        <is>
          <t>ACT_INCREMENTAL_TO_CUMULATIVE</t>
        </is>
      </c>
      <c r="C45" t="inlineStr">
        <is>
          <t>ACT_MACK_FACTOR_SE</t>
        </is>
      </c>
    </row>
    <row r="46">
      <c r="A46" t="inlineStr">
        <is>
          <t>ACT_MACK_RESERVE_SE</t>
        </is>
      </c>
      <c r="B46" t="inlineStr">
        <is>
          <t>ACT_RETRO_PARAMETERS</t>
        </is>
      </c>
      <c r="C46" t="inlineStr">
        <is>
          <t>ACT_RETURN_PERIOD_TABLE</t>
        </is>
      </c>
    </row>
    <row r="47">
      <c r="A47" t="inlineStr">
        <is>
          <t>ACT_TRIANGLE_DIAGONAL</t>
        </is>
      </c>
      <c r="B47" t="inlineStr">
        <is>
          <t>ACT_TRIANGLE_LINK_RATIOS</t>
        </is>
      </c>
      <c r="C47" t="inlineStr">
        <is>
          <t>ACT_TRIANGLE_TO_INCREMENTAL</t>
        </is>
      </c>
    </row>
  </sheetData>
  <mergeCells count="2">
    <mergeCell ref="A1:D1"/>
    <mergeCell ref="A14:C14"/>
  </mergeCells>
  <hyperlinks>
    <hyperlink xmlns:r="http://schemas.openxmlformats.org/officeDocument/2006/relationships" ref="B5" r:id="rId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E61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25" customWidth="1" min="5" max="5"/>
    <col width="5" customWidth="1" min="6" max="6"/>
    <col width="15" customWidth="1" min="7" max="7"/>
  </cols>
  <sheetData>
    <row r="1">
      <c r="A1" s="1" t="inlineStr">
        <is>
          <t>Statistical Distributions</t>
        </is>
      </c>
    </row>
    <row r="3">
      <c r="A3" s="2" t="inlineStr">
        <is>
          <t>PDF = Probability Density/Mass Function, CDF = Cumulative Distribution Function, INV = Inverse CDF (Quantile)</t>
        </is>
      </c>
    </row>
    <row r="5">
      <c r="A5" s="2" t="inlineStr">
        <is>
          <t>POISSON DISTRIBUTION (lambda=5)</t>
        </is>
      </c>
    </row>
    <row r="6">
      <c r="A6" s="3" t="inlineStr">
        <is>
          <t>k</t>
        </is>
      </c>
      <c r="B6" s="3" t="inlineStr">
        <is>
          <t>PDF</t>
        </is>
      </c>
      <c r="C6" s="3" t="inlineStr">
        <is>
          <t>CDF</t>
        </is>
      </c>
      <c r="D6" s="3" t="inlineStr">
        <is>
          <t>Notes</t>
        </is>
      </c>
    </row>
    <row r="7">
      <c r="A7" s="4" t="n">
        <v>0</v>
      </c>
      <c r="B7" s="4">
        <f>ACT_POISSON_PDF(A7, 5)</f>
        <v/>
      </c>
      <c r="C7" s="4">
        <f>ACT_POISSON_CDF(A7, 5)</f>
        <v/>
      </c>
      <c r="D7" s="4" t="inlineStr"/>
    </row>
    <row r="8">
      <c r="A8" s="4" t="n">
        <v>1</v>
      </c>
      <c r="B8" s="4">
        <f>ACT_POISSON_PDF(A8, 5)</f>
        <v/>
      </c>
      <c r="C8" s="4">
        <f>ACT_POISSON_CDF(A8, 5)</f>
        <v/>
      </c>
      <c r="D8" s="4" t="inlineStr"/>
    </row>
    <row r="9">
      <c r="A9" s="4" t="n">
        <v>2</v>
      </c>
      <c r="B9" s="4">
        <f>ACT_POISSON_PDF(A9, 5)</f>
        <v/>
      </c>
      <c r="C9" s="4">
        <f>ACT_POISSON_CDF(A9, 5)</f>
        <v/>
      </c>
      <c r="D9" s="4" t="inlineStr"/>
    </row>
    <row r="10">
      <c r="A10" s="4" t="n">
        <v>3</v>
      </c>
      <c r="B10" s="4">
        <f>ACT_POISSON_PDF(A10, 5)</f>
        <v/>
      </c>
      <c r="C10" s="4">
        <f>ACT_POISSON_CDF(A10, 5)</f>
        <v/>
      </c>
      <c r="D10" s="4" t="inlineStr"/>
    </row>
    <row r="11">
      <c r="A11" s="4" t="n">
        <v>4</v>
      </c>
      <c r="B11" s="4">
        <f>ACT_POISSON_PDF(A11, 5)</f>
        <v/>
      </c>
      <c r="C11" s="4">
        <f>ACT_POISSON_CDF(A11, 5)</f>
        <v/>
      </c>
      <c r="D11" s="4" t="inlineStr"/>
    </row>
    <row r="12">
      <c r="A12" s="4" t="n">
        <v>5</v>
      </c>
      <c r="B12" s="4">
        <f>ACT_POISSON_PDF(A12, 5)</f>
        <v/>
      </c>
      <c r="C12" s="4">
        <f>ACT_POISSON_CDF(A12, 5)</f>
        <v/>
      </c>
      <c r="D12" s="4" t="inlineStr">
        <is>
          <t>Mode of distribution</t>
        </is>
      </c>
    </row>
    <row r="13">
      <c r="A13" s="4" t="n">
        <v>6</v>
      </c>
      <c r="B13" s="4">
        <f>ACT_POISSON_PDF(A13, 5)</f>
        <v/>
      </c>
      <c r="C13" s="4">
        <f>ACT_POISSON_CDF(A13, 5)</f>
        <v/>
      </c>
      <c r="D13" s="4" t="inlineStr"/>
    </row>
    <row r="14">
      <c r="A14" s="4" t="n">
        <v>7</v>
      </c>
      <c r="B14" s="4">
        <f>ACT_POISSON_PDF(A14, 5)</f>
        <v/>
      </c>
      <c r="C14" s="4">
        <f>ACT_POISSON_CDF(A14, 5)</f>
        <v/>
      </c>
      <c r="D14" s="4" t="inlineStr"/>
    </row>
    <row r="15">
      <c r="A15" s="4" t="n">
        <v>8</v>
      </c>
      <c r="B15" s="4">
        <f>ACT_POISSON_PDF(A15, 5)</f>
        <v/>
      </c>
      <c r="C15" s="4">
        <f>ACT_POISSON_CDF(A15, 5)</f>
        <v/>
      </c>
      <c r="D15" s="4" t="inlineStr"/>
    </row>
    <row r="16">
      <c r="A16" s="4" t="n">
        <v>9</v>
      </c>
      <c r="B16" s="4">
        <f>ACT_POISSON_PDF(A16, 5)</f>
        <v/>
      </c>
      <c r="C16" s="4">
        <f>ACT_POISSON_CDF(A16, 5)</f>
        <v/>
      </c>
      <c r="D16" s="4" t="inlineStr"/>
    </row>
    <row r="17">
      <c r="A17" s="4" t="n">
        <v>10</v>
      </c>
      <c r="B17" s="4">
        <f>ACT_POISSON_PDF(A17, 5)</f>
        <v/>
      </c>
      <c r="C17" s="4">
        <f>ACT_POISSON_CDF(A17, 5)</f>
        <v/>
      </c>
      <c r="D17" s="4" t="inlineStr"/>
    </row>
    <row r="18">
      <c r="A18" s="2" t="inlineStr">
        <is>
          <t>Inverse CDF example: =ACT_POISSON_INV(0.5, 5) returns the median</t>
        </is>
      </c>
      <c r="E18">
        <f>ACT_POISSON_INV(0.5, 5)</f>
        <v/>
      </c>
    </row>
    <row r="20">
      <c r="A20" s="2" t="inlineStr">
        <is>
          <t>NEGATIVE BINOMIAL DISTRIBUTION (r=5, p=0.3)</t>
        </is>
      </c>
    </row>
    <row r="21">
      <c r="A21" s="3" t="inlineStr">
        <is>
          <t>k</t>
        </is>
      </c>
      <c r="B21" s="3" t="inlineStr">
        <is>
          <t>PDF</t>
        </is>
      </c>
      <c r="C21" s="3" t="inlineStr">
        <is>
          <t>CDF</t>
        </is>
      </c>
      <c r="D21" s="3" t="inlineStr">
        <is>
          <t>Notes</t>
        </is>
      </c>
    </row>
    <row r="22">
      <c r="A22" s="4" t="n">
        <v>0</v>
      </c>
      <c r="B22" s="4">
        <f>ACT_NEGBIN_PDF(A22, 5, 0.3)</f>
        <v/>
      </c>
      <c r="C22" s="4">
        <f>ACT_NEGBIN_CDF(A22, 5, 0.3)</f>
        <v/>
      </c>
      <c r="D22" s="4" t="inlineStr"/>
    </row>
    <row r="23">
      <c r="A23" s="4" t="n">
        <v>1</v>
      </c>
      <c r="B23" s="4">
        <f>ACT_NEGBIN_PDF(A23, 5, 0.3)</f>
        <v/>
      </c>
      <c r="C23" s="4">
        <f>ACT_NEGBIN_CDF(A23, 5, 0.3)</f>
        <v/>
      </c>
      <c r="D23" s="4" t="inlineStr"/>
    </row>
    <row r="24">
      <c r="A24" s="4" t="n">
        <v>2</v>
      </c>
      <c r="B24" s="4">
        <f>ACT_NEGBIN_PDF(A24, 5, 0.3)</f>
        <v/>
      </c>
      <c r="C24" s="4">
        <f>ACT_NEGBIN_CDF(A24, 5, 0.3)</f>
        <v/>
      </c>
      <c r="D24" s="4" t="inlineStr"/>
    </row>
    <row r="25">
      <c r="A25" s="4" t="n">
        <v>3</v>
      </c>
      <c r="B25" s="4">
        <f>ACT_NEGBIN_PDF(A25, 5, 0.3)</f>
        <v/>
      </c>
      <c r="C25" s="4">
        <f>ACT_NEGBIN_CDF(A25, 5, 0.3)</f>
        <v/>
      </c>
      <c r="D25" s="4" t="inlineStr"/>
    </row>
    <row r="26">
      <c r="A26" s="4" t="n">
        <v>4</v>
      </c>
      <c r="B26" s="4">
        <f>ACT_NEGBIN_PDF(A26, 5, 0.3)</f>
        <v/>
      </c>
      <c r="C26" s="4">
        <f>ACT_NEGBIN_CDF(A26, 5, 0.3)</f>
        <v/>
      </c>
      <c r="D26" s="4" t="inlineStr"/>
    </row>
    <row r="27">
      <c r="A27" s="4" t="n">
        <v>5</v>
      </c>
      <c r="B27" s="4">
        <f>ACT_NEGBIN_PDF(A27, 5, 0.3)</f>
        <v/>
      </c>
      <c r="C27" s="4">
        <f>ACT_NEGBIN_CDF(A27, 5, 0.3)</f>
        <v/>
      </c>
      <c r="D27" s="4" t="inlineStr"/>
    </row>
    <row r="28">
      <c r="A28" s="4" t="n">
        <v>6</v>
      </c>
      <c r="B28" s="4">
        <f>ACT_NEGBIN_PDF(A28, 5, 0.3)</f>
        <v/>
      </c>
      <c r="C28" s="4">
        <f>ACT_NEGBIN_CDF(A28, 5, 0.3)</f>
        <v/>
      </c>
      <c r="D28" s="4" t="inlineStr"/>
    </row>
    <row r="29">
      <c r="A29" s="4" t="n">
        <v>7</v>
      </c>
      <c r="B29" s="4">
        <f>ACT_NEGBIN_PDF(A29, 5, 0.3)</f>
        <v/>
      </c>
      <c r="C29" s="4">
        <f>ACT_NEGBIN_CDF(A29, 5, 0.3)</f>
        <v/>
      </c>
      <c r="D29" s="4" t="inlineStr"/>
    </row>
    <row r="30">
      <c r="A30" s="4" t="n">
        <v>8</v>
      </c>
      <c r="B30" s="4">
        <f>ACT_NEGBIN_PDF(A30, 5, 0.3)</f>
        <v/>
      </c>
      <c r="C30" s="4">
        <f>ACT_NEGBIN_CDF(A30, 5, 0.3)</f>
        <v/>
      </c>
      <c r="D30" s="4" t="inlineStr"/>
    </row>
    <row r="31">
      <c r="A31" s="4" t="n">
        <v>9</v>
      </c>
      <c r="B31" s="4">
        <f>ACT_NEGBIN_PDF(A31, 5, 0.3)</f>
        <v/>
      </c>
      <c r="C31" s="4">
        <f>ACT_NEGBIN_CDF(A31, 5, 0.3)</f>
        <v/>
      </c>
      <c r="D31" s="4" t="inlineStr"/>
    </row>
    <row r="32">
      <c r="A32" s="4" t="n">
        <v>10</v>
      </c>
      <c r="B32" s="4">
        <f>ACT_NEGBIN_PDF(A32, 5, 0.3)</f>
        <v/>
      </c>
      <c r="C32" s="4">
        <f>ACT_NEGBIN_CDF(A32, 5, 0.3)</f>
        <v/>
      </c>
      <c r="D32" s="4" t="inlineStr"/>
    </row>
    <row r="34">
      <c r="A34" s="2" t="inlineStr">
        <is>
          <t>LOGNORMAL DISTRIBUTION (mu=0, sigma=1)</t>
        </is>
      </c>
    </row>
    <row r="35">
      <c r="A35" s="3" t="inlineStr">
        <is>
          <t>x</t>
        </is>
      </c>
      <c r="B35" s="3" t="inlineStr">
        <is>
          <t>PDF</t>
        </is>
      </c>
      <c r="C35" s="3" t="inlineStr">
        <is>
          <t>CDF</t>
        </is>
      </c>
      <c r="D35" s="3" t="inlineStr">
        <is>
          <t>Notes</t>
        </is>
      </c>
    </row>
    <row r="36">
      <c r="A36" s="4" t="n">
        <v>0</v>
      </c>
      <c r="B36" s="4">
        <f>ACT_LOGNORM_PDF(A36, 0, 1)</f>
        <v/>
      </c>
      <c r="C36" s="4">
        <f>ACT_LOGNORM_CDF(A36, 0, 1)</f>
        <v/>
      </c>
      <c r="D36" s="4" t="inlineStr"/>
    </row>
    <row r="37">
      <c r="A37" s="4" t="n">
        <v>0.5</v>
      </c>
      <c r="B37" s="4">
        <f>ACT_LOGNORM_PDF(A37, 0, 1)</f>
        <v/>
      </c>
      <c r="C37" s="4">
        <f>ACT_LOGNORM_CDF(A37, 0, 1)</f>
        <v/>
      </c>
      <c r="D37" s="4" t="inlineStr"/>
    </row>
    <row r="38">
      <c r="A38" s="4" t="n">
        <v>1</v>
      </c>
      <c r="B38" s="4">
        <f>ACT_LOGNORM_PDF(A38, 0, 1)</f>
        <v/>
      </c>
      <c r="C38" s="4">
        <f>ACT_LOGNORM_CDF(A38, 0, 1)</f>
        <v/>
      </c>
      <c r="D38" s="4" t="inlineStr">
        <is>
          <t>Median (exp(mu))</t>
        </is>
      </c>
    </row>
    <row r="39">
      <c r="A39" s="4" t="n">
        <v>1.5</v>
      </c>
      <c r="B39" s="4">
        <f>ACT_LOGNORM_PDF(A39, 0, 1)</f>
        <v/>
      </c>
      <c r="C39" s="4">
        <f>ACT_LOGNORM_CDF(A39, 0, 1)</f>
        <v/>
      </c>
      <c r="D39" s="4" t="inlineStr"/>
    </row>
    <row r="40">
      <c r="A40" s="4" t="n">
        <v>2</v>
      </c>
      <c r="B40" s="4">
        <f>ACT_LOGNORM_PDF(A40, 0, 1)</f>
        <v/>
      </c>
      <c r="C40" s="4">
        <f>ACT_LOGNORM_CDF(A40, 0, 1)</f>
        <v/>
      </c>
      <c r="D40" s="4" t="inlineStr"/>
    </row>
    <row r="41">
      <c r="A41" s="4" t="n">
        <v>3</v>
      </c>
      <c r="B41" s="4">
        <f>ACT_LOGNORM_PDF(A41, 0, 1)</f>
        <v/>
      </c>
      <c r="C41" s="4">
        <f>ACT_LOGNORM_CDF(A41, 0, 1)</f>
        <v/>
      </c>
      <c r="D41" s="4" t="inlineStr"/>
    </row>
    <row r="42">
      <c r="A42" s="4" t="n">
        <v>5</v>
      </c>
      <c r="B42" s="4">
        <f>ACT_LOGNORM_PDF(A42, 0, 1)</f>
        <v/>
      </c>
      <c r="C42" s="4">
        <f>ACT_LOGNORM_CDF(A42, 0, 1)</f>
        <v/>
      </c>
      <c r="D42" s="4" t="inlineStr"/>
    </row>
    <row r="44">
      <c r="A44" s="2" t="inlineStr">
        <is>
          <t>GAMMA DISTRIBUTION (alpha=2, beta=1)</t>
        </is>
      </c>
    </row>
    <row r="45">
      <c r="A45" s="3" t="inlineStr">
        <is>
          <t>x</t>
        </is>
      </c>
      <c r="B45" s="3" t="inlineStr">
        <is>
          <t>PDF</t>
        </is>
      </c>
      <c r="C45" s="3" t="inlineStr">
        <is>
          <t>CDF</t>
        </is>
      </c>
      <c r="D45" s="3" t="inlineStr">
        <is>
          <t>Notes</t>
        </is>
      </c>
    </row>
    <row r="46">
      <c r="A46" s="4" t="n">
        <v>0</v>
      </c>
      <c r="B46" s="4">
        <f>ACT_GAMMA_PDF(A46, 2, 1)</f>
        <v/>
      </c>
      <c r="C46" s="4">
        <f>ACT_GAMMA_CDF(A46, 2, 1)</f>
        <v/>
      </c>
      <c r="D46" s="4" t="inlineStr"/>
    </row>
    <row r="47">
      <c r="A47" s="4" t="n">
        <v>0.5</v>
      </c>
      <c r="B47" s="4">
        <f>ACT_GAMMA_PDF(A47, 2, 1)</f>
        <v/>
      </c>
      <c r="C47" s="4">
        <f>ACT_GAMMA_CDF(A47, 2, 1)</f>
        <v/>
      </c>
      <c r="D47" s="4" t="inlineStr"/>
    </row>
    <row r="48">
      <c r="A48" s="4" t="n">
        <v>1</v>
      </c>
      <c r="B48" s="4">
        <f>ACT_GAMMA_PDF(A48, 2, 1)</f>
        <v/>
      </c>
      <c r="C48" s="4">
        <f>ACT_GAMMA_CDF(A48, 2, 1)</f>
        <v/>
      </c>
      <c r="D48" s="4" t="inlineStr"/>
    </row>
    <row r="49">
      <c r="A49" s="4" t="n">
        <v>2</v>
      </c>
      <c r="B49" s="4">
        <f>ACT_GAMMA_PDF(A49, 2, 1)</f>
        <v/>
      </c>
      <c r="C49" s="4">
        <f>ACT_GAMMA_CDF(A49, 2, 1)</f>
        <v/>
      </c>
      <c r="D49" s="4" t="inlineStr">
        <is>
          <t>Mean (alpha/beta)</t>
        </is>
      </c>
    </row>
    <row r="50">
      <c r="A50" s="4" t="n">
        <v>3</v>
      </c>
      <c r="B50" s="4">
        <f>ACT_GAMMA_PDF(A50, 2, 1)</f>
        <v/>
      </c>
      <c r="C50" s="4">
        <f>ACT_GAMMA_CDF(A50, 2, 1)</f>
        <v/>
      </c>
      <c r="D50" s="4" t="inlineStr"/>
    </row>
    <row r="51">
      <c r="A51" s="4" t="n">
        <v>5</v>
      </c>
      <c r="B51" s="4">
        <f>ACT_GAMMA_PDF(A51, 2, 1)</f>
        <v/>
      </c>
      <c r="C51" s="4">
        <f>ACT_GAMMA_CDF(A51, 2, 1)</f>
        <v/>
      </c>
      <c r="D51" s="4" t="inlineStr"/>
    </row>
    <row r="53">
      <c r="A53" s="2" t="inlineStr">
        <is>
          <t>PARETO DISTRIBUTION (alpha=2, xm=1)</t>
        </is>
      </c>
    </row>
    <row r="54">
      <c r="A54" s="3" t="inlineStr">
        <is>
          <t>x</t>
        </is>
      </c>
      <c r="B54" s="3" t="inlineStr">
        <is>
          <t>PDF</t>
        </is>
      </c>
      <c r="C54" s="3" t="inlineStr">
        <is>
          <t>CDF</t>
        </is>
      </c>
      <c r="D54" s="3" t="inlineStr">
        <is>
          <t>Notes</t>
        </is>
      </c>
    </row>
    <row r="55">
      <c r="A55" s="4" t="n">
        <v>0</v>
      </c>
      <c r="B55" s="4">
        <f>ACT_PARETO_PDF(A55, 2, 1)</f>
        <v/>
      </c>
      <c r="C55" s="4">
        <f>ACT_PARETO_CDF(A55, 2, 1)</f>
        <v/>
      </c>
      <c r="D55" s="4" t="inlineStr"/>
    </row>
    <row r="56">
      <c r="A56" s="4" t="n">
        <v>1</v>
      </c>
      <c r="B56" s="4">
        <f>ACT_PARETO_PDF(A56, 2, 1)</f>
        <v/>
      </c>
      <c r="C56" s="4">
        <f>ACT_PARETO_CDF(A56, 2, 1)</f>
        <v/>
      </c>
      <c r="D56" s="4" t="inlineStr">
        <is>
          <t>Minimum value (xm)</t>
        </is>
      </c>
    </row>
    <row r="57">
      <c r="A57" s="4" t="n">
        <v>1.5</v>
      </c>
      <c r="B57" s="4">
        <f>ACT_PARETO_PDF(A57, 2, 1)</f>
        <v/>
      </c>
      <c r="C57" s="4">
        <f>ACT_PARETO_CDF(A57, 2, 1)</f>
        <v/>
      </c>
      <c r="D57" s="4" t="inlineStr"/>
    </row>
    <row r="58">
      <c r="A58" s="4" t="n">
        <v>2</v>
      </c>
      <c r="B58" s="4">
        <f>ACT_PARETO_PDF(A58, 2, 1)</f>
        <v/>
      </c>
      <c r="C58" s="4">
        <f>ACT_PARETO_CDF(A58, 2, 1)</f>
        <v/>
      </c>
      <c r="D58" s="4" t="inlineStr"/>
    </row>
    <row r="59">
      <c r="A59" s="4" t="n">
        <v>3</v>
      </c>
      <c r="B59" s="4">
        <f>ACT_PARETO_PDF(A59, 2, 1)</f>
        <v/>
      </c>
      <c r="C59" s="4">
        <f>ACT_PARETO_CDF(A59, 2, 1)</f>
        <v/>
      </c>
      <c r="D59" s="4" t="inlineStr"/>
    </row>
    <row r="60">
      <c r="A60" s="4" t="n">
        <v>5</v>
      </c>
      <c r="B60" s="4">
        <f>ACT_PARETO_PDF(A60, 2, 1)</f>
        <v/>
      </c>
      <c r="C60" s="4">
        <f>ACT_PARETO_CDF(A60, 2, 1)</f>
        <v/>
      </c>
      <c r="D60" s="4" t="inlineStr"/>
    </row>
    <row r="61">
      <c r="A61" s="4" t="n">
        <v>10</v>
      </c>
      <c r="B61" s="4">
        <f>ACT_PARETO_PDF(A61, 2, 1)</f>
        <v/>
      </c>
      <c r="C61" s="4">
        <f>ACT_PARETO_CDF(A61, 2, 1)</f>
        <v/>
      </c>
      <c r="D61" s="4" t="inlineStr"/>
    </row>
  </sheetData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F51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Exposure Curves</t>
        </is>
      </c>
    </row>
    <row r="3">
      <c r="A3" s="2" t="inlineStr">
        <is>
          <t>Exposure curves relate damage ratio (d) to expected loss ratio G(d)</t>
        </is>
      </c>
    </row>
    <row r="5">
      <c r="A5" s="2" t="inlineStr">
        <is>
          <t>MBBEFD CURVES (b=2, g=3) - Swiss Re parameterization</t>
        </is>
      </c>
    </row>
    <row r="6">
      <c r="A6" s="3" t="inlineStr">
        <is>
          <t>d</t>
        </is>
      </c>
      <c r="B6" s="3" t="inlineStr">
        <is>
          <t>G(d)</t>
        </is>
      </c>
      <c r="C6" s="3" t="inlineStr">
        <is>
          <t>Notes</t>
        </is>
      </c>
    </row>
    <row r="7">
      <c r="A7" s="4" t="n">
        <v>0</v>
      </c>
      <c r="B7" s="4">
        <f>ACT_MBBEFD(A7, 2, 3)</f>
        <v/>
      </c>
      <c r="C7" s="4" t="inlineStr"/>
    </row>
    <row r="8">
      <c r="A8" s="4" t="n">
        <v>0.1</v>
      </c>
      <c r="B8" s="4">
        <f>ACT_MBBEFD(A8, 2, 3)</f>
        <v/>
      </c>
      <c r="C8" s="4" t="inlineStr"/>
    </row>
    <row r="9">
      <c r="A9" s="4" t="n">
        <v>0.2</v>
      </c>
      <c r="B9" s="4">
        <f>ACT_MBBEFD(A9, 2, 3)</f>
        <v/>
      </c>
      <c r="C9" s="4" t="inlineStr"/>
    </row>
    <row r="10">
      <c r="A10" s="4" t="n">
        <v>0.3</v>
      </c>
      <c r="B10" s="4">
        <f>ACT_MBBEFD(A10, 2, 3)</f>
        <v/>
      </c>
      <c r="C10" s="4" t="inlineStr"/>
    </row>
    <row r="11">
      <c r="A11" s="4" t="n">
        <v>0.4</v>
      </c>
      <c r="B11" s="4">
        <f>ACT_MBBEFD(A11, 2, 3)</f>
        <v/>
      </c>
      <c r="C11" s="4" t="inlineStr"/>
    </row>
    <row r="12">
      <c r="A12" s="4" t="n">
        <v>0.5</v>
      </c>
      <c r="B12" s="4">
        <f>ACT_MBBEFD(A12, 2, 3)</f>
        <v/>
      </c>
      <c r="C12" s="4" t="inlineStr"/>
    </row>
    <row r="13">
      <c r="A13" s="4" t="n">
        <v>0.6</v>
      </c>
      <c r="B13" s="4">
        <f>ACT_MBBEFD(A13, 2, 3)</f>
        <v/>
      </c>
      <c r="C13" s="4" t="inlineStr"/>
    </row>
    <row r="14">
      <c r="A14" s="4" t="n">
        <v>0.7</v>
      </c>
      <c r="B14" s="4">
        <f>ACT_MBBEFD(A14, 2, 3)</f>
        <v/>
      </c>
      <c r="C14" s="4" t="inlineStr"/>
    </row>
    <row r="15">
      <c r="A15" s="4" t="n">
        <v>0.8</v>
      </c>
      <c r="B15" s="4">
        <f>ACT_MBBEFD(A15, 2, 3)</f>
        <v/>
      </c>
      <c r="C15" s="4" t="inlineStr"/>
    </row>
    <row r="16">
      <c r="A16" s="4" t="n">
        <v>0.9</v>
      </c>
      <c r="B16" s="4">
        <f>ACT_MBBEFD(A16, 2, 3)</f>
        <v/>
      </c>
      <c r="C16" s="4" t="inlineStr"/>
    </row>
    <row r="17">
      <c r="A17" s="4" t="n">
        <v>1</v>
      </c>
      <c r="B17" s="4">
        <f>ACT_MBBEFD(A17, 2, 3)</f>
        <v/>
      </c>
      <c r="C17" s="4" t="inlineStr"/>
    </row>
    <row r="19">
      <c r="A19" s="2" t="inlineStr">
        <is>
          <t>SWISS RE CURVES COMPARISON (all curves)</t>
        </is>
      </c>
    </row>
    <row r="20">
      <c r="A20" s="3" t="inlineStr">
        <is>
          <t>d</t>
        </is>
      </c>
      <c r="B20" s="3" t="inlineStr">
        <is>
          <t>Curve 1</t>
        </is>
      </c>
      <c r="C20" s="3" t="inlineStr">
        <is>
          <t>Curve 2</t>
        </is>
      </c>
      <c r="D20" s="3" t="inlineStr">
        <is>
          <t>Curve 3</t>
        </is>
      </c>
      <c r="E20" s="3" t="inlineStr">
        <is>
          <t>Curve 4</t>
        </is>
      </c>
      <c r="F20" s="3" t="inlineStr">
        <is>
          <t>Curve 5</t>
        </is>
      </c>
    </row>
    <row r="21">
      <c r="A21" s="5" t="n">
        <v>0</v>
      </c>
      <c r="B21" s="5">
        <f>ACT_SWISSRE_CURVE(A21, 1)</f>
        <v/>
      </c>
      <c r="C21" s="5">
        <f>ACT_SWISSRE_CURVE(A21, 2)</f>
        <v/>
      </c>
      <c r="D21" s="5">
        <f>ACT_SWISSRE_CURVE(A21, 3)</f>
        <v/>
      </c>
      <c r="E21" s="5">
        <f>ACT_SWISSRE_CURVE(A21, 4)</f>
        <v/>
      </c>
      <c r="F21" s="5">
        <f>ACT_SWISSRE_CURVE(A21, 5)</f>
        <v/>
      </c>
    </row>
    <row r="22">
      <c r="A22" s="5" t="n">
        <v>0.1</v>
      </c>
      <c r="B22" s="5">
        <f>ACT_SWISSRE_CURVE(A22, 1)</f>
        <v/>
      </c>
      <c r="C22" s="5">
        <f>ACT_SWISSRE_CURVE(A22, 2)</f>
        <v/>
      </c>
      <c r="D22" s="5">
        <f>ACT_SWISSRE_CURVE(A22, 3)</f>
        <v/>
      </c>
      <c r="E22" s="5">
        <f>ACT_SWISSRE_CURVE(A22, 4)</f>
        <v/>
      </c>
      <c r="F22" s="5">
        <f>ACT_SWISSRE_CURVE(A22, 5)</f>
        <v/>
      </c>
    </row>
    <row r="23">
      <c r="A23" s="5" t="n">
        <v>0.2</v>
      </c>
      <c r="B23" s="5">
        <f>ACT_SWISSRE_CURVE(A23, 1)</f>
        <v/>
      </c>
      <c r="C23" s="5">
        <f>ACT_SWISSRE_CURVE(A23, 2)</f>
        <v/>
      </c>
      <c r="D23" s="5">
        <f>ACT_SWISSRE_CURVE(A23, 3)</f>
        <v/>
      </c>
      <c r="E23" s="5">
        <f>ACT_SWISSRE_CURVE(A23, 4)</f>
        <v/>
      </c>
      <c r="F23" s="5">
        <f>ACT_SWISSRE_CURVE(A23, 5)</f>
        <v/>
      </c>
    </row>
    <row r="24">
      <c r="A24" s="5" t="n">
        <v>0.3</v>
      </c>
      <c r="B24" s="5">
        <f>ACT_SWISSRE_CURVE(A24, 1)</f>
        <v/>
      </c>
      <c r="C24" s="5">
        <f>ACT_SWISSRE_CURVE(A24, 2)</f>
        <v/>
      </c>
      <c r="D24" s="5">
        <f>ACT_SWISSRE_CURVE(A24, 3)</f>
        <v/>
      </c>
      <c r="E24" s="5">
        <f>ACT_SWISSRE_CURVE(A24, 4)</f>
        <v/>
      </c>
      <c r="F24" s="5">
        <f>ACT_SWISSRE_CURVE(A24, 5)</f>
        <v/>
      </c>
    </row>
    <row r="25">
      <c r="A25" s="5" t="n">
        <v>0.4</v>
      </c>
      <c r="B25" s="5">
        <f>ACT_SWISSRE_CURVE(A25, 1)</f>
        <v/>
      </c>
      <c r="C25" s="5">
        <f>ACT_SWISSRE_CURVE(A25, 2)</f>
        <v/>
      </c>
      <c r="D25" s="5">
        <f>ACT_SWISSRE_CURVE(A25, 3)</f>
        <v/>
      </c>
      <c r="E25" s="5">
        <f>ACT_SWISSRE_CURVE(A25, 4)</f>
        <v/>
      </c>
      <c r="F25" s="5">
        <f>ACT_SWISSRE_CURVE(A25, 5)</f>
        <v/>
      </c>
    </row>
    <row r="26">
      <c r="A26" s="5" t="n">
        <v>0.5</v>
      </c>
      <c r="B26" s="5">
        <f>ACT_SWISSRE_CURVE(A26, 1)</f>
        <v/>
      </c>
      <c r="C26" s="5">
        <f>ACT_SWISSRE_CURVE(A26, 2)</f>
        <v/>
      </c>
      <c r="D26" s="5">
        <f>ACT_SWISSRE_CURVE(A26, 3)</f>
        <v/>
      </c>
      <c r="E26" s="5">
        <f>ACT_SWISSRE_CURVE(A26, 4)</f>
        <v/>
      </c>
      <c r="F26" s="5">
        <f>ACT_SWISSRE_CURVE(A26, 5)</f>
        <v/>
      </c>
    </row>
    <row r="27">
      <c r="A27" s="5" t="n">
        <v>0.6</v>
      </c>
      <c r="B27" s="5">
        <f>ACT_SWISSRE_CURVE(A27, 1)</f>
        <v/>
      </c>
      <c r="C27" s="5">
        <f>ACT_SWISSRE_CURVE(A27, 2)</f>
        <v/>
      </c>
      <c r="D27" s="5">
        <f>ACT_SWISSRE_CURVE(A27, 3)</f>
        <v/>
      </c>
      <c r="E27" s="5">
        <f>ACT_SWISSRE_CURVE(A27, 4)</f>
        <v/>
      </c>
      <c r="F27" s="5">
        <f>ACT_SWISSRE_CURVE(A27, 5)</f>
        <v/>
      </c>
    </row>
    <row r="28">
      <c r="A28" s="5" t="n">
        <v>0.7</v>
      </c>
      <c r="B28" s="5">
        <f>ACT_SWISSRE_CURVE(A28, 1)</f>
        <v/>
      </c>
      <c r="C28" s="5">
        <f>ACT_SWISSRE_CURVE(A28, 2)</f>
        <v/>
      </c>
      <c r="D28" s="5">
        <f>ACT_SWISSRE_CURVE(A28, 3)</f>
        <v/>
      </c>
      <c r="E28" s="5">
        <f>ACT_SWISSRE_CURVE(A28, 4)</f>
        <v/>
      </c>
      <c r="F28" s="5">
        <f>ACT_SWISSRE_CURVE(A28, 5)</f>
        <v/>
      </c>
    </row>
    <row r="29">
      <c r="A29" s="5" t="n">
        <v>0.8</v>
      </c>
      <c r="B29" s="5">
        <f>ACT_SWISSRE_CURVE(A29, 1)</f>
        <v/>
      </c>
      <c r="C29" s="5">
        <f>ACT_SWISSRE_CURVE(A29, 2)</f>
        <v/>
      </c>
      <c r="D29" s="5">
        <f>ACT_SWISSRE_CURVE(A29, 3)</f>
        <v/>
      </c>
      <c r="E29" s="5">
        <f>ACT_SWISSRE_CURVE(A29, 4)</f>
        <v/>
      </c>
      <c r="F29" s="5">
        <f>ACT_SWISSRE_CURVE(A29, 5)</f>
        <v/>
      </c>
    </row>
    <row r="30">
      <c r="A30" s="5" t="n">
        <v>0.9</v>
      </c>
      <c r="B30" s="5">
        <f>ACT_SWISSRE_CURVE(A30, 1)</f>
        <v/>
      </c>
      <c r="C30" s="5">
        <f>ACT_SWISSRE_CURVE(A30, 2)</f>
        <v/>
      </c>
      <c r="D30" s="5">
        <f>ACT_SWISSRE_CURVE(A30, 3)</f>
        <v/>
      </c>
      <c r="E30" s="5">
        <f>ACT_SWISSRE_CURVE(A30, 4)</f>
        <v/>
      </c>
      <c r="F30" s="5">
        <f>ACT_SWISSRE_CURVE(A30, 5)</f>
        <v/>
      </c>
    </row>
    <row r="31">
      <c r="A31" s="5" t="n">
        <v>1</v>
      </c>
      <c r="B31" s="5">
        <f>ACT_SWISSRE_CURVE(A31, 1)</f>
        <v/>
      </c>
      <c r="C31" s="5">
        <f>ACT_SWISSRE_CURVE(A31, 2)</f>
        <v/>
      </c>
      <c r="D31" s="5">
        <f>ACT_SWISSRE_CURVE(A31, 3)</f>
        <v/>
      </c>
      <c r="E31" s="5">
        <f>ACT_SWISSRE_CURVE(A31, 4)</f>
        <v/>
      </c>
      <c r="F31" s="5">
        <f>ACT_SWISSRE_CURVE(A31, 5)</f>
        <v/>
      </c>
    </row>
    <row r="33">
      <c r="A33" s="2" t="inlineStr">
        <is>
          <t>LLOYD'S CURVES COMPARISON</t>
        </is>
      </c>
    </row>
    <row r="34">
      <c r="A34" s="3" t="inlineStr">
        <is>
          <t>d</t>
        </is>
      </c>
      <c r="B34" s="3" t="inlineStr">
        <is>
          <t>Y1</t>
        </is>
      </c>
      <c r="C34" s="3" t="inlineStr">
        <is>
          <t>Y2</t>
        </is>
      </c>
      <c r="D34" s="3" t="inlineStr">
        <is>
          <t>Y3</t>
        </is>
      </c>
      <c r="E34" s="3" t="inlineStr">
        <is>
          <t>Y4</t>
        </is>
      </c>
    </row>
    <row r="35">
      <c r="A35" s="5" t="n">
        <v>0</v>
      </c>
      <c r="B35" s="5">
        <f>ACT_LLOYDS_CURVE(A35, "Y1")</f>
        <v/>
      </c>
      <c r="C35" s="5">
        <f>ACT_LLOYDS_CURVE(A35, "Y2")</f>
        <v/>
      </c>
      <c r="D35" s="5">
        <f>ACT_LLOYDS_CURVE(A35, "Y3")</f>
        <v/>
      </c>
      <c r="E35" s="5">
        <f>ACT_LLOYDS_CURVE(A35, "Y4")</f>
        <v/>
      </c>
    </row>
    <row r="36">
      <c r="A36" s="5" t="n">
        <v>0.1</v>
      </c>
      <c r="B36" s="5">
        <f>ACT_LLOYDS_CURVE(A36, "Y1")</f>
        <v/>
      </c>
      <c r="C36" s="5">
        <f>ACT_LLOYDS_CURVE(A36, "Y2")</f>
        <v/>
      </c>
      <c r="D36" s="5">
        <f>ACT_LLOYDS_CURVE(A36, "Y3")</f>
        <v/>
      </c>
      <c r="E36" s="5">
        <f>ACT_LLOYDS_CURVE(A36, "Y4")</f>
        <v/>
      </c>
    </row>
    <row r="37">
      <c r="A37" s="5" t="n">
        <v>0.2</v>
      </c>
      <c r="B37" s="5">
        <f>ACT_LLOYDS_CURVE(A37, "Y1")</f>
        <v/>
      </c>
      <c r="C37" s="5">
        <f>ACT_LLOYDS_CURVE(A37, "Y2")</f>
        <v/>
      </c>
      <c r="D37" s="5">
        <f>ACT_LLOYDS_CURVE(A37, "Y3")</f>
        <v/>
      </c>
      <c r="E37" s="5">
        <f>ACT_LLOYDS_CURVE(A37, "Y4")</f>
        <v/>
      </c>
    </row>
    <row r="38">
      <c r="A38" s="5" t="n">
        <v>0.3</v>
      </c>
      <c r="B38" s="5">
        <f>ACT_LLOYDS_CURVE(A38, "Y1")</f>
        <v/>
      </c>
      <c r="C38" s="5">
        <f>ACT_LLOYDS_CURVE(A38, "Y2")</f>
        <v/>
      </c>
      <c r="D38" s="5">
        <f>ACT_LLOYDS_CURVE(A38, "Y3")</f>
        <v/>
      </c>
      <c r="E38" s="5">
        <f>ACT_LLOYDS_CURVE(A38, "Y4")</f>
        <v/>
      </c>
    </row>
    <row r="39">
      <c r="A39" s="5" t="n">
        <v>0.4</v>
      </c>
      <c r="B39" s="5">
        <f>ACT_LLOYDS_CURVE(A39, "Y1")</f>
        <v/>
      </c>
      <c r="C39" s="5">
        <f>ACT_LLOYDS_CURVE(A39, "Y2")</f>
        <v/>
      </c>
      <c r="D39" s="5">
        <f>ACT_LLOYDS_CURVE(A39, "Y3")</f>
        <v/>
      </c>
      <c r="E39" s="5">
        <f>ACT_LLOYDS_CURVE(A39, "Y4")</f>
        <v/>
      </c>
    </row>
    <row r="40">
      <c r="A40" s="5" t="n">
        <v>0.5</v>
      </c>
      <c r="B40" s="5">
        <f>ACT_LLOYDS_CURVE(A40, "Y1")</f>
        <v/>
      </c>
      <c r="C40" s="5">
        <f>ACT_LLOYDS_CURVE(A40, "Y2")</f>
        <v/>
      </c>
      <c r="D40" s="5">
        <f>ACT_LLOYDS_CURVE(A40, "Y3")</f>
        <v/>
      </c>
      <c r="E40" s="5">
        <f>ACT_LLOYDS_CURVE(A40, "Y4")</f>
        <v/>
      </c>
    </row>
    <row r="41">
      <c r="A41" s="5" t="n">
        <v>0.6</v>
      </c>
      <c r="B41" s="5">
        <f>ACT_LLOYDS_CURVE(A41, "Y1")</f>
        <v/>
      </c>
      <c r="C41" s="5">
        <f>ACT_LLOYDS_CURVE(A41, "Y2")</f>
        <v/>
      </c>
      <c r="D41" s="5">
        <f>ACT_LLOYDS_CURVE(A41, "Y3")</f>
        <v/>
      </c>
      <c r="E41" s="5">
        <f>ACT_LLOYDS_CURVE(A41, "Y4")</f>
        <v/>
      </c>
    </row>
    <row r="42">
      <c r="A42" s="5" t="n">
        <v>0.7</v>
      </c>
      <c r="B42" s="5">
        <f>ACT_LLOYDS_CURVE(A42, "Y1")</f>
        <v/>
      </c>
      <c r="C42" s="5">
        <f>ACT_LLOYDS_CURVE(A42, "Y2")</f>
        <v/>
      </c>
      <c r="D42" s="5">
        <f>ACT_LLOYDS_CURVE(A42, "Y3")</f>
        <v/>
      </c>
      <c r="E42" s="5">
        <f>ACT_LLOYDS_CURVE(A42, "Y4")</f>
        <v/>
      </c>
    </row>
    <row r="43">
      <c r="A43" s="5" t="n">
        <v>0.8</v>
      </c>
      <c r="B43" s="5">
        <f>ACT_LLOYDS_CURVE(A43, "Y1")</f>
        <v/>
      </c>
      <c r="C43" s="5">
        <f>ACT_LLOYDS_CURVE(A43, "Y2")</f>
        <v/>
      </c>
      <c r="D43" s="5">
        <f>ACT_LLOYDS_CURVE(A43, "Y3")</f>
        <v/>
      </c>
      <c r="E43" s="5">
        <f>ACT_LLOYDS_CURVE(A43, "Y4")</f>
        <v/>
      </c>
    </row>
    <row r="44">
      <c r="A44" s="5" t="n">
        <v>0.9</v>
      </c>
      <c r="B44" s="5">
        <f>ACT_LLOYDS_CURVE(A44, "Y1")</f>
        <v/>
      </c>
      <c r="C44" s="5">
        <f>ACT_LLOYDS_CURVE(A44, "Y2")</f>
        <v/>
      </c>
      <c r="D44" s="5">
        <f>ACT_LLOYDS_CURVE(A44, "Y3")</f>
        <v/>
      </c>
      <c r="E44" s="5">
        <f>ACT_LLOYDS_CURVE(A44, "Y4")</f>
        <v/>
      </c>
    </row>
    <row r="45">
      <c r="A45" s="5" t="n">
        <v>1</v>
      </c>
      <c r="B45" s="5">
        <f>ACT_LLOYDS_CURVE(A45, "Y1")</f>
        <v/>
      </c>
      <c r="C45" s="5">
        <f>ACT_LLOYDS_CURVE(A45, "Y2")</f>
        <v/>
      </c>
      <c r="D45" s="5">
        <f>ACT_LLOYDS_CURVE(A45, "Y3")</f>
        <v/>
      </c>
      <c r="E45" s="5">
        <f>ACT_LLOYDS_CURVE(A45, "Y4")</f>
        <v/>
      </c>
    </row>
    <row r="47">
      <c r="A47" s="2" t="inlineStr">
        <is>
          <t>OTHER EXPOSURE CURVES at d=0.5</t>
        </is>
      </c>
    </row>
    <row r="48">
      <c r="A48" s="3" t="inlineStr">
        <is>
          <t>Function</t>
        </is>
      </c>
      <c r="B48" s="3" t="inlineStr">
        <is>
          <t>Formula</t>
        </is>
      </c>
      <c r="C48" s="3" t="inlineStr">
        <is>
          <t>Result</t>
        </is>
      </c>
      <c r="D48" s="3" t="inlineStr">
        <is>
          <t>Notes</t>
        </is>
      </c>
    </row>
    <row r="49">
      <c r="A49" s="5" t="inlineStr">
        <is>
          <t>Power (n=2)</t>
        </is>
      </c>
      <c r="B49" s="5" t="inlineStr">
        <is>
          <t>ACT_POWER_CURVE(0.5, 2)</t>
        </is>
      </c>
      <c r="C49" s="5">
        <f>ACT_POWER_CURVE(0.5, 2)</f>
        <v/>
      </c>
      <c r="D49" s="5" t="inlineStr">
        <is>
          <t>G(d) = d^n</t>
        </is>
      </c>
    </row>
    <row r="50">
      <c r="A50" s="5" t="inlineStr">
        <is>
          <t>Inverse Power (n=2)</t>
        </is>
      </c>
      <c r="B50" s="5" t="inlineStr">
        <is>
          <t>ACT_INVERSE_POWER_CURVE(0.5, 2)</t>
        </is>
      </c>
      <c r="C50" s="5">
        <f>ACT_INVERSE_POWER_CURVE(0.5, 2)</f>
        <v/>
      </c>
      <c r="D50" s="5" t="inlineStr">
        <is>
          <t>G(d) = 1 - (1-d)^n</t>
        </is>
      </c>
    </row>
    <row r="51">
      <c r="A51" s="5" t="inlineStr">
        <is>
          <t>Pareto (alpha=2)</t>
        </is>
      </c>
      <c r="B51" s="5" t="inlineStr">
        <is>
          <t>ACT_PARETO_EXPOSURE(0.5, 2)</t>
        </is>
      </c>
      <c r="C51" s="5">
        <f>ACT_PARETO_EXPOSURE(0.5, 2)</f>
        <v/>
      </c>
      <c r="D51" s="5" t="inlineStr">
        <is>
          <t>Based on Pareto severity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24"/>
  <sheetViews>
    <sheetView workbookViewId="0">
      <selection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30" customWidth="1" min="4" max="4"/>
  </cols>
  <sheetData>
    <row r="1">
      <c r="A1" s="1" t="inlineStr">
        <is>
          <t>Reinsurance Functions</t>
        </is>
      </c>
    </row>
    <row r="3">
      <c r="A3" s="2" t="inlineStr">
        <is>
          <t>Excess of loss, quota share, and aggregate layer calculations</t>
        </is>
      </c>
    </row>
    <row r="5">
      <c r="A5" s="2" t="inlineStr">
        <is>
          <t>XOL LAYER LOSS (Attachment=1,000,000, Limit=5,000,000)</t>
        </is>
      </c>
    </row>
    <row r="6">
      <c r="A6" s="3" t="inlineStr">
        <is>
          <t>Ground-Up Loss</t>
        </is>
      </c>
      <c r="B6" s="3" t="inlineStr">
        <is>
          <t>Layer Loss</t>
        </is>
      </c>
      <c r="C6" s="3" t="inlineStr">
        <is>
          <t>Notes</t>
        </is>
      </c>
    </row>
    <row r="7">
      <c r="A7" s="8" t="n">
        <v>500000</v>
      </c>
      <c r="B7" s="8">
        <f>ACT_XOL_LAYER_LOSS(A7, 1000000, 5000000)</f>
        <v/>
      </c>
      <c r="C7" s="5" t="inlineStr">
        <is>
          <t>Below attachment</t>
        </is>
      </c>
    </row>
    <row r="8">
      <c r="A8" s="8" t="n">
        <v>1000000</v>
      </c>
      <c r="B8" s="8">
        <f>ACT_XOL_LAYER_LOSS(A8, 1000000, 5000000)</f>
        <v/>
      </c>
      <c r="C8" s="5" t="inlineStr">
        <is>
          <t>At attachment</t>
        </is>
      </c>
    </row>
    <row r="9">
      <c r="A9" s="8" t="n">
        <v>2000000</v>
      </c>
      <c r="B9" s="8">
        <f>ACT_XOL_LAYER_LOSS(A9, 1000000, 5000000)</f>
        <v/>
      </c>
      <c r="C9" s="5" t="inlineStr">
        <is>
          <t>Partial layer</t>
        </is>
      </c>
    </row>
    <row r="10">
      <c r="A10" s="8" t="n">
        <v>4000000</v>
      </c>
      <c r="B10" s="8">
        <f>ACT_XOL_LAYER_LOSS(A10, 1000000, 5000000)</f>
        <v/>
      </c>
      <c r="C10" s="5" t="inlineStr">
        <is>
          <t>Partial layer</t>
        </is>
      </c>
    </row>
    <row r="11">
      <c r="A11" s="8" t="n">
        <v>6000000</v>
      </c>
      <c r="B11" s="8">
        <f>ACT_XOL_LAYER_LOSS(A11, 1000000, 5000000)</f>
        <v/>
      </c>
      <c r="C11" s="5" t="inlineStr">
        <is>
          <t>Full limit</t>
        </is>
      </c>
    </row>
    <row r="12">
      <c r="A12" s="8" t="n">
        <v>10000000</v>
      </c>
      <c r="B12" s="8">
        <f>ACT_XOL_LAYER_LOSS(A12, 1000000, 5000000)</f>
        <v/>
      </c>
      <c r="C12" s="5" t="inlineStr">
        <is>
          <t>Capped at limit</t>
        </is>
      </c>
    </row>
    <row r="14">
      <c r="A14" s="2" t="inlineStr">
        <is>
          <t>QUOTA SHARE (50% cession)</t>
        </is>
      </c>
    </row>
    <row r="15">
      <c r="A15" s="3" t="inlineStr">
        <is>
          <t>Ground-Up Loss</t>
        </is>
      </c>
      <c r="B15" s="3" t="inlineStr">
        <is>
          <t>Ceded Loss</t>
        </is>
      </c>
      <c r="C15" s="3" t="inlineStr">
        <is>
          <t>Retained</t>
        </is>
      </c>
    </row>
    <row r="16">
      <c r="A16" s="8" t="n">
        <v>1000000</v>
      </c>
      <c r="B16" s="8">
        <f>ACT_QS_CEDED(A16, 0.5)</f>
        <v/>
      </c>
      <c r="C16" s="8">
        <f>A16-B16</f>
        <v/>
      </c>
    </row>
    <row r="18">
      <c r="A18" s="2" t="inlineStr">
        <is>
          <t>AGGREGATE LAYER (Deductible=2,000,000, Limit=10,000,000)</t>
        </is>
      </c>
    </row>
    <row r="19">
      <c r="A19" s="3" t="inlineStr">
        <is>
          <t>Aggregate Loss</t>
        </is>
      </c>
      <c r="B19" s="3" t="inlineStr">
        <is>
          <t>Layer Recovery</t>
        </is>
      </c>
      <c r="C19" s="3" t="inlineStr">
        <is>
          <t>Notes</t>
        </is>
      </c>
    </row>
    <row r="20">
      <c r="A20" s="8" t="n">
        <v>1000000</v>
      </c>
      <c r="B20" s="8">
        <f>ACT_AGGREGATE_LAYER(A20, 2000000, 10000000)</f>
        <v/>
      </c>
      <c r="C20" s="5" t="inlineStr">
        <is>
          <t>Below deductible</t>
        </is>
      </c>
    </row>
    <row r="21">
      <c r="A21" s="8" t="n">
        <v>2000000</v>
      </c>
      <c r="B21" s="8">
        <f>ACT_AGGREGATE_LAYER(A21, 2000000, 10000000)</f>
        <v/>
      </c>
      <c r="C21" s="5" t="inlineStr">
        <is>
          <t>At deductible</t>
        </is>
      </c>
    </row>
    <row r="22">
      <c r="A22" s="8" t="n">
        <v>5000000</v>
      </c>
      <c r="B22" s="8">
        <f>ACT_AGGREGATE_LAYER(A22, 2000000, 10000000)</f>
        <v/>
      </c>
      <c r="C22" s="5" t="inlineStr">
        <is>
          <t>Partial recovery</t>
        </is>
      </c>
    </row>
    <row r="23">
      <c r="A23" s="8" t="n">
        <v>12000000</v>
      </c>
      <c r="B23" s="8">
        <f>ACT_AGGREGATE_LAYER(A23, 2000000, 10000000)</f>
        <v/>
      </c>
      <c r="C23" s="5" t="inlineStr">
        <is>
          <t>Full limit</t>
        </is>
      </c>
    </row>
    <row r="24">
      <c r="A24" s="8" t="n">
        <v>15000000</v>
      </c>
      <c r="B24" s="8">
        <f>ACT_AGGREGATE_LAYER(A24, 2000000, 10000000)</f>
        <v/>
      </c>
      <c r="C24" s="5" t="inlineStr">
        <is>
          <t>Capped at limit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23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Linear Interpolation</t>
        </is>
      </c>
    </row>
    <row r="3">
      <c r="A3" s="2" t="inlineStr">
        <is>
          <t>Interpolate between known points with optional extrapolation</t>
        </is>
      </c>
    </row>
    <row r="5">
      <c r="A5" s="2" t="inlineStr">
        <is>
          <t>KNOWN DATA POINTS</t>
        </is>
      </c>
    </row>
    <row r="6">
      <c r="A6" s="3" t="inlineStr">
        <is>
          <t>X</t>
        </is>
      </c>
      <c r="B6" s="3" t="inlineStr">
        <is>
          <t>Y</t>
        </is>
      </c>
    </row>
    <row r="7">
      <c r="A7" s="4" t="n">
        <v>1</v>
      </c>
      <c r="B7" s="4" t="n">
        <v>10</v>
      </c>
    </row>
    <row r="8">
      <c r="A8" s="4" t="n">
        <v>2</v>
      </c>
      <c r="B8" s="4" t="n">
        <v>20</v>
      </c>
    </row>
    <row r="9">
      <c r="A9" s="4" t="n">
        <v>3</v>
      </c>
      <c r="B9" s="4" t="n">
        <v>35</v>
      </c>
    </row>
    <row r="10">
      <c r="A10" s="4" t="n">
        <v>4</v>
      </c>
      <c r="B10" s="4" t="n">
        <v>55</v>
      </c>
    </row>
    <row r="11">
      <c r="A11" s="4" t="n">
        <v>5</v>
      </c>
      <c r="B11" s="4" t="n">
        <v>80</v>
      </c>
    </row>
    <row r="13">
      <c r="A13" s="2" t="inlineStr">
        <is>
          <t>INTERPOLATION EXAMPLES</t>
        </is>
      </c>
    </row>
    <row r="14">
      <c r="A14" s="3" t="inlineStr">
        <is>
          <t>X</t>
        </is>
      </c>
      <c r="B14" s="3" t="inlineStr">
        <is>
          <t>Y (FLAT extrap)</t>
        </is>
      </c>
      <c r="C14" s="3" t="inlineStr">
        <is>
          <t>Y (GRADIENT extrap)</t>
        </is>
      </c>
      <c r="D14" s="3" t="inlineStr">
        <is>
          <t>Notes</t>
        </is>
      </c>
    </row>
    <row r="15">
      <c r="A15" s="5" t="n">
        <v>0.5</v>
      </c>
      <c r="B15" s="5">
        <f>ACT_INTERP($A$7:$A$11, $B$7:$B$11, A15, "FLAT")</f>
        <v/>
      </c>
      <c r="C15" s="5">
        <f>ACT_INTERP($A$7:$A$11, $B$7:$B$11, A15, "GRADIENT")</f>
        <v/>
      </c>
      <c r="D15" s="5" t="inlineStr">
        <is>
          <t>Below range</t>
        </is>
      </c>
    </row>
    <row r="16">
      <c r="A16" s="5" t="n">
        <v>1.5</v>
      </c>
      <c r="B16" s="5">
        <f>ACT_INTERP($A$7:$A$11, $B$7:$B$11, A16, "FLAT")</f>
        <v/>
      </c>
      <c r="C16" s="5">
        <f>ACT_INTERP($A$7:$A$11, $B$7:$B$11, A16, "GRADIENT")</f>
        <v/>
      </c>
      <c r="D16" s="5" t="inlineStr">
        <is>
          <t>Interpolated</t>
        </is>
      </c>
    </row>
    <row r="17">
      <c r="A17" s="5" t="n">
        <v>2.5</v>
      </c>
      <c r="B17" s="5">
        <f>ACT_INTERP($A$7:$A$11, $B$7:$B$11, A17, "FLAT")</f>
        <v/>
      </c>
      <c r="C17" s="5">
        <f>ACT_INTERP($A$7:$A$11, $B$7:$B$11, A17, "GRADIENT")</f>
        <v/>
      </c>
      <c r="D17" s="5" t="inlineStr">
        <is>
          <t>Interpolated</t>
        </is>
      </c>
    </row>
    <row r="18">
      <c r="A18" s="5" t="n">
        <v>3.5</v>
      </c>
      <c r="B18" s="5">
        <f>ACT_INTERP($A$7:$A$11, $B$7:$B$11, A18, "FLAT")</f>
        <v/>
      </c>
      <c r="C18" s="5">
        <f>ACT_INTERP($A$7:$A$11, $B$7:$B$11, A18, "GRADIENT")</f>
        <v/>
      </c>
      <c r="D18" s="5" t="inlineStr">
        <is>
          <t>Interpolated</t>
        </is>
      </c>
    </row>
    <row r="19">
      <c r="A19" s="5" t="n">
        <v>4.5</v>
      </c>
      <c r="B19" s="5">
        <f>ACT_INTERP($A$7:$A$11, $B$7:$B$11, A19, "FLAT")</f>
        <v/>
      </c>
      <c r="C19" s="5">
        <f>ACT_INTERP($A$7:$A$11, $B$7:$B$11, A19, "GRADIENT")</f>
        <v/>
      </c>
      <c r="D19" s="5" t="inlineStr">
        <is>
          <t>Interpolated</t>
        </is>
      </c>
    </row>
    <row r="20">
      <c r="A20" s="5" t="n">
        <v>5.5</v>
      </c>
      <c r="B20" s="5">
        <f>ACT_INTERP($A$7:$A$11, $B$7:$B$11, A20, "FLAT")</f>
        <v/>
      </c>
      <c r="C20" s="5">
        <f>ACT_INTERP($A$7:$A$11, $B$7:$B$11, A20, "GRADIENT")</f>
        <v/>
      </c>
      <c r="D20" s="5" t="inlineStr">
        <is>
          <t>Above range</t>
        </is>
      </c>
    </row>
    <row r="21">
      <c r="A21" s="5" t="n">
        <v>6</v>
      </c>
      <c r="B21" s="5">
        <f>ACT_INTERP($A$7:$A$11, $B$7:$B$11, A21, "FLAT")</f>
        <v/>
      </c>
      <c r="C21" s="5">
        <f>ACT_INTERP($A$7:$A$11, $B$7:$B$11, A21, "GRADIENT")</f>
        <v/>
      </c>
      <c r="D21" s="5" t="inlineStr">
        <is>
          <t>Above range</t>
        </is>
      </c>
    </row>
    <row r="23">
      <c r="A23" s="2" t="inlineStr">
        <is>
          <t>FLAT = extrapolate using last known value; GRADIENT = extrapolate using slope from last two points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K104"/>
  <sheetViews>
    <sheetView workbookViewId="0">
      <selection activeCell="A1" sqref="A1"/>
    </sheetView>
  </sheetViews>
  <sheetFormatPr baseColWidth="8" defaultRowHeight="15"/>
  <cols>
    <col width="10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5" customWidth="1" min="12" max="12"/>
    <col width="15" customWidth="1" min="13" max="13"/>
  </cols>
  <sheetData>
    <row r="1">
      <c r="A1" s="1" t="inlineStr">
        <is>
          <t>Chain Ladder Reserving - Taylor-Ashe Dataset</t>
        </is>
      </c>
    </row>
    <row r="3">
      <c r="A3" s="2" t="inlineStr">
        <is>
          <t>Using the Taylor-Ashe triangle from Peter England's bootstrapping presentation (England &amp; Verrall, 1999)</t>
        </is>
      </c>
    </row>
    <row r="5">
      <c r="A5" s="2" t="inlineStr">
        <is>
          <t>INPUT TRIANGLE (Cumulative Paid Losses - Taylor-Ashe)</t>
        </is>
      </c>
    </row>
    <row r="6">
      <c r="A6" s="3" t="inlineStr">
        <is>
          <t>AY</t>
        </is>
      </c>
      <c r="B6" s="3" t="inlineStr">
        <is>
          <t>1</t>
        </is>
      </c>
      <c r="C6" s="3" t="inlineStr">
        <is>
          <t>2</t>
        </is>
      </c>
      <c r="D6" s="3" t="inlineStr">
        <is>
          <t>3</t>
        </is>
      </c>
      <c r="E6" s="3" t="inlineStr">
        <is>
          <t>4</t>
        </is>
      </c>
      <c r="F6" s="3" t="inlineStr">
        <is>
          <t>5</t>
        </is>
      </c>
      <c r="G6" s="3" t="inlineStr">
        <is>
          <t>6</t>
        </is>
      </c>
      <c r="H6" s="3" t="inlineStr">
        <is>
          <t>7</t>
        </is>
      </c>
      <c r="I6" s="3" t="inlineStr">
        <is>
          <t>8</t>
        </is>
      </c>
      <c r="J6" s="3" t="inlineStr">
        <is>
          <t>9</t>
        </is>
      </c>
      <c r="K6" s="3" t="inlineStr">
        <is>
          <t>10</t>
        </is>
      </c>
    </row>
    <row r="7">
      <c r="A7" s="5" t="n">
        <v>1</v>
      </c>
      <c r="B7" s="8" t="n">
        <v>357848</v>
      </c>
      <c r="C7" s="8" t="n">
        <v>1124788</v>
      </c>
      <c r="D7" s="8" t="n">
        <v>1735330</v>
      </c>
      <c r="E7" s="8" t="n">
        <v>2218270</v>
      </c>
      <c r="F7" s="8" t="n">
        <v>2745596</v>
      </c>
      <c r="G7" s="8" t="n">
        <v>3319994</v>
      </c>
      <c r="H7" s="8" t="n">
        <v>3466336</v>
      </c>
      <c r="I7" s="8" t="n">
        <v>3606286</v>
      </c>
      <c r="J7" s="8" t="n">
        <v>3833515</v>
      </c>
      <c r="K7" s="8" t="n">
        <v>3901463</v>
      </c>
    </row>
    <row r="8">
      <c r="A8" s="5" t="n">
        <v>2</v>
      </c>
      <c r="B8" s="8" t="n">
        <v>352118</v>
      </c>
      <c r="C8" s="8" t="n">
        <v>1236139</v>
      </c>
      <c r="D8" s="8" t="n">
        <v>2170033</v>
      </c>
      <c r="E8" s="8" t="n">
        <v>3353322</v>
      </c>
      <c r="F8" s="8" t="n">
        <v>3799067</v>
      </c>
      <c r="G8" s="8" t="n">
        <v>4120063</v>
      </c>
      <c r="H8" s="8" t="n">
        <v>4647867</v>
      </c>
      <c r="I8" s="8" t="n">
        <v>4914039</v>
      </c>
      <c r="J8" s="8" t="n">
        <v>5339085</v>
      </c>
      <c r="K8" s="5" t="n"/>
    </row>
    <row r="9">
      <c r="A9" s="5" t="n">
        <v>3</v>
      </c>
      <c r="B9" s="8" t="n">
        <v>290507</v>
      </c>
      <c r="C9" s="8" t="n">
        <v>1292306</v>
      </c>
      <c r="D9" s="8" t="n">
        <v>2218525</v>
      </c>
      <c r="E9" s="8" t="n">
        <v>3235179</v>
      </c>
      <c r="F9" s="8" t="n">
        <v>3985995</v>
      </c>
      <c r="G9" s="8" t="n">
        <v>4132918</v>
      </c>
      <c r="H9" s="8" t="n">
        <v>4628910</v>
      </c>
      <c r="I9" s="8" t="n">
        <v>4909315</v>
      </c>
      <c r="J9" s="5" t="n"/>
      <c r="K9" s="5" t="n"/>
    </row>
    <row r="10">
      <c r="A10" s="5" t="n">
        <v>4</v>
      </c>
      <c r="B10" s="8" t="n">
        <v>310608</v>
      </c>
      <c r="C10" s="8" t="n">
        <v>1418858</v>
      </c>
      <c r="D10" s="8" t="n">
        <v>2195047</v>
      </c>
      <c r="E10" s="8" t="n">
        <v>3757447</v>
      </c>
      <c r="F10" s="8" t="n">
        <v>4029929</v>
      </c>
      <c r="G10" s="8" t="n">
        <v>4381982</v>
      </c>
      <c r="H10" s="8" t="n">
        <v>4588268</v>
      </c>
      <c r="I10" s="5" t="n"/>
      <c r="J10" s="5" t="n"/>
      <c r="K10" s="5" t="n"/>
    </row>
    <row r="11">
      <c r="A11" s="5" t="n">
        <v>5</v>
      </c>
      <c r="B11" s="8" t="n">
        <v>443160</v>
      </c>
      <c r="C11" s="8" t="n">
        <v>1136350</v>
      </c>
      <c r="D11" s="8" t="n">
        <v>2128333</v>
      </c>
      <c r="E11" s="8" t="n">
        <v>2897821</v>
      </c>
      <c r="F11" s="8" t="n">
        <v>3402672</v>
      </c>
      <c r="G11" s="8" t="n">
        <v>3873311</v>
      </c>
      <c r="H11" s="5" t="n"/>
      <c r="I11" s="5" t="n"/>
      <c r="J11" s="5" t="n"/>
      <c r="K11" s="5" t="n"/>
    </row>
    <row r="12">
      <c r="A12" s="5" t="n">
        <v>6</v>
      </c>
      <c r="B12" s="8" t="n">
        <v>396132</v>
      </c>
      <c r="C12" s="8" t="n">
        <v>1333217</v>
      </c>
      <c r="D12" s="8" t="n">
        <v>2180715</v>
      </c>
      <c r="E12" s="8" t="n">
        <v>2985752</v>
      </c>
      <c r="F12" s="8" t="n">
        <v>3691712</v>
      </c>
      <c r="G12" s="5" t="n"/>
      <c r="H12" s="5" t="n"/>
      <c r="I12" s="5" t="n"/>
      <c r="J12" s="5" t="n"/>
      <c r="K12" s="5" t="n"/>
    </row>
    <row r="13">
      <c r="A13" s="5" t="n">
        <v>7</v>
      </c>
      <c r="B13" s="8" t="n">
        <v>440832</v>
      </c>
      <c r="C13" s="8" t="n">
        <v>1288463</v>
      </c>
      <c r="D13" s="8" t="n">
        <v>2419861</v>
      </c>
      <c r="E13" s="8" t="n">
        <v>3483130</v>
      </c>
      <c r="F13" s="5" t="n"/>
      <c r="G13" s="5" t="n"/>
      <c r="H13" s="5" t="n"/>
      <c r="I13" s="5" t="n"/>
      <c r="J13" s="5" t="n"/>
      <c r="K13" s="5" t="n"/>
    </row>
    <row r="14">
      <c r="A14" s="5" t="n">
        <v>8</v>
      </c>
      <c r="B14" s="8" t="n">
        <v>359480</v>
      </c>
      <c r="C14" s="8" t="n">
        <v>1421128</v>
      </c>
      <c r="D14" s="8" t="n">
        <v>2864498</v>
      </c>
      <c r="E14" s="5" t="n"/>
      <c r="F14" s="5" t="n"/>
      <c r="G14" s="5" t="n"/>
      <c r="H14" s="5" t="n"/>
      <c r="I14" s="5" t="n"/>
      <c r="J14" s="5" t="n"/>
      <c r="K14" s="5" t="n"/>
    </row>
    <row r="15">
      <c r="A15" s="5" t="n">
        <v>9</v>
      </c>
      <c r="B15" s="8" t="n">
        <v>376686</v>
      </c>
      <c r="C15" s="8" t="n">
        <v>1363294</v>
      </c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A16" s="5" t="n">
        <v>10</v>
      </c>
      <c r="B16" s="8" t="n">
        <v>344014</v>
      </c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8">
      <c r="A18" s="2" t="inlineStr">
        <is>
          <t>DEVELOPMENT FACTORS</t>
        </is>
      </c>
    </row>
    <row r="19">
      <c r="A19" s="2" t="inlineStr">
        <is>
          <t>Expected: 3.491, 1.747, 1.457, 1.174, 1.104, 1.086, 1.054, 1.077, 1.018</t>
        </is>
      </c>
    </row>
    <row r="20">
      <c r="A20" s="3" t="inlineStr">
        <is>
          <t>Period</t>
        </is>
      </c>
      <c r="B20" s="3" t="inlineStr">
        <is>
          <t>1-2</t>
        </is>
      </c>
      <c r="C20" s="3" t="inlineStr">
        <is>
          <t>2-3</t>
        </is>
      </c>
      <c r="D20" s="3" t="inlineStr">
        <is>
          <t>3-4</t>
        </is>
      </c>
      <c r="E20" s="3" t="inlineStr">
        <is>
          <t>4-5</t>
        </is>
      </c>
      <c r="F20" s="3" t="inlineStr">
        <is>
          <t>5-6</t>
        </is>
      </c>
      <c r="G20" s="3" t="inlineStr">
        <is>
          <t>6-7</t>
        </is>
      </c>
      <c r="H20" s="3" t="inlineStr">
        <is>
          <t>7-8</t>
        </is>
      </c>
      <c r="I20" s="3" t="inlineStr">
        <is>
          <t>8-9</t>
        </is>
      </c>
      <c r="J20" s="3" t="inlineStr">
        <is>
          <t>9-10</t>
        </is>
      </c>
    </row>
    <row r="21">
      <c r="A21" s="5" t="inlineStr">
        <is>
          <t>Factors</t>
        </is>
      </c>
      <c r="B21" s="5">
        <f>ACT_CL_FACTORS(B7:K16)</f>
        <v/>
      </c>
    </row>
    <row r="23">
      <c r="A23" s="2" t="inlineStr">
        <is>
          <t>LATEST DIAGONAL (ACT_CL_LATEST)</t>
        </is>
      </c>
    </row>
    <row r="24">
      <c r="A24" s="3" t="inlineStr">
        <is>
          <t>AY</t>
        </is>
      </c>
      <c r="B24" s="3" t="inlineStr">
        <is>
          <t>Latest</t>
        </is>
      </c>
    </row>
    <row r="25">
      <c r="A25" s="5" t="n">
        <v>1</v>
      </c>
      <c r="B25" s="8">
        <f>INDEX(ACT_CL_LATEST(B7:K16), 1)</f>
        <v/>
      </c>
    </row>
    <row r="26">
      <c r="A26" s="5" t="n">
        <v>2</v>
      </c>
      <c r="B26" s="8">
        <f>INDEX(ACT_CL_LATEST(B7:K16), 2)</f>
        <v/>
      </c>
    </row>
    <row r="27">
      <c r="A27" s="5" t="n">
        <v>3</v>
      </c>
      <c r="B27" s="8">
        <f>INDEX(ACT_CL_LATEST(B7:K16), 3)</f>
        <v/>
      </c>
    </row>
    <row r="28">
      <c r="A28" s="5" t="n">
        <v>4</v>
      </c>
      <c r="B28" s="8">
        <f>INDEX(ACT_CL_LATEST(B7:K16), 4)</f>
        <v/>
      </c>
    </row>
    <row r="29">
      <c r="A29" s="5" t="n">
        <v>5</v>
      </c>
      <c r="B29" s="8">
        <f>INDEX(ACT_CL_LATEST(B7:K16), 5)</f>
        <v/>
      </c>
    </row>
    <row r="30">
      <c r="A30" s="5" t="n">
        <v>6</v>
      </c>
      <c r="B30" s="8">
        <f>INDEX(ACT_CL_LATEST(B7:K16), 6)</f>
        <v/>
      </c>
    </row>
    <row r="31">
      <c r="A31" s="5" t="n">
        <v>7</v>
      </c>
      <c r="B31" s="8">
        <f>INDEX(ACT_CL_LATEST(B7:K16), 7)</f>
        <v/>
      </c>
    </row>
    <row r="32">
      <c r="A32" s="5" t="n">
        <v>8</v>
      </c>
      <c r="B32" s="8">
        <f>INDEX(ACT_CL_LATEST(B7:K16), 8)</f>
        <v/>
      </c>
    </row>
    <row r="33">
      <c r="A33" s="5" t="n">
        <v>9</v>
      </c>
      <c r="B33" s="8">
        <f>INDEX(ACT_CL_LATEST(B7:K16), 9)</f>
        <v/>
      </c>
    </row>
    <row r="34">
      <c r="A34" s="5" t="n">
        <v>10</v>
      </c>
      <c r="B34" s="8">
        <f>INDEX(ACT_CL_LATEST(B7:K16), 10)</f>
        <v/>
      </c>
    </row>
    <row r="36">
      <c r="A36" s="2" t="inlineStr">
        <is>
          <t>DEVELOPMENT FACTORS (ADJUSTED OPTIONS)</t>
        </is>
      </c>
    </row>
    <row r="37">
      <c r="A37" s="5" t="inlineStr">
        <is>
          <t>Top N years</t>
        </is>
      </c>
      <c r="B37" s="5" t="n">
        <v>5</v>
      </c>
    </row>
    <row r="38">
      <c r="A38" s="5" t="inlineStr">
        <is>
          <t>Exclude most recent year</t>
        </is>
      </c>
      <c r="B38" s="5" t="b">
        <v>1</v>
      </c>
    </row>
    <row r="39">
      <c r="A39" s="5" t="inlineStr">
        <is>
          <t>Exclude high/low ratios</t>
        </is>
      </c>
      <c r="B39" s="5" t="b">
        <v>1</v>
      </c>
    </row>
    <row r="40">
      <c r="A40" s="3" t="inlineStr">
        <is>
          <t>Period</t>
        </is>
      </c>
      <c r="B40" s="3" t="inlineStr">
        <is>
          <t>1-2</t>
        </is>
      </c>
      <c r="C40" s="3" t="inlineStr">
        <is>
          <t>2-3</t>
        </is>
      </c>
      <c r="D40" s="3" t="inlineStr">
        <is>
          <t>3-4</t>
        </is>
      </c>
      <c r="E40" s="3" t="inlineStr">
        <is>
          <t>4-5</t>
        </is>
      </c>
      <c r="F40" s="3" t="inlineStr">
        <is>
          <t>5-6</t>
        </is>
      </c>
      <c r="G40" s="3" t="inlineStr">
        <is>
          <t>6-7</t>
        </is>
      </c>
      <c r="H40" s="3" t="inlineStr">
        <is>
          <t>7-8</t>
        </is>
      </c>
      <c r="I40" s="3" t="inlineStr">
        <is>
          <t>8-9</t>
        </is>
      </c>
      <c r="J40" s="3" t="inlineStr">
        <is>
          <t>9-10</t>
        </is>
      </c>
    </row>
    <row r="41">
      <c r="A41" s="5" t="inlineStr">
        <is>
          <t>Adjusted</t>
        </is>
      </c>
      <c r="B41" s="5">
        <f>ACT_CL_FACTORS(B7:K16, B37, B38, B39)</f>
        <v/>
      </c>
    </row>
    <row r="43">
      <c r="A43" s="2" t="inlineStr">
        <is>
          <t>PROJECTED ULTIMATES AND IBNR</t>
        </is>
      </c>
    </row>
    <row r="44">
      <c r="A44" s="2" t="inlineStr">
        <is>
          <t>Expected Total IBNR: ~18,680,856</t>
        </is>
      </c>
    </row>
    <row r="45">
      <c r="A45" s="3" t="inlineStr">
        <is>
          <t>AY</t>
        </is>
      </c>
      <c r="B45" s="3" t="inlineStr">
        <is>
          <t>Latest Cumulative</t>
        </is>
      </c>
      <c r="C45" s="3" t="inlineStr">
        <is>
          <t>Ultimate</t>
        </is>
      </c>
      <c r="D45" s="3" t="inlineStr">
        <is>
          <t>IBNR</t>
        </is>
      </c>
    </row>
    <row r="46">
      <c r="A46" s="5" t="n">
        <v>1</v>
      </c>
      <c r="B46" s="8" t="n">
        <v>3901463</v>
      </c>
      <c r="C46" s="8">
        <f>INDEX(ACT_CL_ULTIMATE(B7:K16), 1)</f>
        <v/>
      </c>
      <c r="D46" s="8">
        <f>INDEX(ACT_CL_IBNR(B7:K16), 1)</f>
        <v/>
      </c>
    </row>
    <row r="47">
      <c r="A47" s="5" t="n">
        <v>2</v>
      </c>
      <c r="B47" s="8" t="n">
        <v>5339085</v>
      </c>
      <c r="C47" s="8">
        <f>INDEX(ACT_CL_ULTIMATE(B7:K16), 2)</f>
        <v/>
      </c>
      <c r="D47" s="8">
        <f>INDEX(ACT_CL_IBNR(B7:K16), 2)</f>
        <v/>
      </c>
    </row>
    <row r="48">
      <c r="A48" s="5" t="n">
        <v>3</v>
      </c>
      <c r="B48" s="8" t="n">
        <v>4909315</v>
      </c>
      <c r="C48" s="8">
        <f>INDEX(ACT_CL_ULTIMATE(B7:K16), 3)</f>
        <v/>
      </c>
      <c r="D48" s="8">
        <f>INDEX(ACT_CL_IBNR(B7:K16), 3)</f>
        <v/>
      </c>
    </row>
    <row r="49">
      <c r="A49" s="5" t="n">
        <v>4</v>
      </c>
      <c r="B49" s="8" t="n">
        <v>4588268</v>
      </c>
      <c r="C49" s="8">
        <f>INDEX(ACT_CL_ULTIMATE(B7:K16), 4)</f>
        <v/>
      </c>
      <c r="D49" s="8">
        <f>INDEX(ACT_CL_IBNR(B7:K16), 4)</f>
        <v/>
      </c>
    </row>
    <row r="50">
      <c r="A50" s="5" t="n">
        <v>5</v>
      </c>
      <c r="B50" s="8" t="n">
        <v>3873311</v>
      </c>
      <c r="C50" s="8">
        <f>INDEX(ACT_CL_ULTIMATE(B7:K16), 5)</f>
        <v/>
      </c>
      <c r="D50" s="8">
        <f>INDEX(ACT_CL_IBNR(B7:K16), 5)</f>
        <v/>
      </c>
    </row>
    <row r="51">
      <c r="A51" s="5" t="n">
        <v>6</v>
      </c>
      <c r="B51" s="8" t="n">
        <v>3691712</v>
      </c>
      <c r="C51" s="8">
        <f>INDEX(ACT_CL_ULTIMATE(B7:K16), 6)</f>
        <v/>
      </c>
      <c r="D51" s="8">
        <f>INDEX(ACT_CL_IBNR(B7:K16), 6)</f>
        <v/>
      </c>
    </row>
    <row r="52">
      <c r="A52" s="5" t="n">
        <v>7</v>
      </c>
      <c r="B52" s="8" t="n">
        <v>3483130</v>
      </c>
      <c r="C52" s="8">
        <f>INDEX(ACT_CL_ULTIMATE(B7:K16), 7)</f>
        <v/>
      </c>
      <c r="D52" s="8">
        <f>INDEX(ACT_CL_IBNR(B7:K16), 7)</f>
        <v/>
      </c>
    </row>
    <row r="53">
      <c r="A53" s="5" t="n">
        <v>8</v>
      </c>
      <c r="B53" s="8" t="n">
        <v>2864498</v>
      </c>
      <c r="C53" s="8">
        <f>INDEX(ACT_CL_ULTIMATE(B7:K16), 8)</f>
        <v/>
      </c>
      <c r="D53" s="8">
        <f>INDEX(ACT_CL_IBNR(B7:K16), 8)</f>
        <v/>
      </c>
    </row>
    <row r="54">
      <c r="A54" s="5" t="n">
        <v>9</v>
      </c>
      <c r="B54" s="8" t="n">
        <v>1363294</v>
      </c>
      <c r="C54" s="8">
        <f>INDEX(ACT_CL_ULTIMATE(B7:K16), 9)</f>
        <v/>
      </c>
      <c r="D54" s="8">
        <f>INDEX(ACT_CL_IBNR(B7:K16), 9)</f>
        <v/>
      </c>
    </row>
    <row r="55">
      <c r="A55" s="5" t="n">
        <v>10</v>
      </c>
      <c r="B55" s="8" t="n">
        <v>344014</v>
      </c>
      <c r="C55" s="8">
        <f>INDEX(ACT_CL_ULTIMATE(B7:K16), 10)</f>
        <v/>
      </c>
      <c r="D55" s="8">
        <f>INDEX(ACT_CL_IBNR(B7:K16), 10)</f>
        <v/>
      </c>
    </row>
    <row r="56">
      <c r="A56" s="7" t="inlineStr">
        <is>
          <t>Total</t>
        </is>
      </c>
      <c r="B56" s="9">
        <f>SUM(B46:B55)</f>
        <v/>
      </c>
      <c r="C56" s="9">
        <f>SUM(C46:C55)</f>
        <v/>
      </c>
      <c r="D56" s="9">
        <f>SUM(D46:D55)</f>
        <v/>
      </c>
    </row>
    <row r="58">
      <c r="A58" s="2" t="inlineStr">
        <is>
          <t>BORNHUETTER-FERGUSON ULTIMATES (A priori = Latest * 1.10)</t>
        </is>
      </c>
    </row>
    <row r="59">
      <c r="A59" s="3" t="inlineStr">
        <is>
          <t>AY</t>
        </is>
      </c>
      <c r="B59" s="3" t="inlineStr">
        <is>
          <t>Latest</t>
        </is>
      </c>
      <c r="C59" s="3" t="inlineStr">
        <is>
          <t>A Priori Ultimate</t>
        </is>
      </c>
      <c r="D59" s="3" t="inlineStr">
        <is>
          <t>BF Ultimate</t>
        </is>
      </c>
    </row>
    <row r="60">
      <c r="A60" s="5" t="n">
        <v>1</v>
      </c>
      <c r="B60" s="8">
        <f>INDEX(ACT_CL_LATEST(B7:K16), 1)</f>
        <v/>
      </c>
      <c r="C60" s="8">
        <f>B60*1.10</f>
        <v/>
      </c>
      <c r="D60" s="8">
        <f>INDEX(ACT_BF_ULTIMATE(B7:K16, ACT_CL_FACTORS(B7:K16), C60:C69), 1)</f>
        <v/>
      </c>
    </row>
    <row r="61">
      <c r="A61" s="5" t="n">
        <v>2</v>
      </c>
      <c r="B61" s="8">
        <f>INDEX(ACT_CL_LATEST(B7:K16), 2)</f>
        <v/>
      </c>
      <c r="C61" s="8">
        <f>B61*1.10</f>
        <v/>
      </c>
      <c r="D61" s="8">
        <f>INDEX(ACT_BF_ULTIMATE(B7:K16, ACT_CL_FACTORS(B7:K16), C60:C69), 2)</f>
        <v/>
      </c>
    </row>
    <row r="62">
      <c r="A62" s="5" t="n">
        <v>3</v>
      </c>
      <c r="B62" s="8">
        <f>INDEX(ACT_CL_LATEST(B7:K16), 3)</f>
        <v/>
      </c>
      <c r="C62" s="8">
        <f>B62*1.10</f>
        <v/>
      </c>
      <c r="D62" s="8">
        <f>INDEX(ACT_BF_ULTIMATE(B7:K16, ACT_CL_FACTORS(B7:K16), C60:C69), 3)</f>
        <v/>
      </c>
    </row>
    <row r="63">
      <c r="A63" s="5" t="n">
        <v>4</v>
      </c>
      <c r="B63" s="8">
        <f>INDEX(ACT_CL_LATEST(B7:K16), 4)</f>
        <v/>
      </c>
      <c r="C63" s="8">
        <f>B63*1.10</f>
        <v/>
      </c>
      <c r="D63" s="8">
        <f>INDEX(ACT_BF_ULTIMATE(B7:K16, ACT_CL_FACTORS(B7:K16), C60:C69), 4)</f>
        <v/>
      </c>
    </row>
    <row r="64">
      <c r="A64" s="5" t="n">
        <v>5</v>
      </c>
      <c r="B64" s="8">
        <f>INDEX(ACT_CL_LATEST(B7:K16), 5)</f>
        <v/>
      </c>
      <c r="C64" s="8">
        <f>B64*1.10</f>
        <v/>
      </c>
      <c r="D64" s="8">
        <f>INDEX(ACT_BF_ULTIMATE(B7:K16, ACT_CL_FACTORS(B7:K16), C60:C69), 5)</f>
        <v/>
      </c>
    </row>
    <row r="65">
      <c r="A65" s="5" t="n">
        <v>6</v>
      </c>
      <c r="B65" s="8">
        <f>INDEX(ACT_CL_LATEST(B7:K16), 6)</f>
        <v/>
      </c>
      <c r="C65" s="8">
        <f>B65*1.10</f>
        <v/>
      </c>
      <c r="D65" s="8">
        <f>INDEX(ACT_BF_ULTIMATE(B7:K16, ACT_CL_FACTORS(B7:K16), C60:C69), 6)</f>
        <v/>
      </c>
    </row>
    <row r="66">
      <c r="A66" s="5" t="n">
        <v>7</v>
      </c>
      <c r="B66" s="8">
        <f>INDEX(ACT_CL_LATEST(B7:K16), 7)</f>
        <v/>
      </c>
      <c r="C66" s="8">
        <f>B66*1.10</f>
        <v/>
      </c>
      <c r="D66" s="8">
        <f>INDEX(ACT_BF_ULTIMATE(B7:K16, ACT_CL_FACTORS(B7:K16), C60:C69), 7)</f>
        <v/>
      </c>
    </row>
    <row r="67">
      <c r="A67" s="5" t="n">
        <v>8</v>
      </c>
      <c r="B67" s="8">
        <f>INDEX(ACT_CL_LATEST(B7:K16), 8)</f>
        <v/>
      </c>
      <c r="C67" s="8">
        <f>B67*1.10</f>
        <v/>
      </c>
      <c r="D67" s="8">
        <f>INDEX(ACT_BF_ULTIMATE(B7:K16, ACT_CL_FACTORS(B7:K16), C60:C69), 8)</f>
        <v/>
      </c>
    </row>
    <row r="68">
      <c r="A68" s="5" t="n">
        <v>9</v>
      </c>
      <c r="B68" s="8">
        <f>INDEX(ACT_CL_LATEST(B7:K16), 9)</f>
        <v/>
      </c>
      <c r="C68" s="8">
        <f>B68*1.10</f>
        <v/>
      </c>
      <c r="D68" s="8">
        <f>INDEX(ACT_BF_ULTIMATE(B7:K16, ACT_CL_FACTORS(B7:K16), C60:C69), 9)</f>
        <v/>
      </c>
    </row>
    <row r="69">
      <c r="A69" s="5" t="n">
        <v>10</v>
      </c>
      <c r="B69" s="8">
        <f>INDEX(ACT_CL_LATEST(B7:K16), 10)</f>
        <v/>
      </c>
      <c r="C69" s="8">
        <f>B69*1.10</f>
        <v/>
      </c>
      <c r="D69" s="8">
        <f>INDEX(ACT_BF_ULTIMATE(B7:K16, ACT_CL_FACTORS(B7:K16), C60:C69), 10)</f>
        <v/>
      </c>
    </row>
    <row r="71">
      <c r="A71" s="2" t="inlineStr">
        <is>
          <t>MACK STANDARD ERRORS (reserve uncertainty)</t>
        </is>
      </c>
    </row>
    <row r="72">
      <c r="A72" s="3" t="inlineStr">
        <is>
          <t>AY</t>
        </is>
      </c>
      <c r="B72" s="3" t="inlineStr">
        <is>
          <t>Reserve SE</t>
        </is>
      </c>
    </row>
    <row r="73">
      <c r="A73" s="5" t="n">
        <v>1</v>
      </c>
      <c r="B73" s="8">
        <f>INDEX(ACT_MACK_RESERVE_SE(B7:K16), 1)</f>
        <v/>
      </c>
    </row>
    <row r="74">
      <c r="A74" s="5" t="n">
        <v>2</v>
      </c>
      <c r="B74" s="8">
        <f>INDEX(ACT_MACK_RESERVE_SE(B7:K16), 2)</f>
        <v/>
      </c>
    </row>
    <row r="75">
      <c r="A75" s="5" t="n">
        <v>3</v>
      </c>
      <c r="B75" s="8">
        <f>INDEX(ACT_MACK_RESERVE_SE(B7:K16), 3)</f>
        <v/>
      </c>
    </row>
    <row r="76">
      <c r="A76" s="5" t="n">
        <v>4</v>
      </c>
      <c r="B76" s="8">
        <f>INDEX(ACT_MACK_RESERVE_SE(B7:K16), 4)</f>
        <v/>
      </c>
    </row>
    <row r="77">
      <c r="A77" s="5" t="n">
        <v>5</v>
      </c>
      <c r="B77" s="8">
        <f>INDEX(ACT_MACK_RESERVE_SE(B7:K16), 5)</f>
        <v/>
      </c>
    </row>
    <row r="78">
      <c r="A78" s="5" t="n">
        <v>6</v>
      </c>
      <c r="B78" s="8">
        <f>INDEX(ACT_MACK_RESERVE_SE(B7:K16), 6)</f>
        <v/>
      </c>
    </row>
    <row r="79">
      <c r="A79" s="5" t="n">
        <v>7</v>
      </c>
      <c r="B79" s="8">
        <f>INDEX(ACT_MACK_RESERVE_SE(B7:K16), 7)</f>
        <v/>
      </c>
    </row>
    <row r="80">
      <c r="A80" s="5" t="n">
        <v>8</v>
      </c>
      <c r="B80" s="8">
        <f>INDEX(ACT_MACK_RESERVE_SE(B7:K16), 8)</f>
        <v/>
      </c>
    </row>
    <row r="81">
      <c r="A81" s="5" t="n">
        <v>9</v>
      </c>
      <c r="B81" s="8">
        <f>INDEX(ACT_MACK_RESERVE_SE(B7:K16), 9)</f>
        <v/>
      </c>
    </row>
    <row r="82">
      <c r="A82" s="5" t="n">
        <v>10</v>
      </c>
      <c r="B82" s="8">
        <f>INDEX(ACT_MACK_RESERVE_SE(B7:K16), 10)</f>
        <v/>
      </c>
    </row>
    <row r="84">
      <c r="A84" s="2" t="inlineStr">
        <is>
          <t>BOOTSTRAP CHAIN LADDER (ODP)</t>
        </is>
      </c>
    </row>
    <row r="85">
      <c r="A85" s="5" t="inlineStr">
        <is>
          <t>Iterations</t>
        </is>
      </c>
      <c r="B85" s="5" t="n">
        <v>1000</v>
      </c>
    </row>
    <row r="86">
      <c r="A86" s="5" t="inlineStr">
        <is>
          <t>Seed</t>
        </is>
      </c>
      <c r="B86" s="5" t="n">
        <v>42</v>
      </c>
    </row>
    <row r="87">
      <c r="A87" s="2" t="inlineStr">
        <is>
          <t>BOOTSTRAP RESULTS (mean, std dev, percentiles)</t>
        </is>
      </c>
    </row>
    <row r="88">
      <c r="A88" s="3" t="inlineStr">
        <is>
          <t>Statistic</t>
        </is>
      </c>
      <c r="B88" s="3" t="inlineStr">
        <is>
          <t>Value</t>
        </is>
      </c>
    </row>
    <row r="89">
      <c r="A89" s="5">
        <f>ACT_BOOTSTRAP_CL(B7:K16, B85, B86)</f>
        <v/>
      </c>
    </row>
    <row r="90">
      <c r="A90" s="2" t="n"/>
    </row>
    <row r="91">
      <c r="A91" s="3" t="n"/>
      <c r="B91" s="3" t="n"/>
      <c r="C91" s="3" t="n"/>
      <c r="D91" s="3" t="inlineStr">
        <is>
          <t>P50</t>
        </is>
      </c>
      <c r="E91" s="3" t="inlineStr">
        <is>
          <t>P75</t>
        </is>
      </c>
      <c r="F91" s="3" t="inlineStr">
        <is>
          <t>P90</t>
        </is>
      </c>
      <c r="G91" s="3" t="inlineStr">
        <is>
          <t>P95</t>
        </is>
      </c>
      <c r="H91" s="3" t="inlineStr">
        <is>
          <t>P99</t>
        </is>
      </c>
    </row>
    <row r="92">
      <c r="A92" s="5" t="n"/>
    </row>
    <row r="93"/>
    <row r="94"/>
    <row r="95"/>
    <row r="96"/>
    <row r="97"/>
    <row r="98"/>
    <row r="99"/>
    <row r="100"/>
    <row r="101"/>
    <row r="102"/>
    <row r="103"/>
    <row r="104"/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D1024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12" customWidth="1" min="3" max="3"/>
    <col width="12" customWidth="1" min="4" max="4"/>
    <col width="25" customWidth="1" min="5" max="5"/>
    <col width="5" customWidth="1" min="6" max="6"/>
  </cols>
  <sheetData>
    <row r="1">
      <c r="A1" s="1" t="inlineStr">
        <is>
          <t>Student-t Copula</t>
        </is>
      </c>
    </row>
    <row r="3">
      <c r="A3" s="2" t="inlineStr">
        <is>
          <t>Generate correlated uniform random numbers for Monte Carlo simulation</t>
        </is>
      </c>
    </row>
    <row r="5">
      <c r="A5" s="2" t="inlineStr">
        <is>
          <t>CORRELATION MATRIX (3x3)</t>
        </is>
      </c>
    </row>
    <row r="6">
      <c r="A6" s="3" t="inlineStr"/>
      <c r="B6" s="3" t="inlineStr">
        <is>
          <t>X1</t>
        </is>
      </c>
      <c r="C6" s="3" t="inlineStr">
        <is>
          <t>X2</t>
        </is>
      </c>
      <c r="D6" s="3" t="inlineStr">
        <is>
          <t>X3</t>
        </is>
      </c>
    </row>
    <row r="7">
      <c r="A7" s="7" t="inlineStr">
        <is>
          <t>X1</t>
        </is>
      </c>
      <c r="B7" s="5" t="n">
        <v>1</v>
      </c>
      <c r="C7" s="5" t="n">
        <v>0.5</v>
      </c>
      <c r="D7" s="5" t="n">
        <v>0.3</v>
      </c>
    </row>
    <row r="8">
      <c r="A8" s="7" t="inlineStr">
        <is>
          <t>X2</t>
        </is>
      </c>
      <c r="B8" s="5" t="n">
        <v>0.5</v>
      </c>
      <c r="C8" s="5" t="n">
        <v>1</v>
      </c>
      <c r="D8" s="5" t="n">
        <v>0.4</v>
      </c>
    </row>
    <row r="9">
      <c r="A9" s="7" t="inlineStr">
        <is>
          <t>X3</t>
        </is>
      </c>
      <c r="B9" s="5" t="n">
        <v>0.3</v>
      </c>
      <c r="C9" s="5" t="n">
        <v>0.4</v>
      </c>
      <c r="D9" s="5" t="n">
        <v>1</v>
      </c>
    </row>
    <row r="11">
      <c r="A11" s="2" t="inlineStr">
        <is>
          <t>PARAMETERS</t>
        </is>
      </c>
    </row>
    <row r="12">
      <c r="A12" s="5" t="inlineStr">
        <is>
          <t>Degrees of freedom:</t>
        </is>
      </c>
      <c r="B12" s="5" t="n">
        <v>5</v>
      </c>
    </row>
    <row r="13">
      <c r="A13" s="5" t="inlineStr">
        <is>
          <t>Number of samples:</t>
        </is>
      </c>
      <c r="B13" s="5" t="n">
        <v>1000</v>
      </c>
    </row>
    <row r="14">
      <c r="A14" s="5" t="inlineStr">
        <is>
          <t>Random seed:</t>
        </is>
      </c>
      <c r="B14" s="5" t="n">
        <v>42</v>
      </c>
    </row>
    <row r="16">
      <c r="A16" s="2" t="inlineStr">
        <is>
          <t>GENERATED SAMPLES (uniform marginals, correlated via t-copula)</t>
        </is>
      </c>
    </row>
    <row r="17">
      <c r="A17" s="2" t="inlineStr">
        <is>
          <t>Formula: =ACT_STUDENT_T_COPULA(B7:D9, B12, B13, B14)</t>
        </is>
      </c>
    </row>
    <row r="18">
      <c r="A18" s="3" t="inlineStr">
        <is>
          <t>U1</t>
        </is>
      </c>
      <c r="B18" s="3" t="inlineStr">
        <is>
          <t>U2</t>
        </is>
      </c>
      <c r="C18" s="3" t="inlineStr">
        <is>
          <t>U3</t>
        </is>
      </c>
    </row>
    <row r="19">
      <c r="A19" s="5">
        <f>ACT_STUDENT_T_COPULA(B7:D9, B12, B13, B14)</f>
        <v/>
      </c>
    </row>
    <row r="1020">
      <c r="A1020" s="2" t="inlineStr">
        <is>
          <t>RANK CORRELATION CHECK (Spearman)</t>
        </is>
      </c>
    </row>
    <row r="1021">
      <c r="A1021" s="3" t="inlineStr">
        <is>
          <t>Pair</t>
        </is>
      </c>
      <c r="B1021" s="3" t="inlineStr">
        <is>
          <t>Target</t>
        </is>
      </c>
      <c r="C1021" s="3" t="inlineStr">
        <is>
          <t>Rank Corr</t>
        </is>
      </c>
    </row>
    <row r="1022">
      <c r="A1022" s="5" t="inlineStr">
        <is>
          <t>U1-U2</t>
        </is>
      </c>
      <c r="B1022" s="5">
        <f>C7</f>
        <v/>
      </c>
      <c r="C1022" s="5">
        <f>LET(x, A19:INDEX(A:A, 19-1+B13), y, B19:INDEX(B:B, 19-1+B13), CORREL(RANK.EQ(x, x, 1), RANK.EQ(y, y, 1)))</f>
        <v/>
      </c>
    </row>
    <row r="1024">
      <c r="A1024" s="2" t="inlineStr">
        <is>
          <t>Note: Results are uniform[0,1] values. Apply inverse CDF to get desired marginal distributions.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24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20" customWidth="1" min="3" max="3"/>
    <col width="30" customWidth="1" min="4" max="4"/>
    <col width="5" customWidth="1" min="5" max="5"/>
  </cols>
  <sheetData>
    <row r="1">
      <c r="A1" s="1" t="inlineStr">
        <is>
          <t>Return Period Functions</t>
        </is>
      </c>
    </row>
    <row r="3">
      <c r="A3" s="2" t="inlineStr">
        <is>
          <t>Generate losses from return period tables (OEP/AEP curves)</t>
        </is>
      </c>
    </row>
    <row r="5">
      <c r="A5" s="2" t="inlineStr">
        <is>
          <t>SAMPLE EXCEEDANCE PROBABILITY CURVE</t>
        </is>
      </c>
    </row>
    <row r="6">
      <c r="A6" s="3" t="inlineStr">
        <is>
          <t>Return Period</t>
        </is>
      </c>
      <c r="B6" s="3" t="inlineStr">
        <is>
          <t>OEP Loss</t>
        </is>
      </c>
    </row>
    <row r="7">
      <c r="A7" s="5" t="n">
        <v>10</v>
      </c>
      <c r="B7" s="8" t="n">
        <v>100000</v>
      </c>
    </row>
    <row r="8">
      <c r="A8" s="5" t="n">
        <v>25</v>
      </c>
      <c r="B8" s="8" t="n">
        <v>250000</v>
      </c>
    </row>
    <row r="9">
      <c r="A9" s="5" t="n">
        <v>50</v>
      </c>
      <c r="B9" s="8" t="n">
        <v>500000</v>
      </c>
    </row>
    <row r="10">
      <c r="A10" s="5" t="n">
        <v>100</v>
      </c>
      <c r="B10" s="8" t="n">
        <v>1000000</v>
      </c>
    </row>
    <row r="11">
      <c r="A11" s="5" t="n">
        <v>250</v>
      </c>
      <c r="B11" s="8" t="n">
        <v>2500000</v>
      </c>
    </row>
    <row r="13">
      <c r="A13" s="2" t="inlineStr">
        <is>
          <t>LOSS INTERPOLATION</t>
        </is>
      </c>
    </row>
    <row r="14">
      <c r="A14" s="3" t="inlineStr">
        <is>
          <t>Target RP</t>
        </is>
      </c>
      <c r="B14" s="3" t="inlineStr">
        <is>
          <t>Loss (LOG)</t>
        </is>
      </c>
      <c r="C14" s="3" t="inlineStr">
        <is>
          <t>Loss (LINEAR)</t>
        </is>
      </c>
      <c r="D14" s="3" t="inlineStr">
        <is>
          <t>Notes</t>
        </is>
      </c>
    </row>
    <row r="15">
      <c r="A15" s="5" t="n">
        <v>20</v>
      </c>
      <c r="B15" s="8">
        <f>ACT_RETURN_PERIOD_LOSS(A7:A11, B7:B11, A15, "LOG")</f>
        <v/>
      </c>
      <c r="C15" s="8">
        <f>ACT_RETURN_PERIOD_LOSS(A7:A11, B7:B11, A15, "LINEAR")</f>
        <v/>
      </c>
      <c r="D15" s="5" t="inlineStr">
        <is>
          <t>Log interpolation typical for cat curves</t>
        </is>
      </c>
    </row>
    <row r="16">
      <c r="A16" s="5" t="n">
        <v>75</v>
      </c>
      <c r="B16" s="8">
        <f>ACT_RETURN_PERIOD_LOSS(A7:A11, B7:B11, A16, "LOG")</f>
        <v/>
      </c>
      <c r="C16" s="8">
        <f>ACT_RETURN_PERIOD_LOSS(A7:A11, B7:B11, A16, "LINEAR")</f>
        <v/>
      </c>
      <c r="D16" s="5" t="inlineStr">
        <is>
          <t>Log interpolation typical for cat curves</t>
        </is>
      </c>
    </row>
    <row r="17">
      <c r="A17" s="5" t="n">
        <v>150</v>
      </c>
      <c r="B17" s="8">
        <f>ACT_RETURN_PERIOD_LOSS(A7:A11, B7:B11, A17, "LOG")</f>
        <v/>
      </c>
      <c r="C17" s="8">
        <f>ACT_RETURN_PERIOD_LOSS(A7:A11, B7:B11, A17, "LINEAR")</f>
        <v/>
      </c>
      <c r="D17" s="5" t="inlineStr">
        <is>
          <t>Log interpolation typical for cat curves</t>
        </is>
      </c>
    </row>
    <row r="18">
      <c r="A18" s="5" t="n">
        <v>200</v>
      </c>
      <c r="B18" s="8">
        <f>ACT_RETURN_PERIOD_LOSS(A7:A11, B7:B11, A18, "LOG")</f>
        <v/>
      </c>
      <c r="C18" s="8">
        <f>ACT_RETURN_PERIOD_LOSS(A7:A11, B7:B11, A18, "LINEAR")</f>
        <v/>
      </c>
      <c r="D18" s="5" t="inlineStr">
        <is>
          <t>Log interpolation typical for cat curves</t>
        </is>
      </c>
    </row>
    <row r="20">
      <c r="A20" s="2" t="inlineStr">
        <is>
          <t>RETURN PERIOD TABLE (LOG)</t>
        </is>
      </c>
    </row>
    <row r="21">
      <c r="A21" s="3" t="inlineStr">
        <is>
          <t>Target RP</t>
        </is>
      </c>
      <c r="B21" s="3" t="inlineStr">
        <is>
          <t>Loss</t>
        </is>
      </c>
    </row>
    <row r="22">
      <c r="A22" s="5">
        <f>ACT_RETURN_PERIOD_TABLE(A7:A11, B7:B11, A15:A18, "LOG")</f>
        <v/>
      </c>
    </row>
    <row r="23">
      <c r="A23" s="2" t="inlineStr">
        <is>
          <t>AVERAGE ANNUAL LOSS (AAL) FROM OEP CURVE</t>
        </is>
      </c>
    </row>
    <row r="24">
      <c r="A24" s="6" t="inlineStr">
        <is>
          <t>AAL:</t>
        </is>
      </c>
      <c r="B24" s="10">
        <f>ACT_AAL_FROM_OEP(A7:A11, B7:B11)</f>
        <v/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224"/>
  <sheetViews>
    <sheetView workbookViewId="0">
      <selection activeCell="A1" sqref="A1"/>
    </sheetView>
  </sheetViews>
  <sheetFormatPr baseColWidth="8" defaultRowHeight="15"/>
  <cols>
    <col width="35" customWidth="1" min="1" max="1"/>
    <col width="100" customWidth="1" min="2" max="2"/>
    <col width="30" customWidth="1" min="3" max="3"/>
  </cols>
  <sheetData>
    <row r="1">
      <c r="A1" s="1" t="inlineStr">
        <is>
          <t>COMPREHENSIVE FUNCTION TESTS - ALL 127 FUNCTIONS</t>
        </is>
      </c>
    </row>
    <row r="3">
      <c r="A3" s="13" t="inlineStr">
        <is>
          <t>DISTRIBUTIONS - Frequency</t>
        </is>
      </c>
    </row>
    <row r="5">
      <c r="A5" s="13" t="inlineStr">
        <is>
          <t>Poisson Distribution (λ=5)</t>
        </is>
      </c>
    </row>
    <row r="6">
      <c r="A6" s="11" t="inlineStr">
        <is>
          <t>ACT_POISSON_PDF</t>
        </is>
      </c>
      <c r="B6">
        <f>ACT_POISSON_PDF(3, 5)</f>
        <v/>
      </c>
      <c r="C6" t="inlineStr">
        <is>
          <t>P(X=3) for Poisson</t>
        </is>
      </c>
    </row>
    <row r="7">
      <c r="A7" s="11" t="inlineStr">
        <is>
          <t>ACT_POISSON_CDF</t>
        </is>
      </c>
      <c r="B7">
        <f>ACT_POISSON_CDF(3, 5)</f>
        <v/>
      </c>
      <c r="C7" t="inlineStr">
        <is>
          <t>P(X≤3)</t>
        </is>
      </c>
    </row>
    <row r="8">
      <c r="A8" s="11" t="inlineStr">
        <is>
          <t>ACT_POISSON_INV</t>
        </is>
      </c>
      <c r="B8">
        <f>ACT_POISSON_INV(0.5, 5)</f>
        <v/>
      </c>
      <c r="C8" t="inlineStr">
        <is>
          <t>Median</t>
        </is>
      </c>
    </row>
    <row r="9">
      <c r="A9" s="11" t="inlineStr">
        <is>
          <t>ACT_POISSON_FIT</t>
        </is>
      </c>
      <c r="B9">
        <f>ACT_POISSON_FIT({1,2,3,4,5,6,7})</f>
        <v/>
      </c>
      <c r="C9" t="inlineStr">
        <is>
          <t>MLE estimate of λ</t>
        </is>
      </c>
    </row>
    <row r="11">
      <c r="A11" s="13" t="inlineStr">
        <is>
          <t>Negative Binomial (r=5, p=0.3)</t>
        </is>
      </c>
    </row>
    <row r="12">
      <c r="A12" s="11" t="inlineStr">
        <is>
          <t>ACT_NEGBIN_PDF</t>
        </is>
      </c>
      <c r="B12">
        <f>ACT_NEGBIN_PDF(5, 5, 0.3)</f>
        <v/>
      </c>
      <c r="C12" t="inlineStr">
        <is>
          <t>P(X=5)</t>
        </is>
      </c>
    </row>
    <row r="13">
      <c r="A13" s="11" t="inlineStr">
        <is>
          <t>ACT_NEGBIN_CDF</t>
        </is>
      </c>
      <c r="B13">
        <f>ACT_NEGBIN_CDF(5, 5, 0.3)</f>
        <v/>
      </c>
      <c r="C13" t="inlineStr">
        <is>
          <t>P(X≤5)</t>
        </is>
      </c>
    </row>
    <row r="14">
      <c r="A14" s="11" t="inlineStr">
        <is>
          <t>ACT_NEGBIN_INV</t>
        </is>
      </c>
      <c r="B14">
        <f>ACT_NEGBIN_INV(0.5, 5, 0.3)</f>
        <v/>
      </c>
      <c r="C14" t="inlineStr">
        <is>
          <t>Median</t>
        </is>
      </c>
    </row>
    <row r="15">
      <c r="A15" s="11" t="inlineStr">
        <is>
          <t>ACT_NEGBIN_FIT</t>
        </is>
      </c>
      <c r="B15">
        <f>ACT_NEGBIN_FIT({1,2,3,4,5,6,7,8,9,10})</f>
        <v/>
      </c>
      <c r="C15" t="inlineStr">
        <is>
          <t>MLE r,p</t>
        </is>
      </c>
    </row>
    <row r="17">
      <c r="A17" s="13" t="inlineStr">
        <is>
          <t>DISTRIBUTIONS - Severity</t>
        </is>
      </c>
    </row>
    <row r="19">
      <c r="A19" s="13" t="inlineStr">
        <is>
          <t>Lognormal (μ=0, σ=1)</t>
        </is>
      </c>
    </row>
    <row r="20">
      <c r="A20" s="11" t="inlineStr">
        <is>
          <t>ACT_LOGNORM_PDF</t>
        </is>
      </c>
      <c r="B20">
        <f>ACT_LOGNORM_PDF(1, 0, 1)</f>
        <v/>
      </c>
      <c r="C20" t="inlineStr">
        <is>
          <t>f(1)</t>
        </is>
      </c>
    </row>
    <row r="21">
      <c r="A21" s="11" t="inlineStr">
        <is>
          <t>ACT_LOGNORM_CDF</t>
        </is>
      </c>
      <c r="B21">
        <f>ACT_LOGNORM_CDF(1, 0, 1)</f>
        <v/>
      </c>
      <c r="C21" t="inlineStr">
        <is>
          <t>F(1)</t>
        </is>
      </c>
    </row>
    <row r="22">
      <c r="A22" s="11" t="inlineStr">
        <is>
          <t>ACT_LOGNORM_INV</t>
        </is>
      </c>
      <c r="B22">
        <f>ACT_LOGNORM_INV(0.5, 0, 1)</f>
        <v/>
      </c>
      <c r="C22" t="inlineStr">
        <is>
          <t>Median = 1</t>
        </is>
      </c>
    </row>
    <row r="23">
      <c r="A23" s="11" t="inlineStr">
        <is>
          <t>ACT_LOGNORM_FIT</t>
        </is>
      </c>
      <c r="B23">
        <f>ACT_LOGNORM_FIT({1,2,3,4,5})</f>
        <v/>
      </c>
      <c r="C23" t="inlineStr">
        <is>
          <t>MLE μ,σ</t>
        </is>
      </c>
    </row>
    <row r="25">
      <c r="A25" s="13" t="inlineStr">
        <is>
          <t>Gamma (α=2, β=1)</t>
        </is>
      </c>
    </row>
    <row r="26">
      <c r="A26" s="11" t="inlineStr">
        <is>
          <t>ACT_GAMMA_PDF</t>
        </is>
      </c>
      <c r="B26">
        <f>ACT_GAMMA_PDF(1, 2, 1)</f>
        <v/>
      </c>
      <c r="C26" t="inlineStr">
        <is>
          <t>f(1)</t>
        </is>
      </c>
    </row>
    <row r="27">
      <c r="A27" s="11" t="inlineStr">
        <is>
          <t>ACT_GAMMA_CDF</t>
        </is>
      </c>
      <c r="B27">
        <f>ACT_GAMMA_CDF(1, 2, 1)</f>
        <v/>
      </c>
      <c r="C27" t="inlineStr">
        <is>
          <t>F(1)</t>
        </is>
      </c>
    </row>
    <row r="28">
      <c r="A28" s="11" t="inlineStr">
        <is>
          <t>ACT_GAMMA_INV</t>
        </is>
      </c>
      <c r="B28">
        <f>ACT_GAMMA_INV(0.5, 2, 1)</f>
        <v/>
      </c>
      <c r="C28" t="inlineStr">
        <is>
          <t>Median</t>
        </is>
      </c>
    </row>
    <row r="29">
      <c r="A29" s="11" t="inlineStr">
        <is>
          <t>ACT_GAMMA_FIT</t>
        </is>
      </c>
      <c r="B29">
        <f>ACT_GAMMA_FIT({1,2,3,4,5})</f>
        <v/>
      </c>
      <c r="C29" t="inlineStr">
        <is>
          <t>MLE α,β</t>
        </is>
      </c>
    </row>
    <row r="31">
      <c r="A31" s="13" t="inlineStr">
        <is>
          <t>Pareto (α=2, xm=1)</t>
        </is>
      </c>
    </row>
    <row r="32">
      <c r="A32" s="11" t="inlineStr">
        <is>
          <t>ACT_PARETO_PDF</t>
        </is>
      </c>
      <c r="B32">
        <f>ACT_PARETO_PDF(2, 2, 1)</f>
        <v/>
      </c>
      <c r="C32" t="inlineStr">
        <is>
          <t>f(2)</t>
        </is>
      </c>
    </row>
    <row r="33">
      <c r="A33" s="11" t="inlineStr">
        <is>
          <t>ACT_PARETO_CDF</t>
        </is>
      </c>
      <c r="B33">
        <f>ACT_PARETO_CDF(2, 2, 1)</f>
        <v/>
      </c>
      <c r="C33" t="inlineStr">
        <is>
          <t>F(2) = 0.75</t>
        </is>
      </c>
    </row>
    <row r="34">
      <c r="A34" s="11" t="inlineStr">
        <is>
          <t>ACT_PARETO_INV</t>
        </is>
      </c>
      <c r="B34">
        <f>ACT_PARETO_INV(0.5, 2, 1)</f>
        <v/>
      </c>
      <c r="C34" t="inlineStr">
        <is>
          <t>Median = √2</t>
        </is>
      </c>
    </row>
    <row r="35">
      <c r="A35" s="11" t="inlineStr">
        <is>
          <t>ACT_PARETO_FIT</t>
        </is>
      </c>
      <c r="B35">
        <f>ACT_PARETO_FIT({1.5,2,2.5,3,4,5}, 1)</f>
        <v/>
      </c>
      <c r="C35" t="inlineStr">
        <is>
          <t>MLE α</t>
        </is>
      </c>
    </row>
    <row r="37">
      <c r="A37" s="13" t="inlineStr">
        <is>
          <t>Weibull (k=2, λ=1)</t>
        </is>
      </c>
    </row>
    <row r="38">
      <c r="A38" s="11" t="inlineStr">
        <is>
          <t>ACT_WEIBULL_PDF</t>
        </is>
      </c>
      <c r="B38">
        <f>ACT_WEIBULL_PDF(0.5, 2, 1)</f>
        <v/>
      </c>
      <c r="C38" t="inlineStr">
        <is>
          <t>f(0.5)</t>
        </is>
      </c>
    </row>
    <row r="39">
      <c r="A39" s="11" t="inlineStr">
        <is>
          <t>ACT_WEIBULL_CDF</t>
        </is>
      </c>
      <c r="B39">
        <f>ACT_WEIBULL_CDF(0.5, 2, 1)</f>
        <v/>
      </c>
      <c r="C39" t="inlineStr">
        <is>
          <t>F(0.5)</t>
        </is>
      </c>
    </row>
    <row r="40">
      <c r="A40" s="11" t="inlineStr">
        <is>
          <t>ACT_WEIBULL_INV</t>
        </is>
      </c>
      <c r="B40">
        <f>ACT_WEIBULL_INV(0.5, 2, 1)</f>
        <v/>
      </c>
      <c r="C40" t="inlineStr">
        <is>
          <t>Median</t>
        </is>
      </c>
    </row>
    <row r="41">
      <c r="A41" s="11" t="inlineStr">
        <is>
          <t>ACT_WEIBULL_FIT</t>
        </is>
      </c>
      <c r="B41">
        <f>ACT_WEIBULL_FIT({0.5,1,1.5,2,2.5})</f>
        <v/>
      </c>
      <c r="C41" t="inlineStr">
        <is>
          <t>MLE k,λ</t>
        </is>
      </c>
    </row>
    <row r="43">
      <c r="A43" s="13" t="inlineStr">
        <is>
          <t>Beta (α=2, β=5)</t>
        </is>
      </c>
    </row>
    <row r="44">
      <c r="A44" s="11" t="inlineStr">
        <is>
          <t>ACT_BETA_PDF</t>
        </is>
      </c>
      <c r="B44">
        <f>ACT_BETA_PDF(0.3, 2, 5)</f>
        <v/>
      </c>
      <c r="C44" t="inlineStr">
        <is>
          <t>f(0.3)</t>
        </is>
      </c>
    </row>
    <row r="45">
      <c r="A45" s="11" t="inlineStr">
        <is>
          <t>ACT_BETA_CDF</t>
        </is>
      </c>
      <c r="B45">
        <f>ACT_BETA_CDF(0.3, 2, 5)</f>
        <v/>
      </c>
      <c r="C45" t="inlineStr">
        <is>
          <t>F(0.3)</t>
        </is>
      </c>
    </row>
    <row r="46">
      <c r="A46" s="11" t="inlineStr">
        <is>
          <t>ACT_BETA_INV</t>
        </is>
      </c>
      <c r="B46">
        <f>ACT_BETA_INV(0.5, 2, 5)</f>
        <v/>
      </c>
      <c r="C46" t="inlineStr">
        <is>
          <t>Median</t>
        </is>
      </c>
    </row>
    <row r="47">
      <c r="A47" s="11" t="inlineStr">
        <is>
          <t>ACT_BETA_FIT</t>
        </is>
      </c>
      <c r="B47">
        <f>ACT_BETA_FIT({0.1,0.2,0.3,0.4})</f>
        <v/>
      </c>
      <c r="C47" t="inlineStr">
        <is>
          <t>MLE α,β</t>
        </is>
      </c>
    </row>
    <row r="49">
      <c r="A49" s="13" t="inlineStr">
        <is>
          <t>Exponential (λ=0.5)</t>
        </is>
      </c>
    </row>
    <row r="50">
      <c r="A50" s="11" t="inlineStr">
        <is>
          <t>ACT_EXP_PDF</t>
        </is>
      </c>
      <c r="B50">
        <f>ACT_EXP_PDF(1, 0.5)</f>
        <v/>
      </c>
      <c r="C50" t="inlineStr">
        <is>
          <t>f(1)</t>
        </is>
      </c>
    </row>
    <row r="51">
      <c r="A51" s="11" t="inlineStr">
        <is>
          <t>ACT_EXP_CDF</t>
        </is>
      </c>
      <c r="B51">
        <f>ACT_EXP_CDF(1, 0.5)</f>
        <v/>
      </c>
      <c r="C51" t="inlineStr">
        <is>
          <t>F(1)</t>
        </is>
      </c>
    </row>
    <row r="52">
      <c r="A52" s="11" t="inlineStr">
        <is>
          <t>ACT_EXP_INV</t>
        </is>
      </c>
      <c r="B52">
        <f>ACT_EXP_INV(0.5, 0.5)</f>
        <v/>
      </c>
      <c r="C52" t="inlineStr">
        <is>
          <t>Median</t>
        </is>
      </c>
    </row>
    <row r="53">
      <c r="A53" s="11" t="inlineStr">
        <is>
          <t>ACT_EXP_FIT</t>
        </is>
      </c>
      <c r="B53">
        <f>ACT_EXP_FIT({1,2,3,4,5})</f>
        <v/>
      </c>
      <c r="C53" t="inlineStr">
        <is>
          <t>MLE λ</t>
        </is>
      </c>
    </row>
    <row r="55">
      <c r="A55" s="13" t="inlineStr">
        <is>
          <t>GPD (ξ=0.5, σ=1)</t>
        </is>
      </c>
    </row>
    <row r="56">
      <c r="A56" s="11" t="inlineStr">
        <is>
          <t>ACT_GPD_PDF</t>
        </is>
      </c>
      <c r="B56">
        <f>ACT_GPD_PDF(1, 0.5, 1)</f>
        <v/>
      </c>
      <c r="C56" t="inlineStr">
        <is>
          <t>f(1)</t>
        </is>
      </c>
    </row>
    <row r="57">
      <c r="A57" s="11" t="inlineStr">
        <is>
          <t>ACT_GPD_CDF</t>
        </is>
      </c>
      <c r="B57">
        <f>ACT_GPD_CDF(1, 0.5, 1)</f>
        <v/>
      </c>
      <c r="C57" t="inlineStr">
        <is>
          <t>F(1)</t>
        </is>
      </c>
    </row>
    <row r="58">
      <c r="A58" s="11" t="inlineStr">
        <is>
          <t>ACT_GPD_INV</t>
        </is>
      </c>
      <c r="B58">
        <f>ACT_GPD_INV(0.5, 0.5, 1)</f>
        <v/>
      </c>
      <c r="C58" t="inlineStr">
        <is>
          <t>Median</t>
        </is>
      </c>
    </row>
    <row r="59">
      <c r="A59" s="11" t="inlineStr">
        <is>
          <t>ACT_GPD_FIT</t>
        </is>
      </c>
      <c r="B59">
        <f>ACT_GPD_FIT({1,2,3,4,5})</f>
        <v/>
      </c>
      <c r="C59" t="inlineStr">
        <is>
          <t>MLE ξ,σ</t>
        </is>
      </c>
    </row>
    <row r="61">
      <c r="A61" s="13" t="inlineStr">
        <is>
          <t>Burr XII (c=2, k=3, λ=1)</t>
        </is>
      </c>
    </row>
    <row r="62">
      <c r="A62" s="11" t="inlineStr">
        <is>
          <t>ACT_BURR_PDF</t>
        </is>
      </c>
      <c r="B62">
        <f>ACT_BURR_PDF(1, 2, 3, 1)</f>
        <v/>
      </c>
      <c r="C62" t="inlineStr">
        <is>
          <t>f(1)</t>
        </is>
      </c>
    </row>
    <row r="63">
      <c r="A63" s="11" t="inlineStr">
        <is>
          <t>ACT_BURR_CDF</t>
        </is>
      </c>
      <c r="B63">
        <f>ACT_BURR_CDF(1, 2, 3, 1)</f>
        <v/>
      </c>
      <c r="C63" t="inlineStr">
        <is>
          <t>F(1)</t>
        </is>
      </c>
    </row>
    <row r="64">
      <c r="A64" s="11" t="inlineStr">
        <is>
          <t>ACT_BURR_INV</t>
        </is>
      </c>
      <c r="B64">
        <f>ACT_BURR_INV(0.5, 2, 3, 1)</f>
        <v/>
      </c>
      <c r="C64" t="inlineStr">
        <is>
          <t>Median</t>
        </is>
      </c>
    </row>
    <row r="65">
      <c r="A65" s="11" t="inlineStr">
        <is>
          <t>ACT_BURR_FIT</t>
        </is>
      </c>
      <c r="B65">
        <f>ACT_BURR_FIT({0.5,1,1.5,2,3})</f>
        <v/>
      </c>
      <c r="C65" t="inlineStr">
        <is>
          <t>MLE c,k,λ</t>
        </is>
      </c>
    </row>
    <row r="67">
      <c r="A67" s="13" t="inlineStr">
        <is>
          <t>EXPOSURE CURVES</t>
        </is>
      </c>
    </row>
    <row r="69">
      <c r="A69" s="11" t="inlineStr">
        <is>
          <t>ACT_MBBEFD</t>
        </is>
      </c>
      <c r="B69">
        <f>ACT_MBBEFD(0.5, 2, 3)</f>
        <v/>
      </c>
      <c r="C69" t="inlineStr">
        <is>
          <t>MBBEFD at d=0.5, b=2, g=3</t>
        </is>
      </c>
    </row>
    <row r="70">
      <c r="A70" s="11" t="inlineStr">
        <is>
          <t>ACT_SWISSRE_CURVE</t>
        </is>
      </c>
      <c r="B70">
        <f>ACT_SWISSRE_CURVE(0.5, 1)</f>
        <v/>
      </c>
      <c r="C70" t="inlineStr">
        <is>
          <t>Swiss Re curve 1 (light)</t>
        </is>
      </c>
    </row>
    <row r="71">
      <c r="A71" s="11" t="inlineStr">
        <is>
          <t>ACT_SWISSRE_CURVE</t>
        </is>
      </c>
      <c r="B71">
        <f>ACT_SWISSRE_CURVE(0.5, 3)</f>
        <v/>
      </c>
      <c r="C71" t="inlineStr">
        <is>
          <t>Swiss Re curve 3 (medium)</t>
        </is>
      </c>
    </row>
    <row r="72">
      <c r="A72" s="11" t="inlineStr">
        <is>
          <t>ACT_SWISSRE_CURVE</t>
        </is>
      </c>
      <c r="B72">
        <f>ACT_SWISSRE_CURVE(0.5, 5)</f>
        <v/>
      </c>
      <c r="C72" t="inlineStr">
        <is>
          <t>Swiss Re curve 5 (heavy)</t>
        </is>
      </c>
    </row>
    <row r="73">
      <c r="A73" s="11" t="inlineStr">
        <is>
          <t>ACT_LLOYDS_CURVE</t>
        </is>
      </c>
      <c r="B73">
        <f>ACT_LLOYDS_CURVE(0.5, 1)</f>
        <v/>
      </c>
      <c r="C73" t="inlineStr">
        <is>
          <t>Lloyd's Y1 curve</t>
        </is>
      </c>
    </row>
    <row r="74">
      <c r="A74" s="11" t="inlineStr">
        <is>
          <t>ACT_LLOYDS_CURVE</t>
        </is>
      </c>
      <c r="B74">
        <f>ACT_LLOYDS_CURVE(0.5, 2)</f>
        <v/>
      </c>
      <c r="C74" t="inlineStr">
        <is>
          <t>Lloyd's Y2 curve</t>
        </is>
      </c>
    </row>
    <row r="75">
      <c r="A75" s="11" t="inlineStr">
        <is>
          <t>ACT_LLOYDS_CURVE</t>
        </is>
      </c>
      <c r="B75">
        <f>ACT_LLOYDS_CURVE(0.5, 3)</f>
        <v/>
      </c>
      <c r="C75" t="inlineStr">
        <is>
          <t>Lloyd's Y3 curve</t>
        </is>
      </c>
    </row>
    <row r="76">
      <c r="A76" s="11" t="inlineStr">
        <is>
          <t>ACT_LLOYDS_CURVE</t>
        </is>
      </c>
      <c r="B76">
        <f>ACT_LLOYDS_CURVE(0.5, 4)</f>
        <v/>
      </c>
      <c r="C76" t="inlineStr">
        <is>
          <t>Lloyd's Y4 curve</t>
        </is>
      </c>
    </row>
    <row r="77">
      <c r="A77" s="11" t="inlineStr">
        <is>
          <t>ACT_POWER_CURVE</t>
        </is>
      </c>
      <c r="B77">
        <f>ACT_POWER_CURVE(0.5, 2)</f>
        <v/>
      </c>
      <c r="C77" t="inlineStr">
        <is>
          <t>Power curve n=2</t>
        </is>
      </c>
    </row>
    <row r="78">
      <c r="A78" s="11" t="inlineStr">
        <is>
          <t>ACT_INVERSE_POWER_CURVE</t>
        </is>
      </c>
      <c r="B78">
        <f>ACT_INVERSE_POWER_CURVE(0.5, 2)</f>
        <v/>
      </c>
      <c r="C78" t="inlineStr">
        <is>
          <t>Inverse power n=2</t>
        </is>
      </c>
    </row>
    <row r="79">
      <c r="A79" s="11" t="inlineStr">
        <is>
          <t>ACT_PARETO_EXPOSURE</t>
        </is>
      </c>
      <c r="B79">
        <f>ACT_PARETO_EXPOSURE(0.5, 2)</f>
        <v/>
      </c>
      <c r="C79" t="inlineStr">
        <is>
          <t>Pareto exposure α=2</t>
        </is>
      </c>
    </row>
    <row r="80">
      <c r="A80" s="11" t="inlineStr">
        <is>
          <t>ACT_RIEBESELL_CURVE</t>
        </is>
      </c>
      <c r="B80">
        <f>ACT_RIEBESELL_CURVE(0.5, 0.8)</f>
        <v/>
      </c>
      <c r="C80" t="inlineStr">
        <is>
          <t>Riebesell c=0.8</t>
        </is>
      </c>
    </row>
    <row r="81">
      <c r="A81" s="11" t="inlineStr">
        <is>
          <t>ACT_RIEBESELL_CURVE_INV</t>
        </is>
      </c>
      <c r="B81">
        <f>ACT_RIEBESELL_CURVE_INV(0.7, 0.8)</f>
        <v/>
      </c>
      <c r="C81" t="inlineStr">
        <is>
          <t>Inverse Riebesell</t>
        </is>
      </c>
    </row>
    <row r="83">
      <c r="A83" s="13" t="inlineStr">
        <is>
          <t>REINSURANCE</t>
        </is>
      </c>
    </row>
    <row r="85">
      <c r="A85" s="11" t="inlineStr">
        <is>
          <t>ACT_XOL_LAYER_LOSS</t>
        </is>
      </c>
      <c r="B85">
        <f>ACT_XOL_LAYER_LOSS(5000000, 1000000, 4000000)</f>
        <v/>
      </c>
      <c r="C85" t="inlineStr">
        <is>
          <t>Layer loss: 5M ground-up, 4M xs 1M</t>
        </is>
      </c>
    </row>
    <row r="86">
      <c r="A86" s="11" t="inlineStr">
        <is>
          <t>ACT_XOL_EXPECTED_LOSS</t>
        </is>
      </c>
      <c r="B86">
        <f>ACT_XOL_EXPECTED_LOSS(1000000, 4000000, 2, 100000, 0.1)</f>
        <v/>
      </c>
      <c r="C86" t="inlineStr">
        <is>
          <t>Expected layer loss</t>
        </is>
      </c>
    </row>
    <row r="87">
      <c r="A87" s="11" t="inlineStr">
        <is>
          <t>ACT_QS_CEDED</t>
        </is>
      </c>
      <c r="B87">
        <f>ACT_QS_CEDED(1000000, 0.5)</f>
        <v/>
      </c>
      <c r="C87" t="inlineStr">
        <is>
          <t>50% quota share</t>
        </is>
      </c>
    </row>
    <row r="88">
      <c r="A88" s="11" t="inlineStr">
        <is>
          <t>ACT_AGGREGATE_LAYER</t>
        </is>
      </c>
      <c r="B88">
        <f>ACT_AGGREGATE_LAYER(15000000, 2000000, 10000000)</f>
        <v/>
      </c>
      <c r="C88" t="inlineStr">
        <is>
          <t>Aggregate: 10M xs 2M AAD</t>
        </is>
      </c>
    </row>
    <row r="89">
      <c r="A89" s="11" t="inlineStr">
        <is>
          <t>ACT_ILF_PARETO</t>
        </is>
      </c>
      <c r="B89">
        <f>ACT_ILF_PARETO(2000000, 1000000, 2)</f>
        <v/>
      </c>
      <c r="C89" t="inlineStr">
        <is>
          <t>ILF at 2M, base 1M, α=2</t>
        </is>
      </c>
    </row>
    <row r="90">
      <c r="A90" s="11" t="inlineStr">
        <is>
          <t>ACT_LAYER_RATE_ON_LINE</t>
        </is>
      </c>
      <c r="B90">
        <f>ACT_LAYER_RATE_ON_LINE(100000, 1000000, 4000000)</f>
        <v/>
      </c>
      <c r="C90" t="inlineStr">
        <is>
          <t>Rate on line</t>
        </is>
      </c>
    </row>
    <row r="92">
      <c r="A92" s="13" t="inlineStr">
        <is>
          <t>Return Period Functions</t>
        </is>
      </c>
    </row>
    <row r="93">
      <c r="A93" s="11" t="inlineStr">
        <is>
          <t>ACT_RETURN_PERIOD_LOSS</t>
        </is>
      </c>
      <c r="B93">
        <f>ACT_RETURN_PERIOD_LOSS({100,50,25,10,5}, {1000000,2000000,3000000,5000000,10000000}, 20, "LOG")</f>
        <v/>
      </c>
      <c r="C93" t="inlineStr">
        <is>
          <t>20-year loss</t>
        </is>
      </c>
    </row>
    <row r="94">
      <c r="A94" s="11" t="inlineStr">
        <is>
          <t>ACT_RETURN_PERIOD_TABLE</t>
        </is>
      </c>
      <c r="B94">
        <f>ACT_RETURN_PERIOD_TABLE({100,50,25,10,5}, {1000000,2000000,3000000,5000000,10000000}, {10,25,50,100})</f>
        <v/>
      </c>
      <c r="C94" t="inlineStr">
        <is>
          <t>RP table (array)</t>
        </is>
      </c>
    </row>
    <row r="95">
      <c r="A95" s="11" t="inlineStr">
        <is>
          <t>ACT_AAL_FROM_OEP</t>
        </is>
      </c>
      <c r="B95">
        <f>ACT_AAL_FROM_OEP({100,50,25,10,5}, {1000000,2000000,3000000,5000000,10000000})</f>
        <v/>
      </c>
      <c r="C95" t="inlineStr">
        <is>
          <t>AAL from OEP curve</t>
        </is>
      </c>
    </row>
    <row r="97">
      <c r="A97" s="13" t="inlineStr">
        <is>
          <t>INTERPOLATION</t>
        </is>
      </c>
    </row>
    <row r="99">
      <c r="A99" s="11" t="inlineStr">
        <is>
          <t>ACT_INTERP</t>
        </is>
      </c>
      <c r="B99">
        <f>ACT_INTERP({1,2,3,4,5}, {10,20,35,55,80}, 2.5, "LINEAR")</f>
        <v/>
      </c>
      <c r="C99" t="inlineStr">
        <is>
          <t>Linear interpolation</t>
        </is>
      </c>
    </row>
    <row r="100">
      <c r="A100" s="11" t="inlineStr">
        <is>
          <t>ACT_INTERP</t>
        </is>
      </c>
      <c r="B100">
        <f>ACT_INTERP({1,2,3,4,5}, {10,20,35,55,80}, 0.5, "FLAT")</f>
        <v/>
      </c>
      <c r="C100" t="inlineStr">
        <is>
          <t>Flat extrapolation</t>
        </is>
      </c>
    </row>
    <row r="101">
      <c r="A101" s="11" t="inlineStr">
        <is>
          <t>ACT_INTERP</t>
        </is>
      </c>
      <c r="B101">
        <f>ACT_INTERP({1,2,3,4,5}, {10,20,35,55,80}, 6, "GRADIENT")</f>
        <v/>
      </c>
      <c r="C101" t="inlineStr">
        <is>
          <t>Gradient extrapolation</t>
        </is>
      </c>
    </row>
    <row r="102">
      <c r="A102" s="11" t="inlineStr">
        <is>
          <t>ACT_INTERP_LOG</t>
        </is>
      </c>
      <c r="B102">
        <f>ACT_INTERP_LOG({1,2,3,4,5}, {10,20,35,55,80}, 2.5)</f>
        <v/>
      </c>
      <c r="C102" t="inlineStr">
        <is>
          <t>Log-linear interpolation</t>
        </is>
      </c>
    </row>
    <row r="103">
      <c r="A103" s="11" t="inlineStr">
        <is>
          <t>ACT_INTERP2D</t>
        </is>
      </c>
      <c r="B103">
        <f>ACT_INTERP2D({1,2,3}, {10,20,30}, {100,200,300;110,220,330;120,240,360}, 1.5, 15)</f>
        <v/>
      </c>
      <c r="C103" t="inlineStr">
        <is>
          <t>2D bilinear interpolation</t>
        </is>
      </c>
    </row>
    <row r="105">
      <c r="A105" s="13" t="inlineStr">
        <is>
          <t>CREDIBILITY - Bühlmann</t>
        </is>
      </c>
    </row>
    <row r="107">
      <c r="A107" s="11" t="inlineStr">
        <is>
          <t>ACT_CREDIBILITY_BUHLMANN</t>
        </is>
      </c>
      <c r="B107">
        <f>ACT_CREDIBILITY_BUHLMANN(10, 5)</f>
        <v/>
      </c>
      <c r="C107" t="inlineStr">
        <is>
          <t>Z = n/(n+k) = 10/15</t>
        </is>
      </c>
    </row>
    <row r="108">
      <c r="A108" s="11" t="inlineStr">
        <is>
          <t>ACT_CREDIBILITY_ESTIMATE</t>
        </is>
      </c>
      <c r="B108">
        <f>ACT_CREDIBILITY_ESTIMATE(10, 5, 0.05, 0.03)</f>
        <v/>
      </c>
      <c r="C108" t="inlineStr">
        <is>
          <t>Blended estimate</t>
        </is>
      </c>
    </row>
    <row r="109">
      <c r="A109" s="11" t="inlineStr">
        <is>
          <t>ACT_CREDIBILITY_K</t>
        </is>
      </c>
      <c r="B109">
        <f>ACT_CREDIBILITY_K({0.05,0.06,0.04}, {100,150,120})</f>
        <v/>
      </c>
      <c r="C109" t="inlineStr">
        <is>
          <t>Estimate k from data</t>
        </is>
      </c>
    </row>
    <row r="110">
      <c r="A110" s="11" t="inlineStr">
        <is>
          <t>ACT_CREDIBILITY_BUHLMANN_STRAUB</t>
        </is>
      </c>
      <c r="B110">
        <f>ACT_CREDIBILITY_BUHLMANN_STRAUB(1000, 500)</f>
        <v/>
      </c>
      <c r="C110" t="inlineStr">
        <is>
          <t>B-S credibility</t>
        </is>
      </c>
    </row>
    <row r="111">
      <c r="A111" s="11" t="inlineStr">
        <is>
          <t>ACT_BUHLMANN_STRAUB_PARAMS</t>
        </is>
      </c>
      <c r="B111">
        <f>ACT_BUHLMANN_STRAUB_PARAMS({0.05,0.06,0.04;0.055,0.058,0.045}, {100,150,120;110,140,130})</f>
        <v/>
      </c>
      <c r="C111" t="inlineStr">
        <is>
          <t>B-S parameters (array)</t>
        </is>
      </c>
    </row>
    <row r="113">
      <c r="A113" s="13" t="inlineStr">
        <is>
          <t>CREDIBILITY - Experience Rating</t>
        </is>
      </c>
    </row>
    <row r="114">
      <c r="A114" s="11" t="inlineStr">
        <is>
          <t>ACT_EXPERIENCE_MOD</t>
        </is>
      </c>
      <c r="B114">
        <f>ACT_EXPERIENCE_MOD(0.7, 50000, 70000)</f>
        <v/>
      </c>
      <c r="C114" t="inlineStr">
        <is>
          <t>Experience mod factor</t>
        </is>
      </c>
    </row>
    <row r="115">
      <c r="A115" s="11" t="inlineStr">
        <is>
          <t>ACT_EXPERIENCE_MOD_SPLIT</t>
        </is>
      </c>
      <c r="B115">
        <f>ACT_EXPERIENCE_MOD_SPLIT(0.7, 50000, 70000, 25000, 0.3)</f>
        <v/>
      </c>
      <c r="C115" t="inlineStr">
        <is>
          <t>Split plan exp mod</t>
        </is>
      </c>
    </row>
    <row r="117">
      <c r="A117" s="13" t="inlineStr">
        <is>
          <t>CREDIBILITY - Full/Partial</t>
        </is>
      </c>
    </row>
    <row r="118">
      <c r="A118" s="11" t="inlineStr">
        <is>
          <t>ACT_FULL_CREDIBILITY_STANDARD</t>
        </is>
      </c>
      <c r="B118">
        <f>ACT_FULL_CREDIBILITY_STANDARD(0.05, 0.90, 1.5)</f>
        <v/>
      </c>
      <c r="C118" t="inlineStr">
        <is>
          <t>Full cred standard n₀</t>
        </is>
      </c>
    </row>
    <row r="119">
      <c r="A119" s="11" t="inlineStr">
        <is>
          <t>ACT_PARTIAL_CREDIBILITY</t>
        </is>
      </c>
      <c r="B119">
        <f>ACT_PARTIAL_CREDIBILITY(500, 1082)</f>
        <v/>
      </c>
      <c r="C119" t="inlineStr">
        <is>
          <t>Partial cred (sqrt rule)</t>
        </is>
      </c>
    </row>
    <row r="120">
      <c r="A120" s="11" t="inlineStr">
        <is>
          <t>ACT_LINEAR_CREDIBILITY</t>
        </is>
      </c>
      <c r="B120">
        <f>ACT_LINEAR_CREDIBILITY(500, 1082)</f>
        <v/>
      </c>
      <c r="C120" t="inlineStr">
        <is>
          <t>Linear credibility</t>
        </is>
      </c>
    </row>
    <row r="121">
      <c r="A121" s="11" t="inlineStr">
        <is>
          <t>ACT_ASYMPTOTIC_CREDIBILITY</t>
        </is>
      </c>
      <c r="B121">
        <f>ACT_ASYMPTOTIC_CREDIBILITY(10, 5, 0.5)</f>
        <v/>
      </c>
      <c r="C121" t="inlineStr">
        <is>
          <t>Asymptotic cred</t>
        </is>
      </c>
    </row>
    <row r="123">
      <c r="A123" s="13" t="inlineStr">
        <is>
          <t>CREDIBILITY - ILF</t>
        </is>
      </c>
    </row>
    <row r="124">
      <c r="A124" s="11" t="inlineStr">
        <is>
          <t>ACT_ILF_LAYER</t>
        </is>
      </c>
      <c r="B124">
        <f>ACT_ILF_LAYER(1000000, 4000000, 100000, 2)</f>
        <v/>
      </c>
      <c r="C124" t="inlineStr">
        <is>
          <t>Layer ILF</t>
        </is>
      </c>
    </row>
    <row r="125">
      <c r="A125" s="11" t="inlineStr">
        <is>
          <t>ACT_ILF_TABLE</t>
        </is>
      </c>
      <c r="B125">
        <f>ACT_ILF_TABLE(100000, {250000,500000,1000000,2000000}, 2)</f>
        <v/>
      </c>
      <c r="C125" t="inlineStr">
        <is>
          <t>ILF table (array)</t>
        </is>
      </c>
    </row>
    <row r="126">
      <c r="A126" s="11" t="inlineStr">
        <is>
          <t>ACT_ILF_TABLE_STANDARD</t>
        </is>
      </c>
      <c r="B126">
        <f>ACT_ILF_TABLE_STANDARD(100000, 5000000, 2)</f>
        <v/>
      </c>
      <c r="C126" t="inlineStr">
        <is>
          <t>Standard ILF table (array)</t>
        </is>
      </c>
    </row>
    <row r="128">
      <c r="A128" s="13" t="inlineStr">
        <is>
          <t>CREDIBILITY - Deductibles</t>
        </is>
      </c>
    </row>
    <row r="129">
      <c r="A129" s="11" t="inlineStr">
        <is>
          <t>ACT_LOSS_ELIMINATION_RATIO</t>
        </is>
      </c>
      <c r="B129">
        <f>ACT_LOSS_ELIMINATION_RATIO(10000, 2, 1000)</f>
        <v/>
      </c>
      <c r="C129" t="inlineStr">
        <is>
          <t>LER Pareto</t>
        </is>
      </c>
    </row>
    <row r="130">
      <c r="A130" s="11" t="inlineStr">
        <is>
          <t>ACT_LOSS_ELIMINATION_RATIO_LOGNORMAL</t>
        </is>
      </c>
      <c r="B130">
        <f>ACT_LOSS_ELIMINATION_RATIO_LOGNORMAL(10000, 10, 1)</f>
        <v/>
      </c>
      <c r="C130" t="inlineStr">
        <is>
          <t>LER Lognormal</t>
        </is>
      </c>
    </row>
    <row r="131">
      <c r="A131" s="11" t="inlineStr">
        <is>
          <t>ACT_DEDUCTIBLE_CREDIT</t>
        </is>
      </c>
      <c r="B131">
        <f>ACT_DEDUCTIBLE_CREDIT(10000, 2, 1000)</f>
        <v/>
      </c>
      <c r="C131" t="inlineStr">
        <is>
          <t>Deductible credit</t>
        </is>
      </c>
    </row>
    <row r="132">
      <c r="A132" s="11" t="inlineStr">
        <is>
          <t>ACT_PREMIUM_WITH_DEDUCTIBLE</t>
        </is>
      </c>
      <c r="B132">
        <f>ACT_PREMIUM_WITH_DEDUCTIBLE(100000, 10000, 2, 1000)</f>
        <v/>
      </c>
      <c r="C132" t="inlineStr">
        <is>
          <t>Premium with deductible</t>
        </is>
      </c>
    </row>
    <row r="134">
      <c r="A134" s="13" t="inlineStr">
        <is>
          <t>CREDIBILITY - Loading</t>
        </is>
      </c>
    </row>
    <row r="135">
      <c r="A135" s="11" t="inlineStr">
        <is>
          <t>ACT_LARGE_LOSS_LOAD</t>
        </is>
      </c>
      <c r="B135">
        <f>ACT_LARGE_LOSS_LOAD(0.1, 500000, 100000)</f>
        <v/>
      </c>
      <c r="C135" t="inlineStr">
        <is>
          <t>Large loss loading</t>
        </is>
      </c>
    </row>
    <row r="136">
      <c r="A136" s="11" t="inlineStr">
        <is>
          <t>ACT_SHOCK_LOSS_LOAD</t>
        </is>
      </c>
      <c r="B136">
        <f>ACT_SHOCK_LOSS_LOAD(0.01, 10000000, 100000)</f>
        <v/>
      </c>
      <c r="C136" t="inlineStr">
        <is>
          <t>Shock loss loading</t>
        </is>
      </c>
    </row>
    <row r="138">
      <c r="A138" s="13" t="inlineStr">
        <is>
          <t>CREDIBILITY - Burning Cost</t>
        </is>
      </c>
    </row>
    <row r="139">
      <c r="A139" s="11" t="inlineStr">
        <is>
          <t>ACT_BURNING_COST</t>
        </is>
      </c>
      <c r="B139">
        <f>ACT_BURNING_COST({50000,60000,40000}, {1000000,1100000,1050000})</f>
        <v/>
      </c>
      <c r="C139" t="inlineStr">
        <is>
          <t>Burning cost</t>
        </is>
      </c>
    </row>
    <row r="140">
      <c r="A140" s="11" t="inlineStr">
        <is>
          <t>ACT_CREDIBILITY_RATE</t>
        </is>
      </c>
      <c r="B140">
        <f>ACT_CREDIBILITY_RATE(0.05, 0.03, 0.6)</f>
        <v/>
      </c>
      <c r="C140" t="inlineStr">
        <is>
          <t>Credibility-weighted rate</t>
        </is>
      </c>
    </row>
    <row r="141">
      <c r="A141" s="11" t="inlineStr">
        <is>
          <t>ACT_COMPOSITE_RATE</t>
        </is>
      </c>
      <c r="B141">
        <f>ACT_COMPOSITE_RATE({0.05,0.06,0.04}, {0.5,0.3,0.2})</f>
        <v/>
      </c>
      <c r="C141" t="inlineStr">
        <is>
          <t>Composite rate</t>
        </is>
      </c>
    </row>
    <row r="142">
      <c r="A142" s="11" t="inlineStr">
        <is>
          <t>ACT_MULTIYEAR_CREDIBILITY</t>
        </is>
      </c>
      <c r="B142">
        <f>ACT_MULTIYEAR_CREDIBILITY(3, 100, 0.5)</f>
        <v/>
      </c>
      <c r="C142" t="inlineStr">
        <is>
          <t>Multi-year credibility</t>
        </is>
      </c>
    </row>
    <row r="144">
      <c r="A144" s="13" t="inlineStr">
        <is>
          <t>CREDIBILITY - Schedule Rating</t>
        </is>
      </c>
    </row>
    <row r="145">
      <c r="A145" s="11" t="inlineStr">
        <is>
          <t>ACT_SCHEDULE_RATING</t>
        </is>
      </c>
      <c r="B145">
        <f>ACT_SCHEDULE_RATING(100000, {0.1,-0.05,0.15})</f>
        <v/>
      </c>
      <c r="C145" t="inlineStr">
        <is>
          <t>Schedule rating</t>
        </is>
      </c>
    </row>
    <row r="146">
      <c r="A146" s="11" t="inlineStr">
        <is>
          <t>ACT_SCHEDULE_RATING_CAPPED</t>
        </is>
      </c>
      <c r="B146">
        <f>ACT_SCHEDULE_RATING_CAPPED(100000, {0.1,-0.05,0.15}, {0.15,0.1,0.2})</f>
        <v/>
      </c>
      <c r="C146" t="inlineStr">
        <is>
          <t>Capped schedule rating</t>
        </is>
      </c>
    </row>
    <row r="148">
      <c r="A148" s="13" t="inlineStr">
        <is>
          <t>CREDIBILITY - Retrospective</t>
        </is>
      </c>
    </row>
    <row r="149">
      <c r="A149" s="11" t="inlineStr">
        <is>
          <t>ACT_RETRO_PREMIUM</t>
        </is>
      </c>
      <c r="B149">
        <f>ACT_RETRO_PREMIUM(100000, 50000, 0.3, 1.1, 0.6, 1.2, 1.03)</f>
        <v/>
      </c>
      <c r="C149" t="inlineStr">
        <is>
          <t>Retro premium</t>
        </is>
      </c>
    </row>
    <row r="150">
      <c r="A150" s="11" t="inlineStr">
        <is>
          <t>ACT_RETRO_PARAMETERS</t>
        </is>
      </c>
      <c r="B150">
        <f>ACT_RETRO_PARAMETERS(0.6, 1.2, 0.05, 1.1)</f>
        <v/>
      </c>
      <c r="C150" t="inlineStr">
        <is>
          <t>Retro parameters (array)</t>
        </is>
      </c>
    </row>
    <row r="151">
      <c r="A151" s="11" t="inlineStr">
        <is>
          <t>ACT_RETRO_LOSS_LIMIT_CREDIT</t>
        </is>
      </c>
      <c r="B151">
        <f>ACT_RETRO_LOSS_LIMIT_CREDIT(250000, 100000, 2, 1000)</f>
        <v/>
      </c>
      <c r="C151" t="inlineStr">
        <is>
          <t>Loss limit credit</t>
        </is>
      </c>
    </row>
    <row r="153">
      <c r="A153" s="13" t="inlineStr">
        <is>
          <t>CREDIBILITY - Bayesian</t>
        </is>
      </c>
    </row>
    <row r="154">
      <c r="A154" s="11" t="inlineStr">
        <is>
          <t>ACT_BAYESIAN_UPDATE</t>
        </is>
      </c>
      <c r="B154">
        <f>ACT_BAYESIAN_UPDATE(0.05, 0.01, 0.06, 0.005)</f>
        <v/>
      </c>
      <c r="C154" t="inlineStr">
        <is>
          <t>Bayesian posterior mean</t>
        </is>
      </c>
    </row>
    <row r="155">
      <c r="A155" s="11" t="inlineStr">
        <is>
          <t>ACT_BAYESIAN_UPDATE_FULL</t>
        </is>
      </c>
      <c r="B155">
        <f>ACT_BAYESIAN_UPDATE_FULL(0.05, 0.01, 0.06, 0.005)</f>
        <v/>
      </c>
      <c r="C155" t="inlineStr">
        <is>
          <t>Posterior mean &amp; var (array)</t>
        </is>
      </c>
    </row>
    <row r="157">
      <c r="A157" s="13" t="inlineStr">
        <is>
          <t>CREDIBILITY - Poisson</t>
        </is>
      </c>
    </row>
    <row r="158">
      <c r="A158" s="11" t="inlineStr">
        <is>
          <t>ACT_CREDIBILITY_POISSON</t>
        </is>
      </c>
      <c r="B158">
        <f>ACT_CREDIBILITY_POISSON(10, 5, 2)</f>
        <v/>
      </c>
      <c r="C158" t="inlineStr">
        <is>
          <t>Poisson credibility</t>
        </is>
      </c>
    </row>
    <row r="159">
      <c r="A159" s="11" t="inlineStr">
        <is>
          <t>ACT_FREQUENCY_ESTIMATE</t>
        </is>
      </c>
      <c r="B159">
        <f>ACT_FREQUENCY_ESTIMATE(10, 1000, 5, 2, 0.005)</f>
        <v/>
      </c>
      <c r="C159" t="inlineStr">
        <is>
          <t>Credibility frequency est</t>
        </is>
      </c>
    </row>
    <row r="161">
      <c r="A161" s="13" t="inlineStr">
        <is>
          <t>COPULAS - Gaussian</t>
        </is>
      </c>
    </row>
    <row r="163">
      <c r="A163" s="11" t="inlineStr">
        <is>
          <t>ACT_COPULA_GAUSSIAN</t>
        </is>
      </c>
      <c r="B163">
        <f>ACT_COPULA_GAUSSIAN({1,0.5;0.5,1}, 5, 42)</f>
        <v/>
      </c>
      <c r="C163" t="inlineStr">
        <is>
          <t>Gaussian copula samples (array)</t>
        </is>
      </c>
    </row>
    <row r="164">
      <c r="A164" s="11" t="inlineStr">
        <is>
          <t>ACT_COPULA_GAUSSIAN_SINGLE</t>
        </is>
      </c>
      <c r="B164">
        <f>ACT_COPULA_GAUSSIAN_SINGLE({1,0.5;0.5,1}, 42)</f>
        <v/>
      </c>
      <c r="C164" t="inlineStr">
        <is>
          <t>Single Gaussian sample</t>
        </is>
      </c>
    </row>
    <row r="166">
      <c r="A166" s="13" t="inlineStr">
        <is>
          <t>COPULAS - Student-t</t>
        </is>
      </c>
    </row>
    <row r="167">
      <c r="A167" s="11" t="inlineStr">
        <is>
          <t>ACT_COPULA_STUDENT_T</t>
        </is>
      </c>
      <c r="B167">
        <f>ACT_COPULA_STUDENT_T({1,0.5;0.5,1}, 5, 5, 42)</f>
        <v/>
      </c>
      <c r="C167" t="inlineStr">
        <is>
          <t>Student-t copula (array)</t>
        </is>
      </c>
    </row>
    <row r="168">
      <c r="A168" s="11" t="inlineStr">
        <is>
          <t>ACT_COPULA_STUDENT_T_SINGLE</t>
        </is>
      </c>
      <c r="B168">
        <f>ACT_COPULA_STUDENT_T_SINGLE({1,0.5;0.5,1}, 5, 42)</f>
        <v/>
      </c>
      <c r="C168" t="inlineStr">
        <is>
          <t>Single Student-t sample</t>
        </is>
      </c>
    </row>
    <row r="170">
      <c r="A170" s="13" t="inlineStr">
        <is>
          <t>COPULAS - Clayton (lower tail)</t>
        </is>
      </c>
    </row>
    <row r="171">
      <c r="A171" s="11" t="inlineStr">
        <is>
          <t>ACT_COPULA_CLAYTON</t>
        </is>
      </c>
      <c r="B171">
        <f>ACT_COPULA_CLAYTON(2, 5, 42)</f>
        <v/>
      </c>
      <c r="C171" t="inlineStr">
        <is>
          <t>Clayton copula (array)</t>
        </is>
      </c>
    </row>
    <row r="172">
      <c r="A172" s="11" t="inlineStr">
        <is>
          <t>ACT_COPULA_CLAYTON_SINGLE</t>
        </is>
      </c>
      <c r="B172">
        <f>ACT_COPULA_CLAYTON_SINGLE(2, 42)</f>
        <v/>
      </c>
      <c r="C172" t="inlineStr">
        <is>
          <t>Single Clayton sample</t>
        </is>
      </c>
    </row>
    <row r="173">
      <c r="A173" s="11" t="inlineStr">
        <is>
          <t>ACT_COPULA_CLAYTON_CDF</t>
        </is>
      </c>
      <c r="B173">
        <f>ACT_COPULA_CLAYTON_CDF(0.5, 0.5, 2)</f>
        <v/>
      </c>
      <c r="C173" t="inlineStr">
        <is>
          <t>Clayton CDF</t>
        </is>
      </c>
    </row>
    <row r="175">
      <c r="A175" s="13" t="inlineStr">
        <is>
          <t>COPULAS - Frank (symmetric)</t>
        </is>
      </c>
    </row>
    <row r="176">
      <c r="A176" s="11" t="inlineStr">
        <is>
          <t>ACT_COPULA_FRANK</t>
        </is>
      </c>
      <c r="B176">
        <f>ACT_COPULA_FRANK(5, 5, 42)</f>
        <v/>
      </c>
      <c r="C176" t="inlineStr">
        <is>
          <t>Frank copula (array)</t>
        </is>
      </c>
    </row>
    <row r="177">
      <c r="A177" s="11" t="inlineStr">
        <is>
          <t>ACT_COPULA_FRANK_SINGLE</t>
        </is>
      </c>
      <c r="B177">
        <f>ACT_COPULA_FRANK_SINGLE(5, 42)</f>
        <v/>
      </c>
      <c r="C177" t="inlineStr">
        <is>
          <t>Single Frank sample</t>
        </is>
      </c>
    </row>
    <row r="178">
      <c r="A178" s="11" t="inlineStr">
        <is>
          <t>ACT_COPULA_FRANK_CDF</t>
        </is>
      </c>
      <c r="B178">
        <f>ACT_COPULA_FRANK_CDF(0.5, 0.5, 5)</f>
        <v/>
      </c>
      <c r="C178" t="inlineStr">
        <is>
          <t>Frank CDF</t>
        </is>
      </c>
    </row>
    <row r="180">
      <c r="A180" s="13" t="inlineStr">
        <is>
          <t>COPULAS - Gumbel (upper tail)</t>
        </is>
      </c>
    </row>
    <row r="181">
      <c r="A181" s="11" t="inlineStr">
        <is>
          <t>ACT_COPULA_GUMBEL</t>
        </is>
      </c>
      <c r="B181">
        <f>ACT_COPULA_GUMBEL(2, 5, 42)</f>
        <v/>
      </c>
      <c r="C181" t="inlineStr">
        <is>
          <t>Gumbel copula (array)</t>
        </is>
      </c>
    </row>
    <row r="182">
      <c r="A182" s="11" t="inlineStr">
        <is>
          <t>ACT_COPULA_GUMBEL_SINGLE</t>
        </is>
      </c>
      <c r="B182">
        <f>ACT_COPULA_GUMBEL_SINGLE(2, 42)</f>
        <v/>
      </c>
      <c r="C182" t="inlineStr">
        <is>
          <t>Single Gumbel sample</t>
        </is>
      </c>
    </row>
    <row r="183">
      <c r="A183" s="11" t="inlineStr">
        <is>
          <t>ACT_COPULA_GUMBEL_CDF</t>
        </is>
      </c>
      <c r="B183">
        <f>ACT_COPULA_GUMBEL_CDF(0.5, 0.5, 2)</f>
        <v/>
      </c>
      <c r="C183" t="inlineStr">
        <is>
          <t>Gumbel CDF</t>
        </is>
      </c>
    </row>
    <row r="185">
      <c r="A185" s="13" t="inlineStr">
        <is>
          <t>COPULAS - Utilities</t>
        </is>
      </c>
    </row>
    <row r="186">
      <c r="A186" s="11" t="inlineStr">
        <is>
          <t>ACT_COPULA_TAU_TO_THETA</t>
        </is>
      </c>
      <c r="B186">
        <f>ACT_COPULA_TAU_TO_THETA(0.5, "CLAYTON")</f>
        <v/>
      </c>
      <c r="C186" t="inlineStr">
        <is>
          <t>Kendall τ → θ</t>
        </is>
      </c>
    </row>
    <row r="187">
      <c r="A187" s="11" t="inlineStr">
        <is>
          <t>ACT_COPULA_TAIL_LOWER</t>
        </is>
      </c>
      <c r="B187">
        <f>ACT_COPULA_TAIL_LOWER("CLAYTON", 2)</f>
        <v/>
      </c>
      <c r="C187" t="inlineStr">
        <is>
          <t>Lower tail dependence</t>
        </is>
      </c>
    </row>
    <row r="188">
      <c r="A188" s="11" t="inlineStr">
        <is>
          <t>ACT_COPULA_TAIL_UPPER</t>
        </is>
      </c>
      <c r="B188">
        <f>ACT_COPULA_TAIL_UPPER("GUMBEL", 2)</f>
        <v/>
      </c>
      <c r="C188" t="inlineStr">
        <is>
          <t>Upper tail dependence</t>
        </is>
      </c>
    </row>
    <row r="189">
      <c r="A189" s="11" t="inlineStr">
        <is>
          <t>ACT_COPULA_TAIL_LOWER</t>
        </is>
      </c>
      <c r="B189">
        <f>ACT_COPULA_TAIL_LOWER("STUDENT_T", 5, 0.5)</f>
        <v/>
      </c>
      <c r="C189" t="inlineStr">
        <is>
          <t>Student-t lower tail</t>
        </is>
      </c>
    </row>
    <row r="190">
      <c r="A190" s="11" t="inlineStr">
        <is>
          <t>ACT_COPULA_TAIL_UPPER</t>
        </is>
      </c>
      <c r="B190">
        <f>ACT_COPULA_TAIL_UPPER("STUDENT_T", 5, 0.5)</f>
        <v/>
      </c>
      <c r="C190" t="inlineStr">
        <is>
          <t>Student-t upper tail</t>
        </is>
      </c>
    </row>
    <row r="192">
      <c r="A192" s="13" t="inlineStr">
        <is>
          <t>CHAIN LADDER - See dedicated sheet</t>
        </is>
      </c>
    </row>
    <row r="194">
      <c r="A194" s="13" t="inlineStr">
        <is>
          <t>(Chain ladder functions tested in 'Chain Ladder' sheet with triangle data)</t>
        </is>
      </c>
    </row>
    <row r="195">
      <c r="A195" s="13" t="inlineStr">
        <is>
          <t>ACT_CL_FACTORS - Development factors (array)</t>
        </is>
      </c>
    </row>
    <row r="196">
      <c r="A196" s="13" t="inlineStr">
        <is>
          <t>ACT_CL_LATEST - Latest diagonal (array)</t>
        </is>
      </c>
    </row>
    <row r="197">
      <c r="A197" s="13" t="inlineStr">
        <is>
          <t>ACT_CL_ULTIMATE - Projected ultimates (array)</t>
        </is>
      </c>
    </row>
    <row r="198">
      <c r="A198" s="13" t="inlineStr">
        <is>
          <t>ACT_CL_IBNR - IBNR reserves (array)</t>
        </is>
      </c>
    </row>
    <row r="199">
      <c r="A199" s="13" t="inlineStr">
        <is>
          <t>ACT_BF_ULTIMATE - Bornhuetter-Ferguson (array)</t>
        </is>
      </c>
    </row>
    <row r="200">
      <c r="A200" s="13" t="inlineStr">
        <is>
          <t>ACT_MACK_FACTOR_SE - Factor std errors (array)</t>
        </is>
      </c>
    </row>
    <row r="201">
      <c r="A201" s="13" t="inlineStr">
        <is>
          <t>ACT_MACK_RESERVE_SE - Reserve std errors (array)</t>
        </is>
      </c>
    </row>
    <row r="202">
      <c r="A202" s="13" t="inlineStr">
        <is>
          <t>ACT_BOOTSTRAP_CL - Bootstrap total (array)</t>
        </is>
      </c>
    </row>
    <row r="203">
      <c r="A203" s="13" t="inlineStr">
        <is>
          <t>ACT_BOOTSTRAP_CL_ORIGIN - Bootstrap by AY (array)</t>
        </is>
      </c>
    </row>
    <row r="204">
      <c r="A204" s="13" t="inlineStr">
        <is>
          <t>ACT_CAPECOD_ULTIMATE - Cape Cod (array)</t>
        </is>
      </c>
    </row>
    <row r="205">
      <c r="A205" s="13" t="inlineStr">
        <is>
          <t>ACT_CAPECOD_ELR - Cape Cod ELR</t>
        </is>
      </c>
    </row>
    <row r="206">
      <c r="A206" s="13" t="inlineStr">
        <is>
          <t>ACT_BERQUIST_SHERMAN - Berquist-Sherman (array)</t>
        </is>
      </c>
    </row>
    <row r="207">
      <c r="A207" s="13" t="inlineStr">
        <is>
          <t>ACT_TRIANGLE_TO_INCREMENTAL - Cum→Inc (array)</t>
        </is>
      </c>
    </row>
    <row r="208">
      <c r="A208" s="13" t="inlineStr">
        <is>
          <t>ACT_INCREMENTAL_TO_CUMULATIVE - Inc→Cum (array)</t>
        </is>
      </c>
    </row>
    <row r="209">
      <c r="A209" s="13" t="inlineStr">
        <is>
          <t>ACT_TRIANGLE_DIAGONAL - Extract diagonal (array)</t>
        </is>
      </c>
    </row>
    <row r="210">
      <c r="A210" s="13" t="inlineStr">
        <is>
          <t>ACT_TRIANGLE_LINK_RATIOS - Link ratios (array)</t>
        </is>
      </c>
    </row>
    <row r="211">
      <c r="A211" s="13" t="inlineStr">
        <is>
          <t>ACT_CL_CALENDAR_ADJUST - Calendar adjust (array)</t>
        </is>
      </c>
    </row>
    <row r="212">
      <c r="A212" s="13" t="inlineStr">
        <is>
          <t>ACT_CL_CALENDAR_TOTALS - Calendar totals (array)</t>
        </is>
      </c>
    </row>
    <row r="213">
      <c r="A213" s="13" t="inlineStr">
        <is>
          <t>ACT_CL_WEIGHTED_AVERAGE - Weighted avg (array)</t>
        </is>
      </c>
    </row>
    <row r="215">
      <c r="A215" s="13" t="inlineStr">
        <is>
          <t>VERSION INFO</t>
        </is>
      </c>
    </row>
    <row r="217">
      <c r="A217" s="11" t="inlineStr">
        <is>
          <t>ACT_VERSION</t>
        </is>
      </c>
      <c r="B217">
        <f>ACT_VERSION()</f>
        <v/>
      </c>
      <c r="C217" t="inlineStr">
        <is>
          <t>Current version</t>
        </is>
      </c>
    </row>
    <row r="218">
      <c r="A218" s="11" t="inlineStr">
        <is>
          <t>ACT_BUILD_DATE</t>
        </is>
      </c>
      <c r="B218">
        <f>ACT_BUILD_DATE()</f>
        <v/>
      </c>
      <c r="C218" t="inlineStr">
        <is>
          <t>Build date</t>
        </is>
      </c>
    </row>
    <row r="219">
      <c r="A219" s="11" t="inlineStr">
        <is>
          <t>ACT_GITHUB_URL</t>
        </is>
      </c>
      <c r="B219">
        <f>ACT_GITHUB_URL()</f>
        <v/>
      </c>
      <c r="C219" t="inlineStr">
        <is>
          <t>GitHub URL</t>
        </is>
      </c>
    </row>
    <row r="220">
      <c r="A220" s="11" t="inlineStr">
        <is>
          <t>ACT_COMMIT_COUNT</t>
        </is>
      </c>
      <c r="B220">
        <f>ACT_COMMIT_COUNT()</f>
        <v/>
      </c>
      <c r="C220" t="inlineStr">
        <is>
          <t>Number of commits</t>
        </is>
      </c>
    </row>
    <row r="221">
      <c r="A221" s="11" t="inlineStr">
        <is>
          <t>ACT_COMMIT_INFO</t>
        </is>
      </c>
      <c r="B221">
        <f>ACT_COMMIT_INFO(1, "hash")</f>
        <v/>
      </c>
      <c r="C221" t="inlineStr">
        <is>
          <t>Latest commit hash</t>
        </is>
      </c>
    </row>
    <row r="222">
      <c r="A222" s="11" t="inlineStr">
        <is>
          <t>ACT_COMMIT_INFO</t>
        </is>
      </c>
      <c r="B222">
        <f>ACT_COMMIT_INFO(1, "date")</f>
        <v/>
      </c>
      <c r="C222" t="inlineStr">
        <is>
          <t>Latest commit date</t>
        </is>
      </c>
    </row>
    <row r="223">
      <c r="A223" s="11" t="inlineStr">
        <is>
          <t>ACT_COMMIT_INFO</t>
        </is>
      </c>
      <c r="B223">
        <f>ACT_COMMIT_INFO(1, "message")</f>
        <v/>
      </c>
      <c r="C223" t="inlineStr">
        <is>
          <t>Latest commit message</t>
        </is>
      </c>
    </row>
    <row r="224">
      <c r="A224" s="11" t="inlineStr">
        <is>
          <t>ACT_COMMIT_HISTORY</t>
        </is>
      </c>
      <c r="B224">
        <f>ACT_COMMIT_HISTORY()</f>
        <v/>
      </c>
      <c r="C224" t="inlineStr">
        <is>
          <t>Full history (array)</t>
        </is>
      </c>
    </row>
  </sheetData>
  <mergeCells count="1">
    <mergeCell ref="A1:C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Matthew Evans</dc:creator>
  <dcterms:created xsi:type="dcterms:W3CDTF">2015-06-05T18:17:20Z</dcterms:created>
  <dcterms:modified xsi:type="dcterms:W3CDTF">2026-01-18T20:34:35Z</dcterms:modified>
  <cp:lastModifiedBy>Matthew Evans</cp:lastModifiedBy>
</cp:coreProperties>
</file>